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 schedule/data/"/>
    </mc:Choice>
  </mc:AlternateContent>
  <xr:revisionPtr revIDLastSave="0" documentId="13_ncr:1_{33816157-5560-DC47-A16F-0CA93B4F4207}" xr6:coauthVersionLast="47" xr6:coauthVersionMax="47" xr10:uidLastSave="{00000000-0000-0000-0000-000000000000}"/>
  <bookViews>
    <workbookView xWindow="44800" yWindow="2800" windowWidth="38400" windowHeight="21100" activeTab="2" xr2:uid="{00000000-000D-0000-FFFF-FFFF00000000}"/>
  </bookViews>
  <sheets>
    <sheet name="Buildings" sheetId="1" r:id="rId1"/>
    <sheet name="Sheet2" sheetId="2" r:id="rId2"/>
    <sheet name="Bank Schedule" sheetId="3" r:id="rId3"/>
    <sheet name="Voids Tab" sheetId="4" r:id="rId4"/>
    <sheet name="Tenant Trade" sheetId="5" r:id="rId5"/>
    <sheet name="Lease Events " sheetId="6" r:id="rId6"/>
  </sheets>
  <definedNames>
    <definedName name="_xlnm._FilterDatabase" localSheetId="4" hidden="1">'Tenant Trade'!$A$1:$B$1</definedName>
    <definedName name="_xlnm._FilterDatabase" localSheetId="3" hidden="1">'Voids Tab'!$A$3:$AC$197</definedName>
    <definedName name="_xlnm.Print_Area" localSheetId="2">'Bank Schedule'!$C$3:$AC$815</definedName>
    <definedName name="_xlnm.Print_Area" localSheetId="0">Buildings!$C$3:$AC$396</definedName>
    <definedName name="_xlnm.Print_Titles" localSheetId="2">'Bank Schedule'!$1:$3</definedName>
    <definedName name="_xlnm.Print_Titles" localSheetId="0">Buildings!$1:$3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7" i="4" l="1" a="1"/>
  <c r="AC197" i="4" s="1"/>
  <c r="AB197" i="4" a="1"/>
  <c r="AB197" i="4" s="1"/>
  <c r="AA197" i="4" a="1"/>
  <c r="AA197" i="4" s="1"/>
  <c r="Z197" i="4" a="1"/>
  <c r="Z197" i="4" s="1"/>
  <c r="Y197" i="4" a="1"/>
  <c r="Y197" i="4" s="1"/>
  <c r="X197" i="4" a="1"/>
  <c r="X197" i="4" s="1"/>
  <c r="W197" i="4" a="1"/>
  <c r="W197" i="4" s="1"/>
  <c r="V197" i="4" a="1"/>
  <c r="V197" i="4" s="1"/>
  <c r="U197" i="4" a="1"/>
  <c r="U197" i="4" s="1"/>
  <c r="T197" i="4" a="1"/>
  <c r="T197" i="4" s="1"/>
  <c r="S197" i="4" a="1"/>
  <c r="S197" i="4" s="1"/>
  <c r="R197" i="4" a="1"/>
  <c r="R197" i="4" s="1"/>
  <c r="Q197" i="4" a="1"/>
  <c r="Q197" i="4" s="1"/>
  <c r="P197" i="4" a="1"/>
  <c r="P197" i="4" s="1"/>
  <c r="O197" i="4" a="1"/>
  <c r="O197" i="4" s="1"/>
  <c r="N197" i="4" a="1"/>
  <c r="N197" i="4" s="1"/>
  <c r="M197" i="4" a="1"/>
  <c r="M197" i="4" s="1"/>
  <c r="L197" i="4" a="1"/>
  <c r="L197" i="4" s="1"/>
  <c r="K197" i="4" a="1"/>
  <c r="K197" i="4" s="1"/>
  <c r="J197" i="4" a="1"/>
  <c r="J197" i="4" s="1"/>
  <c r="I197" i="4" a="1"/>
  <c r="I197" i="4" s="1"/>
  <c r="H197" i="4" a="1"/>
  <c r="H197" i="4" s="1"/>
  <c r="G197" i="4" a="1"/>
  <c r="G197" i="4" s="1"/>
  <c r="F197" i="4" a="1"/>
  <c r="F197" i="4" s="1"/>
  <c r="E197" i="4" a="1"/>
  <c r="E197" i="4" s="1"/>
  <c r="D197" i="4" a="1"/>
  <c r="D197" i="4" s="1"/>
  <c r="C197" i="4" a="1"/>
  <c r="C197" i="4" s="1"/>
  <c r="B197" i="4" a="1"/>
  <c r="B197" i="4" s="1"/>
  <c r="A197" i="4" a="1"/>
  <c r="A197" i="4" s="1"/>
  <c r="AC196" i="4" a="1"/>
  <c r="AC196" i="4" s="1"/>
  <c r="AB196" i="4" a="1"/>
  <c r="AB196" i="4" s="1"/>
  <c r="AA196" i="4" a="1"/>
  <c r="AA196" i="4" s="1"/>
  <c r="Z196" i="4" a="1"/>
  <c r="Z196" i="4" s="1"/>
  <c r="Y196" i="4" a="1"/>
  <c r="Y196" i="4" s="1"/>
  <c r="X196" i="4" a="1"/>
  <c r="X196" i="4" s="1"/>
  <c r="W196" i="4" a="1"/>
  <c r="W196" i="4" s="1"/>
  <c r="V196" i="4" a="1"/>
  <c r="V196" i="4" s="1"/>
  <c r="U196" i="4" a="1"/>
  <c r="U196" i="4" s="1"/>
  <c r="T196" i="4" a="1"/>
  <c r="T196" i="4" s="1"/>
  <c r="S196" i="4" a="1"/>
  <c r="S196" i="4" s="1"/>
  <c r="R196" i="4" a="1"/>
  <c r="R196" i="4" s="1"/>
  <c r="Q196" i="4" a="1"/>
  <c r="Q196" i="4" s="1"/>
  <c r="P196" i="4" a="1"/>
  <c r="P196" i="4" s="1"/>
  <c r="O196" i="4" a="1"/>
  <c r="O196" i="4" s="1"/>
  <c r="N196" i="4" a="1"/>
  <c r="N196" i="4" s="1"/>
  <c r="M196" i="4" a="1"/>
  <c r="M196" i="4" s="1"/>
  <c r="L196" i="4" a="1"/>
  <c r="L196" i="4" s="1"/>
  <c r="K196" i="4" a="1"/>
  <c r="K196" i="4" s="1"/>
  <c r="J196" i="4" a="1"/>
  <c r="J196" i="4" s="1"/>
  <c r="I196" i="4" a="1"/>
  <c r="I196" i="4" s="1"/>
  <c r="H196" i="4" a="1"/>
  <c r="H196" i="4" s="1"/>
  <c r="G196" i="4" a="1"/>
  <c r="G196" i="4" s="1"/>
  <c r="F196" i="4" a="1"/>
  <c r="F196" i="4" s="1"/>
  <c r="E196" i="4" a="1"/>
  <c r="E196" i="4" s="1"/>
  <c r="D196" i="4" a="1"/>
  <c r="D196" i="4" s="1"/>
  <c r="C196" i="4" a="1"/>
  <c r="C196" i="4" s="1"/>
  <c r="B196" i="4" a="1"/>
  <c r="B196" i="4" s="1"/>
  <c r="A196" i="4" a="1"/>
  <c r="A196" i="4" s="1"/>
  <c r="AC195" i="4" a="1"/>
  <c r="AC195" i="4" s="1"/>
  <c r="AB195" i="4" a="1"/>
  <c r="AB195" i="4" s="1"/>
  <c r="AA195" i="4" a="1"/>
  <c r="AA195" i="4" s="1"/>
  <c r="Z195" i="4" a="1"/>
  <c r="Z195" i="4" s="1"/>
  <c r="Y195" i="4" a="1"/>
  <c r="Y195" i="4" s="1"/>
  <c r="X195" i="4" a="1"/>
  <c r="X195" i="4" s="1"/>
  <c r="W195" i="4" a="1"/>
  <c r="W195" i="4" s="1"/>
  <c r="V195" i="4" a="1"/>
  <c r="V195" i="4" s="1"/>
  <c r="U195" i="4" a="1"/>
  <c r="U195" i="4" s="1"/>
  <c r="T195" i="4" a="1"/>
  <c r="T195" i="4" s="1"/>
  <c r="S195" i="4" a="1"/>
  <c r="S195" i="4" s="1"/>
  <c r="R195" i="4" a="1"/>
  <c r="R195" i="4" s="1"/>
  <c r="Q195" i="4" a="1"/>
  <c r="Q195" i="4" s="1"/>
  <c r="P195" i="4" a="1"/>
  <c r="P195" i="4" s="1"/>
  <c r="O195" i="4" a="1"/>
  <c r="O195" i="4" s="1"/>
  <c r="N195" i="4" a="1"/>
  <c r="N195" i="4" s="1"/>
  <c r="M195" i="4" a="1"/>
  <c r="M195" i="4" s="1"/>
  <c r="L195" i="4" a="1"/>
  <c r="L195" i="4" s="1"/>
  <c r="K195" i="4" a="1"/>
  <c r="K195" i="4" s="1"/>
  <c r="J195" i="4" a="1"/>
  <c r="J195" i="4" s="1"/>
  <c r="I195" i="4" a="1"/>
  <c r="I195" i="4" s="1"/>
  <c r="H195" i="4" a="1"/>
  <c r="H195" i="4" s="1"/>
  <c r="G195" i="4" a="1"/>
  <c r="G195" i="4" s="1"/>
  <c r="F195" i="4" a="1"/>
  <c r="F195" i="4" s="1"/>
  <c r="E195" i="4" a="1"/>
  <c r="E195" i="4" s="1"/>
  <c r="D195" i="4" a="1"/>
  <c r="D195" i="4" s="1"/>
  <c r="C195" i="4" a="1"/>
  <c r="C195" i="4" s="1"/>
  <c r="B195" i="4" a="1"/>
  <c r="B195" i="4" s="1"/>
  <c r="A195" i="4" a="1"/>
  <c r="A195" i="4" s="1"/>
  <c r="AC194" i="4" a="1"/>
  <c r="AC194" i="4" s="1"/>
  <c r="AB194" i="4" a="1"/>
  <c r="AB194" i="4" s="1"/>
  <c r="AA194" i="4" a="1"/>
  <c r="AA194" i="4" s="1"/>
  <c r="Z194" i="4" a="1"/>
  <c r="Z194" i="4" s="1"/>
  <c r="Y194" i="4" a="1"/>
  <c r="Y194" i="4" s="1"/>
  <c r="X194" i="4" a="1"/>
  <c r="X194" i="4" s="1"/>
  <c r="W194" i="4" a="1"/>
  <c r="W194" i="4" s="1"/>
  <c r="V194" i="4" a="1"/>
  <c r="V194" i="4" s="1"/>
  <c r="U194" i="4" a="1"/>
  <c r="U194" i="4" s="1"/>
  <c r="T194" i="4" a="1"/>
  <c r="T194" i="4" s="1"/>
  <c r="S194" i="4" a="1"/>
  <c r="S194" i="4" s="1"/>
  <c r="R194" i="4" a="1"/>
  <c r="R194" i="4" s="1"/>
  <c r="Q194" i="4" a="1"/>
  <c r="Q194" i="4" s="1"/>
  <c r="P194" i="4" a="1"/>
  <c r="P194" i="4" s="1"/>
  <c r="O194" i="4" a="1"/>
  <c r="O194" i="4" s="1"/>
  <c r="N194" i="4" a="1"/>
  <c r="N194" i="4" s="1"/>
  <c r="M194" i="4" a="1"/>
  <c r="M194" i="4" s="1"/>
  <c r="L194" i="4" a="1"/>
  <c r="L194" i="4" s="1"/>
  <c r="K194" i="4" a="1"/>
  <c r="K194" i="4" s="1"/>
  <c r="J194" i="4" a="1"/>
  <c r="J194" i="4" s="1"/>
  <c r="I194" i="4" a="1"/>
  <c r="I194" i="4" s="1"/>
  <c r="H194" i="4" a="1"/>
  <c r="H194" i="4" s="1"/>
  <c r="G194" i="4" a="1"/>
  <c r="G194" i="4" s="1"/>
  <c r="F194" i="4" a="1"/>
  <c r="F194" i="4" s="1"/>
  <c r="E194" i="4" a="1"/>
  <c r="E194" i="4" s="1"/>
  <c r="D194" i="4" a="1"/>
  <c r="D194" i="4" s="1"/>
  <c r="C194" i="4" a="1"/>
  <c r="C194" i="4" s="1"/>
  <c r="B194" i="4" a="1"/>
  <c r="B194" i="4" s="1"/>
  <c r="A194" i="4" a="1"/>
  <c r="A194" i="4" s="1"/>
  <c r="AC193" i="4" a="1"/>
  <c r="AC193" i="4" s="1"/>
  <c r="AB193" i="4" a="1"/>
  <c r="AB193" i="4" s="1"/>
  <c r="AA193" i="4" a="1"/>
  <c r="AA193" i="4" s="1"/>
  <c r="Z193" i="4" a="1"/>
  <c r="Z193" i="4" s="1"/>
  <c r="Y193" i="4" a="1"/>
  <c r="Y193" i="4" s="1"/>
  <c r="X193" i="4" a="1"/>
  <c r="X193" i="4" s="1"/>
  <c r="W193" i="4" a="1"/>
  <c r="W193" i="4" s="1"/>
  <c r="V193" i="4" a="1"/>
  <c r="V193" i="4" s="1"/>
  <c r="U193" i="4" a="1"/>
  <c r="U193" i="4" s="1"/>
  <c r="T193" i="4" a="1"/>
  <c r="T193" i="4" s="1"/>
  <c r="S193" i="4" a="1"/>
  <c r="S193" i="4" s="1"/>
  <c r="R193" i="4" a="1"/>
  <c r="R193" i="4" s="1"/>
  <c r="Q193" i="4" a="1"/>
  <c r="Q193" i="4" s="1"/>
  <c r="P193" i="4" a="1"/>
  <c r="P193" i="4" s="1"/>
  <c r="O193" i="4" a="1"/>
  <c r="O193" i="4" s="1"/>
  <c r="N193" i="4" a="1"/>
  <c r="N193" i="4" s="1"/>
  <c r="M193" i="4" a="1"/>
  <c r="M193" i="4" s="1"/>
  <c r="L193" i="4" a="1"/>
  <c r="L193" i="4" s="1"/>
  <c r="K193" i="4" a="1"/>
  <c r="K193" i="4" s="1"/>
  <c r="J193" i="4" a="1"/>
  <c r="J193" i="4" s="1"/>
  <c r="I193" i="4" a="1"/>
  <c r="I193" i="4" s="1"/>
  <c r="H193" i="4" a="1"/>
  <c r="H193" i="4" s="1"/>
  <c r="G193" i="4" a="1"/>
  <c r="G193" i="4" s="1"/>
  <c r="F193" i="4" a="1"/>
  <c r="F193" i="4" s="1"/>
  <c r="E193" i="4" a="1"/>
  <c r="E193" i="4" s="1"/>
  <c r="D193" i="4" a="1"/>
  <c r="D193" i="4" s="1"/>
  <c r="C193" i="4" a="1"/>
  <c r="C193" i="4" s="1"/>
  <c r="B193" i="4" a="1"/>
  <c r="B193" i="4" s="1"/>
  <c r="A193" i="4" a="1"/>
  <c r="A193" i="4" s="1"/>
  <c r="AC192" i="4" a="1"/>
  <c r="AC192" i="4" s="1"/>
  <c r="AB192" i="4" a="1"/>
  <c r="AB192" i="4" s="1"/>
  <c r="AA192" i="4" a="1"/>
  <c r="AA192" i="4" s="1"/>
  <c r="Z192" i="4" a="1"/>
  <c r="Z192" i="4" s="1"/>
  <c r="Y192" i="4" a="1"/>
  <c r="Y192" i="4" s="1"/>
  <c r="X192" i="4" a="1"/>
  <c r="X192" i="4" s="1"/>
  <c r="W192" i="4" a="1"/>
  <c r="W192" i="4" s="1"/>
  <c r="V192" i="4" a="1"/>
  <c r="V192" i="4" s="1"/>
  <c r="U192" i="4" a="1"/>
  <c r="U192" i="4" s="1"/>
  <c r="T192" i="4" a="1"/>
  <c r="T192" i="4" s="1"/>
  <c r="S192" i="4" a="1"/>
  <c r="S192" i="4" s="1"/>
  <c r="R192" i="4" a="1"/>
  <c r="R192" i="4" s="1"/>
  <c r="Q192" i="4" a="1"/>
  <c r="Q192" i="4" s="1"/>
  <c r="P192" i="4" a="1"/>
  <c r="P192" i="4" s="1"/>
  <c r="O192" i="4" a="1"/>
  <c r="O192" i="4" s="1"/>
  <c r="N192" i="4" a="1"/>
  <c r="N192" i="4" s="1"/>
  <c r="M192" i="4" a="1"/>
  <c r="M192" i="4" s="1"/>
  <c r="L192" i="4" a="1"/>
  <c r="L192" i="4" s="1"/>
  <c r="K192" i="4" a="1"/>
  <c r="K192" i="4" s="1"/>
  <c r="J192" i="4" a="1"/>
  <c r="J192" i="4" s="1"/>
  <c r="I192" i="4" a="1"/>
  <c r="I192" i="4" s="1"/>
  <c r="H192" i="4" a="1"/>
  <c r="H192" i="4" s="1"/>
  <c r="G192" i="4" a="1"/>
  <c r="G192" i="4" s="1"/>
  <c r="F192" i="4" a="1"/>
  <c r="F192" i="4" s="1"/>
  <c r="E192" i="4" a="1"/>
  <c r="E192" i="4" s="1"/>
  <c r="D192" i="4" a="1"/>
  <c r="D192" i="4" s="1"/>
  <c r="C192" i="4" a="1"/>
  <c r="C192" i="4" s="1"/>
  <c r="B192" i="4" a="1"/>
  <c r="B192" i="4" s="1"/>
  <c r="A192" i="4" a="1"/>
  <c r="A192" i="4" s="1"/>
  <c r="AC191" i="4" a="1"/>
  <c r="AC191" i="4" s="1"/>
  <c r="AB191" i="4" a="1"/>
  <c r="AB191" i="4" s="1"/>
  <c r="AA191" i="4" a="1"/>
  <c r="AA191" i="4" s="1"/>
  <c r="Z191" i="4" a="1"/>
  <c r="Z191" i="4" s="1"/>
  <c r="Y191" i="4" a="1"/>
  <c r="Y191" i="4" s="1"/>
  <c r="X191" i="4" a="1"/>
  <c r="X191" i="4" s="1"/>
  <c r="W191" i="4" a="1"/>
  <c r="W191" i="4" s="1"/>
  <c r="V191" i="4" a="1"/>
  <c r="V191" i="4" s="1"/>
  <c r="U191" i="4" a="1"/>
  <c r="U191" i="4" s="1"/>
  <c r="T191" i="4" a="1"/>
  <c r="T191" i="4" s="1"/>
  <c r="S191" i="4" a="1"/>
  <c r="S191" i="4" s="1"/>
  <c r="R191" i="4" a="1"/>
  <c r="R191" i="4" s="1"/>
  <c r="Q191" i="4" a="1"/>
  <c r="Q191" i="4" s="1"/>
  <c r="P191" i="4" a="1"/>
  <c r="P191" i="4" s="1"/>
  <c r="O191" i="4" a="1"/>
  <c r="O191" i="4" s="1"/>
  <c r="N191" i="4" a="1"/>
  <c r="N191" i="4" s="1"/>
  <c r="M191" i="4" a="1"/>
  <c r="M191" i="4" s="1"/>
  <c r="L191" i="4" a="1"/>
  <c r="L191" i="4" s="1"/>
  <c r="K191" i="4" a="1"/>
  <c r="K191" i="4" s="1"/>
  <c r="J191" i="4" a="1"/>
  <c r="J191" i="4" s="1"/>
  <c r="I191" i="4" a="1"/>
  <c r="I191" i="4" s="1"/>
  <c r="H191" i="4" a="1"/>
  <c r="H191" i="4" s="1"/>
  <c r="G191" i="4" a="1"/>
  <c r="G191" i="4" s="1"/>
  <c r="F191" i="4" a="1"/>
  <c r="F191" i="4" s="1"/>
  <c r="E191" i="4" a="1"/>
  <c r="E191" i="4" s="1"/>
  <c r="D191" i="4" a="1"/>
  <c r="D191" i="4" s="1"/>
  <c r="C191" i="4" a="1"/>
  <c r="C191" i="4" s="1"/>
  <c r="B191" i="4" a="1"/>
  <c r="B191" i="4" s="1"/>
  <c r="A191" i="4" a="1"/>
  <c r="A191" i="4" s="1"/>
  <c r="AC190" i="4" a="1"/>
  <c r="AC190" i="4" s="1"/>
  <c r="AB190" i="4" a="1"/>
  <c r="AB190" i="4" s="1"/>
  <c r="AA190" i="4" a="1"/>
  <c r="AA190" i="4" s="1"/>
  <c r="Z190" i="4" a="1"/>
  <c r="Z190" i="4" s="1"/>
  <c r="Y190" i="4" a="1"/>
  <c r="Y190" i="4" s="1"/>
  <c r="X190" i="4" a="1"/>
  <c r="X190" i="4" s="1"/>
  <c r="W190" i="4" a="1"/>
  <c r="W190" i="4" s="1"/>
  <c r="V190" i="4" a="1"/>
  <c r="V190" i="4" s="1"/>
  <c r="U190" i="4" a="1"/>
  <c r="U190" i="4" s="1"/>
  <c r="T190" i="4" a="1"/>
  <c r="T190" i="4" s="1"/>
  <c r="S190" i="4" a="1"/>
  <c r="S190" i="4" s="1"/>
  <c r="R190" i="4" a="1"/>
  <c r="R190" i="4" s="1"/>
  <c r="Q190" i="4" a="1"/>
  <c r="Q190" i="4" s="1"/>
  <c r="P190" i="4" a="1"/>
  <c r="P190" i="4" s="1"/>
  <c r="O190" i="4" a="1"/>
  <c r="O190" i="4" s="1"/>
  <c r="N190" i="4" a="1"/>
  <c r="N190" i="4" s="1"/>
  <c r="M190" i="4" a="1"/>
  <c r="M190" i="4" s="1"/>
  <c r="L190" i="4" a="1"/>
  <c r="L190" i="4" s="1"/>
  <c r="K190" i="4" a="1"/>
  <c r="K190" i="4" s="1"/>
  <c r="J190" i="4" a="1"/>
  <c r="J190" i="4" s="1"/>
  <c r="I190" i="4" a="1"/>
  <c r="I190" i="4" s="1"/>
  <c r="H190" i="4" a="1"/>
  <c r="H190" i="4" s="1"/>
  <c r="G190" i="4" a="1"/>
  <c r="G190" i="4" s="1"/>
  <c r="F190" i="4" a="1"/>
  <c r="F190" i="4" s="1"/>
  <c r="E190" i="4" a="1"/>
  <c r="E190" i="4" s="1"/>
  <c r="D190" i="4" a="1"/>
  <c r="D190" i="4" s="1"/>
  <c r="C190" i="4" a="1"/>
  <c r="C190" i="4" s="1"/>
  <c r="B190" i="4" a="1"/>
  <c r="B190" i="4" s="1"/>
  <c r="A190" i="4" a="1"/>
  <c r="A190" i="4" s="1"/>
  <c r="AC189" i="4" a="1"/>
  <c r="AC189" i="4" s="1"/>
  <c r="AB189" i="4" a="1"/>
  <c r="AB189" i="4" s="1"/>
  <c r="AA189" i="4" a="1"/>
  <c r="AA189" i="4" s="1"/>
  <c r="Z189" i="4" a="1"/>
  <c r="Z189" i="4" s="1"/>
  <c r="Y189" i="4" a="1"/>
  <c r="Y189" i="4" s="1"/>
  <c r="X189" i="4" a="1"/>
  <c r="X189" i="4" s="1"/>
  <c r="W189" i="4" a="1"/>
  <c r="W189" i="4" s="1"/>
  <c r="V189" i="4" a="1"/>
  <c r="V189" i="4" s="1"/>
  <c r="U189" i="4" a="1"/>
  <c r="U189" i="4" s="1"/>
  <c r="T189" i="4" a="1"/>
  <c r="T189" i="4" s="1"/>
  <c r="S189" i="4" a="1"/>
  <c r="S189" i="4" s="1"/>
  <c r="R189" i="4" a="1"/>
  <c r="R189" i="4" s="1"/>
  <c r="Q189" i="4" a="1"/>
  <c r="Q189" i="4" s="1"/>
  <c r="P189" i="4" a="1"/>
  <c r="P189" i="4" s="1"/>
  <c r="O189" i="4" a="1"/>
  <c r="O189" i="4" s="1"/>
  <c r="N189" i="4" a="1"/>
  <c r="N189" i="4" s="1"/>
  <c r="M189" i="4" a="1"/>
  <c r="M189" i="4" s="1"/>
  <c r="L189" i="4" a="1"/>
  <c r="L189" i="4" s="1"/>
  <c r="K189" i="4" a="1"/>
  <c r="K189" i="4" s="1"/>
  <c r="J189" i="4" a="1"/>
  <c r="J189" i="4" s="1"/>
  <c r="I189" i="4" a="1"/>
  <c r="I189" i="4" s="1"/>
  <c r="H189" i="4" a="1"/>
  <c r="H189" i="4" s="1"/>
  <c r="G189" i="4" a="1"/>
  <c r="G189" i="4" s="1"/>
  <c r="F189" i="4" a="1"/>
  <c r="F189" i="4" s="1"/>
  <c r="E189" i="4" a="1"/>
  <c r="E189" i="4" s="1"/>
  <c r="D189" i="4" a="1"/>
  <c r="D189" i="4" s="1"/>
  <c r="C189" i="4" a="1"/>
  <c r="C189" i="4" s="1"/>
  <c r="B189" i="4" a="1"/>
  <c r="B189" i="4" s="1"/>
  <c r="A189" i="4" a="1"/>
  <c r="A189" i="4" s="1"/>
  <c r="AC188" i="4" a="1"/>
  <c r="AC188" i="4" s="1"/>
  <c r="AB188" i="4" a="1"/>
  <c r="AB188" i="4" s="1"/>
  <c r="AA188" i="4" a="1"/>
  <c r="AA188" i="4" s="1"/>
  <c r="Z188" i="4" a="1"/>
  <c r="Z188" i="4" s="1"/>
  <c r="Y188" i="4" a="1"/>
  <c r="Y188" i="4" s="1"/>
  <c r="X188" i="4" a="1"/>
  <c r="X188" i="4" s="1"/>
  <c r="W188" i="4" a="1"/>
  <c r="W188" i="4" s="1"/>
  <c r="V188" i="4" a="1"/>
  <c r="V188" i="4" s="1"/>
  <c r="U188" i="4" a="1"/>
  <c r="U188" i="4" s="1"/>
  <c r="T188" i="4" a="1"/>
  <c r="T188" i="4" s="1"/>
  <c r="S188" i="4" a="1"/>
  <c r="S188" i="4" s="1"/>
  <c r="R188" i="4" a="1"/>
  <c r="R188" i="4" s="1"/>
  <c r="Q188" i="4" a="1"/>
  <c r="Q188" i="4" s="1"/>
  <c r="P188" i="4" a="1"/>
  <c r="P188" i="4" s="1"/>
  <c r="O188" i="4" a="1"/>
  <c r="O188" i="4" s="1"/>
  <c r="N188" i="4" a="1"/>
  <c r="N188" i="4" s="1"/>
  <c r="M188" i="4" a="1"/>
  <c r="M188" i="4" s="1"/>
  <c r="L188" i="4" a="1"/>
  <c r="L188" i="4" s="1"/>
  <c r="K188" i="4" a="1"/>
  <c r="K188" i="4" s="1"/>
  <c r="J188" i="4" a="1"/>
  <c r="J188" i="4" s="1"/>
  <c r="I188" i="4" a="1"/>
  <c r="I188" i="4" s="1"/>
  <c r="H188" i="4" a="1"/>
  <c r="H188" i="4" s="1"/>
  <c r="G188" i="4" a="1"/>
  <c r="G188" i="4" s="1"/>
  <c r="F188" i="4" a="1"/>
  <c r="F188" i="4" s="1"/>
  <c r="E188" i="4" a="1"/>
  <c r="E188" i="4" s="1"/>
  <c r="D188" i="4" a="1"/>
  <c r="D188" i="4" s="1"/>
  <c r="C188" i="4" a="1"/>
  <c r="C188" i="4" s="1"/>
  <c r="B188" i="4" a="1"/>
  <c r="B188" i="4" s="1"/>
  <c r="A188" i="4" a="1"/>
  <c r="A188" i="4" s="1"/>
  <c r="AC187" i="4" a="1"/>
  <c r="AC187" i="4" s="1"/>
  <c r="AB187" i="4" a="1"/>
  <c r="AB187" i="4" s="1"/>
  <c r="AA187" i="4" a="1"/>
  <c r="AA187" i="4" s="1"/>
  <c r="Z187" i="4" a="1"/>
  <c r="Z187" i="4" s="1"/>
  <c r="Y187" i="4" a="1"/>
  <c r="Y187" i="4" s="1"/>
  <c r="X187" i="4" a="1"/>
  <c r="X187" i="4" s="1"/>
  <c r="W187" i="4" a="1"/>
  <c r="W187" i="4" s="1"/>
  <c r="V187" i="4" a="1"/>
  <c r="V187" i="4" s="1"/>
  <c r="U187" i="4" a="1"/>
  <c r="U187" i="4" s="1"/>
  <c r="T187" i="4" a="1"/>
  <c r="T187" i="4" s="1"/>
  <c r="S187" i="4" a="1"/>
  <c r="S187" i="4" s="1"/>
  <c r="R187" i="4" a="1"/>
  <c r="R187" i="4" s="1"/>
  <c r="Q187" i="4" a="1"/>
  <c r="Q187" i="4" s="1"/>
  <c r="P187" i="4" a="1"/>
  <c r="P187" i="4" s="1"/>
  <c r="O187" i="4" a="1"/>
  <c r="O187" i="4" s="1"/>
  <c r="N187" i="4" a="1"/>
  <c r="N187" i="4" s="1"/>
  <c r="M187" i="4" a="1"/>
  <c r="M187" i="4" s="1"/>
  <c r="L187" i="4" a="1"/>
  <c r="L187" i="4" s="1"/>
  <c r="K187" i="4" a="1"/>
  <c r="K187" i="4" s="1"/>
  <c r="J187" i="4" a="1"/>
  <c r="J187" i="4" s="1"/>
  <c r="I187" i="4" a="1"/>
  <c r="I187" i="4" s="1"/>
  <c r="H187" i="4" a="1"/>
  <c r="H187" i="4" s="1"/>
  <c r="G187" i="4" a="1"/>
  <c r="G187" i="4" s="1"/>
  <c r="F187" i="4" a="1"/>
  <c r="F187" i="4" s="1"/>
  <c r="E187" i="4" a="1"/>
  <c r="E187" i="4" s="1"/>
  <c r="D187" i="4" a="1"/>
  <c r="D187" i="4" s="1"/>
  <c r="C187" i="4" a="1"/>
  <c r="C187" i="4" s="1"/>
  <c r="B187" i="4" a="1"/>
  <c r="B187" i="4" s="1"/>
  <c r="A187" i="4" a="1"/>
  <c r="A187" i="4" s="1"/>
  <c r="AC186" i="4" a="1"/>
  <c r="AC186" i="4" s="1"/>
  <c r="AB186" i="4" a="1"/>
  <c r="AB186" i="4" s="1"/>
  <c r="AA186" i="4" a="1"/>
  <c r="AA186" i="4" s="1"/>
  <c r="Z186" i="4" a="1"/>
  <c r="Z186" i="4" s="1"/>
  <c r="Y186" i="4" a="1"/>
  <c r="Y186" i="4" s="1"/>
  <c r="X186" i="4" a="1"/>
  <c r="X186" i="4" s="1"/>
  <c r="W186" i="4" a="1"/>
  <c r="W186" i="4" s="1"/>
  <c r="V186" i="4" a="1"/>
  <c r="V186" i="4" s="1"/>
  <c r="U186" i="4" a="1"/>
  <c r="U186" i="4" s="1"/>
  <c r="T186" i="4" a="1"/>
  <c r="T186" i="4" s="1"/>
  <c r="S186" i="4" a="1"/>
  <c r="S186" i="4" s="1"/>
  <c r="R186" i="4" a="1"/>
  <c r="R186" i="4" s="1"/>
  <c r="Q186" i="4" a="1"/>
  <c r="Q186" i="4" s="1"/>
  <c r="P186" i="4" a="1"/>
  <c r="P186" i="4" s="1"/>
  <c r="O186" i="4" a="1"/>
  <c r="O186" i="4" s="1"/>
  <c r="N186" i="4" a="1"/>
  <c r="N186" i="4" s="1"/>
  <c r="M186" i="4" a="1"/>
  <c r="M186" i="4" s="1"/>
  <c r="L186" i="4" a="1"/>
  <c r="L186" i="4" s="1"/>
  <c r="K186" i="4" a="1"/>
  <c r="K186" i="4" s="1"/>
  <c r="J186" i="4" a="1"/>
  <c r="J186" i="4" s="1"/>
  <c r="I186" i="4" a="1"/>
  <c r="I186" i="4" s="1"/>
  <c r="H186" i="4" a="1"/>
  <c r="H186" i="4" s="1"/>
  <c r="G186" i="4" a="1"/>
  <c r="G186" i="4" s="1"/>
  <c r="F186" i="4" a="1"/>
  <c r="F186" i="4" s="1"/>
  <c r="E186" i="4" a="1"/>
  <c r="E186" i="4" s="1"/>
  <c r="D186" i="4" a="1"/>
  <c r="D186" i="4" s="1"/>
  <c r="C186" i="4" a="1"/>
  <c r="C186" i="4" s="1"/>
  <c r="B186" i="4" a="1"/>
  <c r="B186" i="4" s="1"/>
  <c r="A186" i="4" a="1"/>
  <c r="A186" i="4" s="1"/>
  <c r="AC185" i="4" a="1"/>
  <c r="AC185" i="4" s="1"/>
  <c r="AB185" i="4" a="1"/>
  <c r="AB185" i="4" s="1"/>
  <c r="AA185" i="4" a="1"/>
  <c r="AA185" i="4" s="1"/>
  <c r="Z185" i="4" a="1"/>
  <c r="Z185" i="4" s="1"/>
  <c r="Y185" i="4" a="1"/>
  <c r="Y185" i="4" s="1"/>
  <c r="X185" i="4" a="1"/>
  <c r="X185" i="4" s="1"/>
  <c r="W185" i="4" a="1"/>
  <c r="W185" i="4" s="1"/>
  <c r="V185" i="4" a="1"/>
  <c r="V185" i="4" s="1"/>
  <c r="U185" i="4" a="1"/>
  <c r="U185" i="4" s="1"/>
  <c r="T185" i="4" a="1"/>
  <c r="T185" i="4" s="1"/>
  <c r="S185" i="4" a="1"/>
  <c r="S185" i="4" s="1"/>
  <c r="R185" i="4" a="1"/>
  <c r="R185" i="4" s="1"/>
  <c r="Q185" i="4" a="1"/>
  <c r="Q185" i="4" s="1"/>
  <c r="P185" i="4" a="1"/>
  <c r="P185" i="4" s="1"/>
  <c r="O185" i="4" a="1"/>
  <c r="O185" i="4" s="1"/>
  <c r="N185" i="4" a="1"/>
  <c r="N185" i="4" s="1"/>
  <c r="M185" i="4" a="1"/>
  <c r="M185" i="4" s="1"/>
  <c r="L185" i="4" a="1"/>
  <c r="L185" i="4" s="1"/>
  <c r="K185" i="4" a="1"/>
  <c r="K185" i="4" s="1"/>
  <c r="J185" i="4" a="1"/>
  <c r="J185" i="4" s="1"/>
  <c r="I185" i="4" a="1"/>
  <c r="I185" i="4" s="1"/>
  <c r="H185" i="4" a="1"/>
  <c r="H185" i="4" s="1"/>
  <c r="G185" i="4" a="1"/>
  <c r="G185" i="4" s="1"/>
  <c r="F185" i="4" a="1"/>
  <c r="F185" i="4" s="1"/>
  <c r="E185" i="4" a="1"/>
  <c r="E185" i="4" s="1"/>
  <c r="D185" i="4" a="1"/>
  <c r="D185" i="4" s="1"/>
  <c r="C185" i="4" a="1"/>
  <c r="C185" i="4" s="1"/>
  <c r="B185" i="4" a="1"/>
  <c r="B185" i="4" s="1"/>
  <c r="A185" i="4" a="1"/>
  <c r="A185" i="4" s="1"/>
  <c r="AC184" i="4" a="1"/>
  <c r="AC184" i="4" s="1"/>
  <c r="AB184" i="4" a="1"/>
  <c r="AB184" i="4" s="1"/>
  <c r="AA184" i="4" a="1"/>
  <c r="AA184" i="4" s="1"/>
  <c r="Z184" i="4" a="1"/>
  <c r="Z184" i="4" s="1"/>
  <c r="Y184" i="4" a="1"/>
  <c r="Y184" i="4" s="1"/>
  <c r="X184" i="4" a="1"/>
  <c r="X184" i="4" s="1"/>
  <c r="W184" i="4" a="1"/>
  <c r="W184" i="4" s="1"/>
  <c r="V184" i="4" a="1"/>
  <c r="V184" i="4" s="1"/>
  <c r="U184" i="4" a="1"/>
  <c r="U184" i="4" s="1"/>
  <c r="T184" i="4" a="1"/>
  <c r="T184" i="4" s="1"/>
  <c r="S184" i="4" a="1"/>
  <c r="S184" i="4" s="1"/>
  <c r="R184" i="4" a="1"/>
  <c r="R184" i="4" s="1"/>
  <c r="Q184" i="4" a="1"/>
  <c r="Q184" i="4" s="1"/>
  <c r="P184" i="4" a="1"/>
  <c r="P184" i="4" s="1"/>
  <c r="O184" i="4" a="1"/>
  <c r="O184" i="4" s="1"/>
  <c r="N184" i="4" a="1"/>
  <c r="N184" i="4" s="1"/>
  <c r="M184" i="4" a="1"/>
  <c r="M184" i="4" s="1"/>
  <c r="L184" i="4" a="1"/>
  <c r="L184" i="4" s="1"/>
  <c r="K184" i="4" a="1"/>
  <c r="K184" i="4" s="1"/>
  <c r="J184" i="4" a="1"/>
  <c r="J184" i="4" s="1"/>
  <c r="I184" i="4" a="1"/>
  <c r="I184" i="4" s="1"/>
  <c r="H184" i="4" a="1"/>
  <c r="H184" i="4" s="1"/>
  <c r="G184" i="4" a="1"/>
  <c r="G184" i="4" s="1"/>
  <c r="F184" i="4" a="1"/>
  <c r="F184" i="4" s="1"/>
  <c r="E184" i="4" a="1"/>
  <c r="E184" i="4" s="1"/>
  <c r="D184" i="4" a="1"/>
  <c r="D184" i="4" s="1"/>
  <c r="C184" i="4" a="1"/>
  <c r="C184" i="4" s="1"/>
  <c r="B184" i="4" a="1"/>
  <c r="B184" i="4" s="1"/>
  <c r="A184" i="4" a="1"/>
  <c r="A184" i="4" s="1"/>
  <c r="AC183" i="4" a="1"/>
  <c r="AC183" i="4" s="1"/>
  <c r="AB183" i="4" a="1"/>
  <c r="AB183" i="4" s="1"/>
  <c r="AA183" i="4" a="1"/>
  <c r="AA183" i="4" s="1"/>
  <c r="Z183" i="4" a="1"/>
  <c r="Z183" i="4" s="1"/>
  <c r="Y183" i="4" a="1"/>
  <c r="Y183" i="4" s="1"/>
  <c r="X183" i="4" a="1"/>
  <c r="X183" i="4" s="1"/>
  <c r="W183" i="4" a="1"/>
  <c r="W183" i="4" s="1"/>
  <c r="V183" i="4" a="1"/>
  <c r="V183" i="4" s="1"/>
  <c r="U183" i="4" a="1"/>
  <c r="U183" i="4" s="1"/>
  <c r="T183" i="4" a="1"/>
  <c r="T183" i="4" s="1"/>
  <c r="S183" i="4" a="1"/>
  <c r="S183" i="4" s="1"/>
  <c r="R183" i="4" a="1"/>
  <c r="R183" i="4" s="1"/>
  <c r="Q183" i="4" a="1"/>
  <c r="Q183" i="4" s="1"/>
  <c r="P183" i="4" a="1"/>
  <c r="P183" i="4" s="1"/>
  <c r="O183" i="4" a="1"/>
  <c r="O183" i="4" s="1"/>
  <c r="N183" i="4" a="1"/>
  <c r="N183" i="4" s="1"/>
  <c r="M183" i="4" a="1"/>
  <c r="M183" i="4" s="1"/>
  <c r="L183" i="4" a="1"/>
  <c r="L183" i="4" s="1"/>
  <c r="K183" i="4" a="1"/>
  <c r="K183" i="4" s="1"/>
  <c r="J183" i="4" a="1"/>
  <c r="J183" i="4" s="1"/>
  <c r="I183" i="4" a="1"/>
  <c r="I183" i="4" s="1"/>
  <c r="H183" i="4" a="1"/>
  <c r="H183" i="4" s="1"/>
  <c r="G183" i="4" a="1"/>
  <c r="G183" i="4" s="1"/>
  <c r="F183" i="4" a="1"/>
  <c r="F183" i="4" s="1"/>
  <c r="E183" i="4" a="1"/>
  <c r="E183" i="4" s="1"/>
  <c r="D183" i="4" a="1"/>
  <c r="D183" i="4" s="1"/>
  <c r="C183" i="4" a="1"/>
  <c r="C183" i="4" s="1"/>
  <c r="B183" i="4" a="1"/>
  <c r="B183" i="4" s="1"/>
  <c r="A183" i="4" a="1"/>
  <c r="A183" i="4" s="1"/>
  <c r="AC182" i="4" a="1"/>
  <c r="AC182" i="4" s="1"/>
  <c r="AB182" i="4" a="1"/>
  <c r="AB182" i="4" s="1"/>
  <c r="AA182" i="4" a="1"/>
  <c r="AA182" i="4" s="1"/>
  <c r="Z182" i="4" a="1"/>
  <c r="Z182" i="4" s="1"/>
  <c r="Y182" i="4" a="1"/>
  <c r="Y182" i="4" s="1"/>
  <c r="X182" i="4" a="1"/>
  <c r="X182" i="4" s="1"/>
  <c r="W182" i="4" a="1"/>
  <c r="W182" i="4" s="1"/>
  <c r="V182" i="4" a="1"/>
  <c r="V182" i="4" s="1"/>
  <c r="U182" i="4" a="1"/>
  <c r="U182" i="4" s="1"/>
  <c r="T182" i="4" a="1"/>
  <c r="T182" i="4" s="1"/>
  <c r="S182" i="4" a="1"/>
  <c r="S182" i="4" s="1"/>
  <c r="R182" i="4" a="1"/>
  <c r="R182" i="4" s="1"/>
  <c r="Q182" i="4" a="1"/>
  <c r="Q182" i="4" s="1"/>
  <c r="P182" i="4" a="1"/>
  <c r="P182" i="4" s="1"/>
  <c r="O182" i="4" a="1"/>
  <c r="O182" i="4" s="1"/>
  <c r="N182" i="4" a="1"/>
  <c r="N182" i="4" s="1"/>
  <c r="M182" i="4" a="1"/>
  <c r="M182" i="4" s="1"/>
  <c r="L182" i="4" a="1"/>
  <c r="L182" i="4" s="1"/>
  <c r="K182" i="4" a="1"/>
  <c r="K182" i="4" s="1"/>
  <c r="J182" i="4" a="1"/>
  <c r="J182" i="4" s="1"/>
  <c r="I182" i="4" a="1"/>
  <c r="I182" i="4" s="1"/>
  <c r="H182" i="4" a="1"/>
  <c r="H182" i="4" s="1"/>
  <c r="G182" i="4" a="1"/>
  <c r="G182" i="4" s="1"/>
  <c r="F182" i="4" a="1"/>
  <c r="F182" i="4" s="1"/>
  <c r="E182" i="4" a="1"/>
  <c r="E182" i="4" s="1"/>
  <c r="D182" i="4" a="1"/>
  <c r="D182" i="4" s="1"/>
  <c r="C182" i="4" a="1"/>
  <c r="C182" i="4" s="1"/>
  <c r="B182" i="4" a="1"/>
  <c r="B182" i="4" s="1"/>
  <c r="A182" i="4" a="1"/>
  <c r="A182" i="4" s="1"/>
  <c r="AC181" i="4" a="1"/>
  <c r="AC181" i="4" s="1"/>
  <c r="AB181" i="4" a="1"/>
  <c r="AB181" i="4" s="1"/>
  <c r="AA181" i="4" a="1"/>
  <c r="AA181" i="4" s="1"/>
  <c r="Z181" i="4" a="1"/>
  <c r="Z181" i="4" s="1"/>
  <c r="Y181" i="4" a="1"/>
  <c r="Y181" i="4" s="1"/>
  <c r="X181" i="4" a="1"/>
  <c r="X181" i="4" s="1"/>
  <c r="W181" i="4" a="1"/>
  <c r="W181" i="4" s="1"/>
  <c r="V181" i="4" a="1"/>
  <c r="V181" i="4" s="1"/>
  <c r="U181" i="4" a="1"/>
  <c r="U181" i="4" s="1"/>
  <c r="T181" i="4" a="1"/>
  <c r="T181" i="4" s="1"/>
  <c r="S181" i="4" a="1"/>
  <c r="S181" i="4" s="1"/>
  <c r="R181" i="4" a="1"/>
  <c r="R181" i="4" s="1"/>
  <c r="Q181" i="4" a="1"/>
  <c r="Q181" i="4" s="1"/>
  <c r="P181" i="4" a="1"/>
  <c r="P181" i="4" s="1"/>
  <c r="O181" i="4" a="1"/>
  <c r="O181" i="4" s="1"/>
  <c r="N181" i="4" a="1"/>
  <c r="N181" i="4" s="1"/>
  <c r="M181" i="4" a="1"/>
  <c r="M181" i="4" s="1"/>
  <c r="L181" i="4" a="1"/>
  <c r="L181" i="4" s="1"/>
  <c r="K181" i="4" a="1"/>
  <c r="K181" i="4" s="1"/>
  <c r="J181" i="4" a="1"/>
  <c r="J181" i="4" s="1"/>
  <c r="I181" i="4" a="1"/>
  <c r="I181" i="4" s="1"/>
  <c r="H181" i="4" a="1"/>
  <c r="H181" i="4" s="1"/>
  <c r="G181" i="4" a="1"/>
  <c r="G181" i="4" s="1"/>
  <c r="F181" i="4" a="1"/>
  <c r="F181" i="4" s="1"/>
  <c r="E181" i="4" a="1"/>
  <c r="E181" i="4" s="1"/>
  <c r="D181" i="4" a="1"/>
  <c r="D181" i="4" s="1"/>
  <c r="C181" i="4" a="1"/>
  <c r="C181" i="4" s="1"/>
  <c r="B181" i="4" a="1"/>
  <c r="B181" i="4" s="1"/>
  <c r="A181" i="4" a="1"/>
  <c r="A181" i="4" s="1"/>
  <c r="D180" i="4" a="1"/>
  <c r="D180" i="4" s="1"/>
  <c r="C180" i="4" a="1"/>
  <c r="C180" i="4" s="1"/>
  <c r="B180" i="4" a="1"/>
  <c r="B180" i="4" s="1"/>
  <c r="A180" i="4" a="1"/>
  <c r="A180" i="4" s="1"/>
  <c r="D179" i="4" a="1"/>
  <c r="D179" i="4" s="1"/>
  <c r="C179" i="4" a="1"/>
  <c r="C179" i="4" s="1"/>
  <c r="B179" i="4" a="1"/>
  <c r="B179" i="4" s="1"/>
  <c r="A179" i="4" a="1"/>
  <c r="A179" i="4" s="1"/>
  <c r="D178" i="4" a="1"/>
  <c r="D178" i="4" s="1"/>
  <c r="C178" i="4" a="1"/>
  <c r="C178" i="4" s="1"/>
  <c r="B178" i="4" a="1"/>
  <c r="B178" i="4" s="1"/>
  <c r="A178" i="4" a="1"/>
  <c r="A178" i="4" s="1"/>
  <c r="D177" i="4" a="1"/>
  <c r="D177" i="4" s="1"/>
  <c r="C177" i="4" a="1"/>
  <c r="C177" i="4" s="1"/>
  <c r="B177" i="4" a="1"/>
  <c r="B177" i="4" s="1"/>
  <c r="A177" i="4" a="1"/>
  <c r="A177" i="4" s="1"/>
  <c r="D176" i="4" a="1"/>
  <c r="D176" i="4" s="1"/>
  <c r="C176" i="4" a="1"/>
  <c r="C176" i="4" s="1"/>
  <c r="B176" i="4" a="1"/>
  <c r="B176" i="4" s="1"/>
  <c r="A176" i="4" a="1"/>
  <c r="A176" i="4" s="1"/>
  <c r="D175" i="4" a="1"/>
  <c r="D175" i="4" s="1"/>
  <c r="C175" i="4" a="1"/>
  <c r="C175" i="4" s="1"/>
  <c r="B175" i="4" a="1"/>
  <c r="B175" i="4" s="1"/>
  <c r="A175" i="4" a="1"/>
  <c r="A175" i="4" s="1"/>
  <c r="D174" i="4" a="1"/>
  <c r="D174" i="4" s="1"/>
  <c r="C174" i="4" a="1"/>
  <c r="C174" i="4" s="1"/>
  <c r="B174" i="4" a="1"/>
  <c r="B174" i="4" s="1"/>
  <c r="A174" i="4" a="1"/>
  <c r="A174" i="4" s="1"/>
  <c r="D173" i="4" a="1"/>
  <c r="D173" i="4" s="1"/>
  <c r="C173" i="4" a="1"/>
  <c r="C173" i="4" s="1"/>
  <c r="B173" i="4" a="1"/>
  <c r="B173" i="4" s="1"/>
  <c r="A173" i="4" a="1"/>
  <c r="A173" i="4" s="1"/>
  <c r="D172" i="4" a="1"/>
  <c r="D172" i="4" s="1"/>
  <c r="C172" i="4" a="1"/>
  <c r="C172" i="4" s="1"/>
  <c r="B172" i="4" a="1"/>
  <c r="B172" i="4" s="1"/>
  <c r="A172" i="4" a="1"/>
  <c r="A172" i="4" s="1"/>
  <c r="D171" i="4" a="1"/>
  <c r="D171" i="4" s="1"/>
  <c r="C171" i="4" a="1"/>
  <c r="C171" i="4" s="1"/>
  <c r="B171" i="4" a="1"/>
  <c r="B171" i="4" s="1"/>
  <c r="A171" i="4" a="1"/>
  <c r="A171" i="4" s="1"/>
  <c r="D170" i="4" a="1"/>
  <c r="D170" i="4" s="1"/>
  <c r="C170" i="4" a="1"/>
  <c r="C170" i="4" s="1"/>
  <c r="B170" i="4" a="1"/>
  <c r="B170" i="4" s="1"/>
  <c r="A170" i="4" a="1"/>
  <c r="A170" i="4" s="1"/>
  <c r="D169" i="4" a="1"/>
  <c r="D169" i="4" s="1"/>
  <c r="C169" i="4" a="1"/>
  <c r="C169" i="4" s="1"/>
  <c r="B169" i="4" a="1"/>
  <c r="B169" i="4" s="1"/>
  <c r="A169" i="4" a="1"/>
  <c r="A169" i="4" s="1"/>
  <c r="D168" i="4" a="1"/>
  <c r="D168" i="4" s="1"/>
  <c r="C168" i="4" a="1"/>
  <c r="C168" i="4" s="1"/>
  <c r="B168" i="4" a="1"/>
  <c r="B168" i="4" s="1"/>
  <c r="A168" i="4" a="1"/>
  <c r="A168" i="4" s="1"/>
  <c r="D167" i="4" a="1"/>
  <c r="D167" i="4" s="1"/>
  <c r="C167" i="4" a="1"/>
  <c r="C167" i="4" s="1"/>
  <c r="B167" i="4" a="1"/>
  <c r="B167" i="4" s="1"/>
  <c r="A167" i="4" a="1"/>
  <c r="A167" i="4" s="1"/>
  <c r="D166" i="4" a="1"/>
  <c r="D166" i="4" s="1"/>
  <c r="C166" i="4" a="1"/>
  <c r="C166" i="4" s="1"/>
  <c r="B166" i="4" a="1"/>
  <c r="B166" i="4" s="1"/>
  <c r="A166" i="4" a="1"/>
  <c r="A166" i="4" s="1"/>
  <c r="D165" i="4" a="1"/>
  <c r="D165" i="4" s="1"/>
  <c r="C165" i="4" a="1"/>
  <c r="C165" i="4" s="1"/>
  <c r="B165" i="4" a="1"/>
  <c r="B165" i="4" s="1"/>
  <c r="A165" i="4" a="1"/>
  <c r="A165" i="4" s="1"/>
  <c r="D164" i="4" a="1"/>
  <c r="D164" i="4" s="1"/>
  <c r="C164" i="4" a="1"/>
  <c r="C164" i="4" s="1"/>
  <c r="B164" i="4" a="1"/>
  <c r="B164" i="4" s="1"/>
  <c r="A164" i="4" a="1"/>
  <c r="A164" i="4" s="1"/>
  <c r="D163" i="4" a="1"/>
  <c r="D163" i="4" s="1"/>
  <c r="C163" i="4" a="1"/>
  <c r="C163" i="4" s="1"/>
  <c r="B163" i="4" a="1"/>
  <c r="B163" i="4" s="1"/>
  <c r="A163" i="4" a="1"/>
  <c r="A163" i="4" s="1"/>
  <c r="D162" i="4" a="1"/>
  <c r="D162" i="4" s="1"/>
  <c r="C162" i="4" a="1"/>
  <c r="C162" i="4" s="1"/>
  <c r="B162" i="4" a="1"/>
  <c r="B162" i="4" s="1"/>
  <c r="A162" i="4" a="1"/>
  <c r="A162" i="4" s="1"/>
  <c r="D161" i="4" a="1"/>
  <c r="D161" i="4" s="1"/>
  <c r="C161" i="4" a="1"/>
  <c r="C161" i="4" s="1"/>
  <c r="B161" i="4" a="1"/>
  <c r="B161" i="4" s="1"/>
  <c r="A161" i="4" a="1"/>
  <c r="A161" i="4" s="1"/>
  <c r="D160" i="4" a="1"/>
  <c r="D160" i="4" s="1"/>
  <c r="C160" i="4" a="1"/>
  <c r="C160" i="4" s="1"/>
  <c r="B160" i="4" a="1"/>
  <c r="B160" i="4" s="1"/>
  <c r="A160" i="4" a="1"/>
  <c r="A160" i="4" s="1"/>
  <c r="D159" i="4" a="1"/>
  <c r="D159" i="4" s="1"/>
  <c r="C159" i="4" a="1"/>
  <c r="C159" i="4" s="1"/>
  <c r="B159" i="4" a="1"/>
  <c r="B159" i="4" s="1"/>
  <c r="A159" i="4" a="1"/>
  <c r="A159" i="4" s="1"/>
  <c r="D158" i="4" a="1"/>
  <c r="D158" i="4" s="1"/>
  <c r="C158" i="4" a="1"/>
  <c r="C158" i="4" s="1"/>
  <c r="B158" i="4" a="1"/>
  <c r="B158" i="4" s="1"/>
  <c r="A158" i="4" a="1"/>
  <c r="A158" i="4" s="1"/>
  <c r="D157" i="4" a="1"/>
  <c r="D157" i="4" s="1"/>
  <c r="C157" i="4" a="1"/>
  <c r="C157" i="4" s="1"/>
  <c r="B157" i="4" a="1"/>
  <c r="B157" i="4" s="1"/>
  <c r="A157" i="4" a="1"/>
  <c r="A157" i="4" s="1"/>
  <c r="D156" i="4" a="1"/>
  <c r="D156" i="4" s="1"/>
  <c r="C156" i="4" a="1"/>
  <c r="C156" i="4" s="1"/>
  <c r="B156" i="4" a="1"/>
  <c r="B156" i="4" s="1"/>
  <c r="A156" i="4" a="1"/>
  <c r="A156" i="4" s="1"/>
  <c r="D155" i="4" a="1"/>
  <c r="D155" i="4" s="1"/>
  <c r="C155" i="4" a="1"/>
  <c r="C155" i="4" s="1"/>
  <c r="B155" i="4" a="1"/>
  <c r="B155" i="4" s="1"/>
  <c r="A155" i="4" a="1"/>
  <c r="A155" i="4" s="1"/>
  <c r="D154" i="4" a="1"/>
  <c r="D154" i="4" s="1"/>
  <c r="C154" i="4" a="1"/>
  <c r="C154" i="4" s="1"/>
  <c r="B154" i="4" a="1"/>
  <c r="B154" i="4" s="1"/>
  <c r="A154" i="4" a="1"/>
  <c r="A154" i="4" s="1"/>
  <c r="D153" i="4" a="1"/>
  <c r="D153" i="4" s="1"/>
  <c r="C153" i="4" a="1"/>
  <c r="C153" i="4" s="1"/>
  <c r="B153" i="4" a="1"/>
  <c r="B153" i="4" s="1"/>
  <c r="A153" i="4" a="1"/>
  <c r="A153" i="4" s="1"/>
  <c r="D152" i="4" a="1"/>
  <c r="D152" i="4" s="1"/>
  <c r="C152" i="4" a="1"/>
  <c r="C152" i="4" s="1"/>
  <c r="B152" i="4" a="1"/>
  <c r="B152" i="4" s="1"/>
  <c r="A152" i="4" a="1"/>
  <c r="A152" i="4" s="1"/>
  <c r="D151" i="4" a="1"/>
  <c r="D151" i="4" s="1"/>
  <c r="C151" i="4" a="1"/>
  <c r="C151" i="4" s="1"/>
  <c r="B151" i="4" a="1"/>
  <c r="B151" i="4" s="1"/>
  <c r="A151" i="4" a="1"/>
  <c r="A151" i="4" s="1"/>
  <c r="D150" i="4" a="1"/>
  <c r="D150" i="4" s="1"/>
  <c r="C150" i="4" a="1"/>
  <c r="C150" i="4" s="1"/>
  <c r="B150" i="4" a="1"/>
  <c r="B150" i="4" s="1"/>
  <c r="A150" i="4" a="1"/>
  <c r="A150" i="4" s="1"/>
  <c r="D149" i="4" a="1"/>
  <c r="D149" i="4" s="1"/>
  <c r="C149" i="4" a="1"/>
  <c r="C149" i="4" s="1"/>
  <c r="B149" i="4" a="1"/>
  <c r="B149" i="4" s="1"/>
  <c r="A149" i="4" a="1"/>
  <c r="A149" i="4" s="1"/>
  <c r="D148" i="4" a="1"/>
  <c r="D148" i="4" s="1"/>
  <c r="C148" i="4" a="1"/>
  <c r="C148" i="4" s="1"/>
  <c r="B148" i="4" a="1"/>
  <c r="B148" i="4" s="1"/>
  <c r="A148" i="4" a="1"/>
  <c r="A148" i="4" s="1"/>
  <c r="D147" i="4" a="1"/>
  <c r="D147" i="4" s="1"/>
  <c r="C147" i="4" a="1"/>
  <c r="C147" i="4" s="1"/>
  <c r="B147" i="4" a="1"/>
  <c r="B147" i="4" s="1"/>
  <c r="A147" i="4" a="1"/>
  <c r="A147" i="4" s="1"/>
  <c r="D146" i="4" a="1"/>
  <c r="D146" i="4" s="1"/>
  <c r="C146" i="4" a="1"/>
  <c r="C146" i="4" s="1"/>
  <c r="B146" i="4" a="1"/>
  <c r="B146" i="4" s="1"/>
  <c r="A146" i="4" a="1"/>
  <c r="A146" i="4" s="1"/>
  <c r="D145" i="4" a="1"/>
  <c r="D145" i="4" s="1"/>
  <c r="C145" i="4" a="1"/>
  <c r="C145" i="4" s="1"/>
  <c r="B145" i="4" a="1"/>
  <c r="B145" i="4" s="1"/>
  <c r="A145" i="4" a="1"/>
  <c r="A145" i="4" s="1"/>
  <c r="D144" i="4" a="1"/>
  <c r="D144" i="4" s="1"/>
  <c r="C144" i="4" a="1"/>
  <c r="C144" i="4" s="1"/>
  <c r="B144" i="4" a="1"/>
  <c r="B144" i="4" s="1"/>
  <c r="A144" i="4" a="1"/>
  <c r="A144" i="4" s="1"/>
  <c r="AG143" i="4" a="1"/>
  <c r="AG143" i="4" s="1"/>
  <c r="AF143" i="4" a="1"/>
  <c r="AF143" i="4" s="1"/>
  <c r="AB143" i="4" a="1"/>
  <c r="AB143" i="4" s="1"/>
  <c r="AA143" i="4" a="1"/>
  <c r="AA143" i="4" s="1"/>
  <c r="Z143" i="4" a="1"/>
  <c r="Z143" i="4" s="1"/>
  <c r="Y143" i="4" a="1"/>
  <c r="Y143" i="4" s="1"/>
  <c r="X143" i="4" a="1"/>
  <c r="X143" i="4" s="1"/>
  <c r="W143" i="4" a="1"/>
  <c r="W143" i="4" s="1"/>
  <c r="V143" i="4" a="1"/>
  <c r="V143" i="4" s="1"/>
  <c r="U143" i="4" a="1"/>
  <c r="U143" i="4" s="1"/>
  <c r="T143" i="4" a="1"/>
  <c r="T143" i="4" s="1"/>
  <c r="S143" i="4" a="1"/>
  <c r="S143" i="4" s="1"/>
  <c r="R143" i="4" a="1"/>
  <c r="R143" i="4" s="1"/>
  <c r="Q143" i="4" a="1"/>
  <c r="Q143" i="4" s="1"/>
  <c r="P143" i="4" a="1"/>
  <c r="P143" i="4" s="1"/>
  <c r="O143" i="4" a="1"/>
  <c r="O143" i="4" s="1"/>
  <c r="N143" i="4" a="1"/>
  <c r="N143" i="4" s="1"/>
  <c r="M143" i="4" a="1"/>
  <c r="M143" i="4" s="1"/>
  <c r="L143" i="4" a="1"/>
  <c r="L143" i="4" s="1"/>
  <c r="K143" i="4" a="1"/>
  <c r="K143" i="4" s="1"/>
  <c r="J143" i="4" a="1"/>
  <c r="J143" i="4" s="1"/>
  <c r="I143" i="4" a="1"/>
  <c r="I143" i="4" s="1"/>
  <c r="H143" i="4" a="1"/>
  <c r="H143" i="4" s="1"/>
  <c r="G143" i="4" a="1"/>
  <c r="G143" i="4" s="1"/>
  <c r="F143" i="4" a="1"/>
  <c r="F143" i="4" s="1"/>
  <c r="E143" i="4" a="1"/>
  <c r="E143" i="4" s="1"/>
  <c r="D143" i="4" a="1"/>
  <c r="D143" i="4" s="1"/>
  <c r="C143" i="4" a="1"/>
  <c r="C143" i="4" s="1"/>
  <c r="B143" i="4" a="1"/>
  <c r="B143" i="4" s="1"/>
  <c r="A143" i="4" a="1"/>
  <c r="A143" i="4" s="1"/>
  <c r="AG142" i="4" a="1"/>
  <c r="AG142" i="4" s="1"/>
  <c r="AF142" i="4" a="1"/>
  <c r="AF142" i="4" s="1"/>
  <c r="AE142" i="4" a="1"/>
  <c r="AE142" i="4" s="1"/>
  <c r="AD142" i="4" a="1"/>
  <c r="AD142" i="4" s="1"/>
  <c r="AC142" i="4" a="1"/>
  <c r="AC142" i="4" s="1"/>
  <c r="AB142" i="4" a="1"/>
  <c r="AB142" i="4" s="1"/>
  <c r="AA142" i="4" a="1"/>
  <c r="AA142" i="4" s="1"/>
  <c r="Z142" i="4" a="1"/>
  <c r="Z142" i="4" s="1"/>
  <c r="Y142" i="4" a="1"/>
  <c r="Y142" i="4" s="1"/>
  <c r="X142" i="4" a="1"/>
  <c r="X142" i="4" s="1"/>
  <c r="W142" i="4" a="1"/>
  <c r="W142" i="4" s="1"/>
  <c r="V142" i="4" a="1"/>
  <c r="V142" i="4" s="1"/>
  <c r="U142" i="4" a="1"/>
  <c r="U142" i="4" s="1"/>
  <c r="T142" i="4" a="1"/>
  <c r="T142" i="4" s="1"/>
  <c r="S142" i="4" a="1"/>
  <c r="S142" i="4" s="1"/>
  <c r="R142" i="4" a="1"/>
  <c r="R142" i="4" s="1"/>
  <c r="Q142" i="4" a="1"/>
  <c r="Q142" i="4" s="1"/>
  <c r="P142" i="4" a="1"/>
  <c r="P142" i="4" s="1"/>
  <c r="O142" i="4" a="1"/>
  <c r="O142" i="4" s="1"/>
  <c r="N142" i="4" a="1"/>
  <c r="N142" i="4" s="1"/>
  <c r="M142" i="4" a="1"/>
  <c r="M142" i="4" s="1"/>
  <c r="L142" i="4" a="1"/>
  <c r="L142" i="4" s="1"/>
  <c r="K142" i="4" a="1"/>
  <c r="K142" i="4" s="1"/>
  <c r="J142" i="4" a="1"/>
  <c r="J142" i="4" s="1"/>
  <c r="I142" i="4" a="1"/>
  <c r="I142" i="4" s="1"/>
  <c r="H142" i="4" a="1"/>
  <c r="H142" i="4" s="1"/>
  <c r="G142" i="4" a="1"/>
  <c r="G142" i="4" s="1"/>
  <c r="F142" i="4" a="1"/>
  <c r="F142" i="4" s="1"/>
  <c r="E142" i="4" a="1"/>
  <c r="E142" i="4" s="1"/>
  <c r="D142" i="4" a="1"/>
  <c r="D142" i="4" s="1"/>
  <c r="C142" i="4" a="1"/>
  <c r="C142" i="4" s="1"/>
  <c r="B142" i="4" a="1"/>
  <c r="B142" i="4" s="1"/>
  <c r="A142" i="4" a="1"/>
  <c r="A142" i="4" s="1"/>
  <c r="AG141" i="4" a="1"/>
  <c r="AG141" i="4" s="1"/>
  <c r="AF141" i="4" a="1"/>
  <c r="AF141" i="4" s="1"/>
  <c r="AE141" i="4" a="1"/>
  <c r="AE141" i="4" s="1"/>
  <c r="AD141" i="4" a="1"/>
  <c r="AD141" i="4" s="1"/>
  <c r="AC141" i="4" a="1"/>
  <c r="AC141" i="4" s="1"/>
  <c r="AB141" i="4" a="1"/>
  <c r="AB141" i="4" s="1"/>
  <c r="AA141" i="4" a="1"/>
  <c r="AA141" i="4" s="1"/>
  <c r="Z141" i="4" a="1"/>
  <c r="Z141" i="4" s="1"/>
  <c r="Y141" i="4" a="1"/>
  <c r="Y141" i="4" s="1"/>
  <c r="X141" i="4" a="1"/>
  <c r="X141" i="4" s="1"/>
  <c r="W141" i="4" a="1"/>
  <c r="W141" i="4" s="1"/>
  <c r="V141" i="4" a="1"/>
  <c r="V141" i="4" s="1"/>
  <c r="U141" i="4" a="1"/>
  <c r="U141" i="4" s="1"/>
  <c r="T141" i="4" a="1"/>
  <c r="T141" i="4" s="1"/>
  <c r="S141" i="4" a="1"/>
  <c r="S141" i="4" s="1"/>
  <c r="R141" i="4" a="1"/>
  <c r="R141" i="4" s="1"/>
  <c r="Q141" i="4" a="1"/>
  <c r="Q141" i="4" s="1"/>
  <c r="P141" i="4" a="1"/>
  <c r="P141" i="4" s="1"/>
  <c r="O141" i="4" a="1"/>
  <c r="O141" i="4" s="1"/>
  <c r="N141" i="4" a="1"/>
  <c r="N141" i="4" s="1"/>
  <c r="M141" i="4" a="1"/>
  <c r="M141" i="4" s="1"/>
  <c r="L141" i="4" a="1"/>
  <c r="L141" i="4" s="1"/>
  <c r="K141" i="4" a="1"/>
  <c r="K141" i="4" s="1"/>
  <c r="J141" i="4" a="1"/>
  <c r="J141" i="4" s="1"/>
  <c r="I141" i="4" a="1"/>
  <c r="I141" i="4" s="1"/>
  <c r="H141" i="4" a="1"/>
  <c r="H141" i="4" s="1"/>
  <c r="G141" i="4" a="1"/>
  <c r="G141" i="4" s="1"/>
  <c r="F141" i="4" a="1"/>
  <c r="F141" i="4" s="1"/>
  <c r="E141" i="4" a="1"/>
  <c r="E141" i="4" s="1"/>
  <c r="D141" i="4" a="1"/>
  <c r="D141" i="4" s="1"/>
  <c r="C141" i="4" a="1"/>
  <c r="C141" i="4" s="1"/>
  <c r="B141" i="4" a="1"/>
  <c r="B141" i="4" s="1"/>
  <c r="A141" i="4" a="1"/>
  <c r="A141" i="4" s="1"/>
  <c r="AG140" i="4" a="1"/>
  <c r="AG140" i="4" s="1"/>
  <c r="AF140" i="4" a="1"/>
  <c r="AF140" i="4" s="1"/>
  <c r="AE140" i="4" a="1"/>
  <c r="AE140" i="4" s="1"/>
  <c r="AD140" i="4" a="1"/>
  <c r="AD140" i="4" s="1"/>
  <c r="AC140" i="4" a="1"/>
  <c r="AC140" i="4" s="1"/>
  <c r="AB140" i="4" a="1"/>
  <c r="AB140" i="4" s="1"/>
  <c r="AA140" i="4" a="1"/>
  <c r="AA140" i="4" s="1"/>
  <c r="Z140" i="4" a="1"/>
  <c r="Z140" i="4" s="1"/>
  <c r="Y140" i="4" a="1"/>
  <c r="Y140" i="4" s="1"/>
  <c r="X140" i="4" a="1"/>
  <c r="X140" i="4" s="1"/>
  <c r="W140" i="4" a="1"/>
  <c r="W140" i="4" s="1"/>
  <c r="V140" i="4" a="1"/>
  <c r="V140" i="4" s="1"/>
  <c r="U140" i="4" a="1"/>
  <c r="U140" i="4" s="1"/>
  <c r="T140" i="4" a="1"/>
  <c r="T140" i="4" s="1"/>
  <c r="S140" i="4" a="1"/>
  <c r="S140" i="4" s="1"/>
  <c r="R140" i="4" a="1"/>
  <c r="R140" i="4" s="1"/>
  <c r="Q140" i="4" a="1"/>
  <c r="Q140" i="4" s="1"/>
  <c r="P140" i="4" a="1"/>
  <c r="P140" i="4" s="1"/>
  <c r="O140" i="4" a="1"/>
  <c r="O140" i="4" s="1"/>
  <c r="N140" i="4" a="1"/>
  <c r="N140" i="4" s="1"/>
  <c r="M140" i="4" a="1"/>
  <c r="M140" i="4" s="1"/>
  <c r="L140" i="4" a="1"/>
  <c r="L140" i="4" s="1"/>
  <c r="K140" i="4" a="1"/>
  <c r="K140" i="4" s="1"/>
  <c r="J140" i="4" a="1"/>
  <c r="J140" i="4" s="1"/>
  <c r="I140" i="4" a="1"/>
  <c r="I140" i="4" s="1"/>
  <c r="H140" i="4" a="1"/>
  <c r="H140" i="4" s="1"/>
  <c r="G140" i="4" a="1"/>
  <c r="G140" i="4" s="1"/>
  <c r="F140" i="4" a="1"/>
  <c r="F140" i="4" s="1"/>
  <c r="E140" i="4" a="1"/>
  <c r="E140" i="4" s="1"/>
  <c r="D140" i="4" a="1"/>
  <c r="D140" i="4" s="1"/>
  <c r="C140" i="4" a="1"/>
  <c r="C140" i="4" s="1"/>
  <c r="B140" i="4" a="1"/>
  <c r="B140" i="4" s="1"/>
  <c r="A140" i="4" a="1"/>
  <c r="A140" i="4" s="1"/>
  <c r="AG139" i="4" a="1"/>
  <c r="AG139" i="4" s="1"/>
  <c r="AF139" i="4" a="1"/>
  <c r="AF139" i="4" s="1"/>
  <c r="AE139" i="4" a="1"/>
  <c r="AE139" i="4" s="1"/>
  <c r="AD139" i="4" a="1"/>
  <c r="AD139" i="4" s="1"/>
  <c r="AC139" i="4" a="1"/>
  <c r="AC139" i="4" s="1"/>
  <c r="AB139" i="4" a="1"/>
  <c r="AB139" i="4" s="1"/>
  <c r="AA139" i="4" a="1"/>
  <c r="AA139" i="4" s="1"/>
  <c r="Z139" i="4" a="1"/>
  <c r="Z139" i="4" s="1"/>
  <c r="Y139" i="4" a="1"/>
  <c r="Y139" i="4" s="1"/>
  <c r="X139" i="4" a="1"/>
  <c r="X139" i="4" s="1"/>
  <c r="W139" i="4" a="1"/>
  <c r="W139" i="4" s="1"/>
  <c r="V139" i="4" a="1"/>
  <c r="V139" i="4" s="1"/>
  <c r="U139" i="4" a="1"/>
  <c r="U139" i="4" s="1"/>
  <c r="T139" i="4" a="1"/>
  <c r="T139" i="4" s="1"/>
  <c r="S139" i="4" a="1"/>
  <c r="S139" i="4" s="1"/>
  <c r="R139" i="4" a="1"/>
  <c r="R139" i="4" s="1"/>
  <c r="Q139" i="4" a="1"/>
  <c r="Q139" i="4" s="1"/>
  <c r="P139" i="4" a="1"/>
  <c r="P139" i="4" s="1"/>
  <c r="O139" i="4" a="1"/>
  <c r="O139" i="4" s="1"/>
  <c r="N139" i="4" a="1"/>
  <c r="N139" i="4" s="1"/>
  <c r="M139" i="4" a="1"/>
  <c r="M139" i="4" s="1"/>
  <c r="L139" i="4" a="1"/>
  <c r="L139" i="4" s="1"/>
  <c r="K139" i="4" a="1"/>
  <c r="K139" i="4" s="1"/>
  <c r="J139" i="4" a="1"/>
  <c r="J139" i="4" s="1"/>
  <c r="I139" i="4" a="1"/>
  <c r="I139" i="4" s="1"/>
  <c r="H139" i="4" a="1"/>
  <c r="H139" i="4" s="1"/>
  <c r="G139" i="4" a="1"/>
  <c r="G139" i="4" s="1"/>
  <c r="F139" i="4" a="1"/>
  <c r="F139" i="4" s="1"/>
  <c r="E139" i="4" a="1"/>
  <c r="E139" i="4" s="1"/>
  <c r="D139" i="4" a="1"/>
  <c r="D139" i="4" s="1"/>
  <c r="C139" i="4" a="1"/>
  <c r="C139" i="4" s="1"/>
  <c r="B139" i="4" a="1"/>
  <c r="B139" i="4" s="1"/>
  <c r="A139" i="4" a="1"/>
  <c r="A139" i="4" s="1"/>
  <c r="AF138" i="4" a="1"/>
  <c r="AF138" i="4" s="1"/>
  <c r="AE138" i="4" a="1"/>
  <c r="AE138" i="4" s="1"/>
  <c r="AD138" i="4" a="1"/>
  <c r="AD138" i="4" s="1"/>
  <c r="AC138" i="4" a="1"/>
  <c r="AC138" i="4" s="1"/>
  <c r="AB138" i="4" a="1"/>
  <c r="AB138" i="4" s="1"/>
  <c r="AA138" i="4" a="1"/>
  <c r="AA138" i="4" s="1"/>
  <c r="Z138" i="4" a="1"/>
  <c r="Z138" i="4" s="1"/>
  <c r="Y138" i="4" a="1"/>
  <c r="Y138" i="4" s="1"/>
  <c r="X138" i="4" a="1"/>
  <c r="X138" i="4" s="1"/>
  <c r="W138" i="4" a="1"/>
  <c r="W138" i="4" s="1"/>
  <c r="V138" i="4" a="1"/>
  <c r="V138" i="4" s="1"/>
  <c r="U138" i="4" a="1"/>
  <c r="U138" i="4" s="1"/>
  <c r="T138" i="4" a="1"/>
  <c r="T138" i="4" s="1"/>
  <c r="S138" i="4" a="1"/>
  <c r="S138" i="4" s="1"/>
  <c r="R138" i="4" a="1"/>
  <c r="R138" i="4" s="1"/>
  <c r="Q138" i="4" a="1"/>
  <c r="Q138" i="4" s="1"/>
  <c r="P138" i="4" a="1"/>
  <c r="P138" i="4" s="1"/>
  <c r="O138" i="4" a="1"/>
  <c r="O138" i="4" s="1"/>
  <c r="N138" i="4" a="1"/>
  <c r="N138" i="4" s="1"/>
  <c r="M138" i="4" a="1"/>
  <c r="M138" i="4" s="1"/>
  <c r="L138" i="4" a="1"/>
  <c r="L138" i="4" s="1"/>
  <c r="K138" i="4" a="1"/>
  <c r="K138" i="4" s="1"/>
  <c r="J138" i="4" a="1"/>
  <c r="J138" i="4" s="1"/>
  <c r="I138" i="4" a="1"/>
  <c r="I138" i="4" s="1"/>
  <c r="H138" i="4" a="1"/>
  <c r="H138" i="4" s="1"/>
  <c r="G138" i="4" a="1"/>
  <c r="G138" i="4" s="1"/>
  <c r="F138" i="4" a="1"/>
  <c r="F138" i="4" s="1"/>
  <c r="E138" i="4" a="1"/>
  <c r="E138" i="4" s="1"/>
  <c r="D138" i="4" a="1"/>
  <c r="D138" i="4" s="1"/>
  <c r="C138" i="4" a="1"/>
  <c r="C138" i="4" s="1"/>
  <c r="B138" i="4" a="1"/>
  <c r="B138" i="4" s="1"/>
  <c r="A138" i="4" a="1"/>
  <c r="A138" i="4" s="1"/>
  <c r="AF137" i="4" a="1"/>
  <c r="AF137" i="4" s="1"/>
  <c r="AE137" i="4" a="1"/>
  <c r="AE137" i="4" s="1"/>
  <c r="AD137" i="4" a="1"/>
  <c r="AD137" i="4" s="1"/>
  <c r="AC137" i="4" a="1"/>
  <c r="AC137" i="4" s="1"/>
  <c r="AB137" i="4" a="1"/>
  <c r="AB137" i="4" s="1"/>
  <c r="AA137" i="4" a="1"/>
  <c r="AA137" i="4" s="1"/>
  <c r="Z137" i="4" a="1"/>
  <c r="Z137" i="4" s="1"/>
  <c r="Y137" i="4" a="1"/>
  <c r="Y137" i="4" s="1"/>
  <c r="X137" i="4" a="1"/>
  <c r="X137" i="4" s="1"/>
  <c r="W137" i="4" a="1"/>
  <c r="W137" i="4" s="1"/>
  <c r="V137" i="4" a="1"/>
  <c r="V137" i="4" s="1"/>
  <c r="U137" i="4" a="1"/>
  <c r="U137" i="4" s="1"/>
  <c r="T137" i="4" a="1"/>
  <c r="T137" i="4" s="1"/>
  <c r="S137" i="4" a="1"/>
  <c r="S137" i="4" s="1"/>
  <c r="R137" i="4" a="1"/>
  <c r="R137" i="4" s="1"/>
  <c r="Q137" i="4" a="1"/>
  <c r="Q137" i="4" s="1"/>
  <c r="P137" i="4" a="1"/>
  <c r="P137" i="4" s="1"/>
  <c r="O137" i="4" a="1"/>
  <c r="O137" i="4" s="1"/>
  <c r="N137" i="4" a="1"/>
  <c r="N137" i="4" s="1"/>
  <c r="M137" i="4" a="1"/>
  <c r="M137" i="4" s="1"/>
  <c r="L137" i="4" a="1"/>
  <c r="L137" i="4" s="1"/>
  <c r="K137" i="4" a="1"/>
  <c r="K137" i="4" s="1"/>
  <c r="J137" i="4" a="1"/>
  <c r="J137" i="4" s="1"/>
  <c r="I137" i="4" a="1"/>
  <c r="I137" i="4" s="1"/>
  <c r="H137" i="4" a="1"/>
  <c r="H137" i="4" s="1"/>
  <c r="G137" i="4" a="1"/>
  <c r="G137" i="4" s="1"/>
  <c r="F137" i="4" a="1"/>
  <c r="F137" i="4" s="1"/>
  <c r="E137" i="4" a="1"/>
  <c r="E137" i="4" s="1"/>
  <c r="D137" i="4" a="1"/>
  <c r="D137" i="4" s="1"/>
  <c r="C137" i="4" a="1"/>
  <c r="C137" i="4" s="1"/>
  <c r="B137" i="4" a="1"/>
  <c r="B137" i="4" s="1"/>
  <c r="A137" i="4" a="1"/>
  <c r="A137" i="4" s="1"/>
  <c r="AF136" i="4" a="1"/>
  <c r="AF136" i="4" s="1"/>
  <c r="AE136" i="4" a="1"/>
  <c r="AE136" i="4" s="1"/>
  <c r="AD136" i="4" a="1"/>
  <c r="AD136" i="4" s="1"/>
  <c r="AC136" i="4" a="1"/>
  <c r="AC136" i="4" s="1"/>
  <c r="AB136" i="4" a="1"/>
  <c r="AB136" i="4" s="1"/>
  <c r="AA136" i="4" a="1"/>
  <c r="AA136" i="4" s="1"/>
  <c r="Z136" i="4" a="1"/>
  <c r="Z136" i="4" s="1"/>
  <c r="Y136" i="4" a="1"/>
  <c r="Y136" i="4" s="1"/>
  <c r="X136" i="4" a="1"/>
  <c r="X136" i="4" s="1"/>
  <c r="W136" i="4" a="1"/>
  <c r="W136" i="4" s="1"/>
  <c r="V136" i="4" a="1"/>
  <c r="V136" i="4" s="1"/>
  <c r="U136" i="4" a="1"/>
  <c r="U136" i="4" s="1"/>
  <c r="T136" i="4" a="1"/>
  <c r="T136" i="4" s="1"/>
  <c r="S136" i="4" a="1"/>
  <c r="S136" i="4" s="1"/>
  <c r="R136" i="4" a="1"/>
  <c r="R136" i="4" s="1"/>
  <c r="Q136" i="4" a="1"/>
  <c r="Q136" i="4" s="1"/>
  <c r="P136" i="4" a="1"/>
  <c r="P136" i="4" s="1"/>
  <c r="O136" i="4" a="1"/>
  <c r="O136" i="4" s="1"/>
  <c r="N136" i="4" a="1"/>
  <c r="N136" i="4" s="1"/>
  <c r="M136" i="4" a="1"/>
  <c r="M136" i="4" s="1"/>
  <c r="L136" i="4" a="1"/>
  <c r="L136" i="4" s="1"/>
  <c r="K136" i="4" a="1"/>
  <c r="K136" i="4" s="1"/>
  <c r="J136" i="4" a="1"/>
  <c r="J136" i="4" s="1"/>
  <c r="I136" i="4" a="1"/>
  <c r="I136" i="4" s="1"/>
  <c r="H136" i="4" a="1"/>
  <c r="H136" i="4" s="1"/>
  <c r="G136" i="4" a="1"/>
  <c r="G136" i="4" s="1"/>
  <c r="F136" i="4" a="1"/>
  <c r="F136" i="4" s="1"/>
  <c r="E136" i="4" a="1"/>
  <c r="E136" i="4" s="1"/>
  <c r="D136" i="4" a="1"/>
  <c r="D136" i="4" s="1"/>
  <c r="C136" i="4" a="1"/>
  <c r="C136" i="4" s="1"/>
  <c r="B136" i="4" a="1"/>
  <c r="B136" i="4" s="1"/>
  <c r="A136" i="4" a="1"/>
  <c r="A136" i="4" s="1"/>
  <c r="AF135" i="4" a="1"/>
  <c r="AF135" i="4" s="1"/>
  <c r="AE135" i="4" a="1"/>
  <c r="AE135" i="4" s="1"/>
  <c r="AD135" i="4" a="1"/>
  <c r="AD135" i="4" s="1"/>
  <c r="AC135" i="4" a="1"/>
  <c r="AC135" i="4" s="1"/>
  <c r="AB135" i="4" a="1"/>
  <c r="AB135" i="4" s="1"/>
  <c r="AA135" i="4" a="1"/>
  <c r="AA135" i="4" s="1"/>
  <c r="Z135" i="4" a="1"/>
  <c r="Z135" i="4" s="1"/>
  <c r="Y135" i="4" a="1"/>
  <c r="Y135" i="4" s="1"/>
  <c r="X135" i="4" a="1"/>
  <c r="X135" i="4" s="1"/>
  <c r="W135" i="4" a="1"/>
  <c r="W135" i="4" s="1"/>
  <c r="V135" i="4" a="1"/>
  <c r="V135" i="4" s="1"/>
  <c r="U135" i="4" a="1"/>
  <c r="U135" i="4" s="1"/>
  <c r="T135" i="4" a="1"/>
  <c r="T135" i="4" s="1"/>
  <c r="S135" i="4" a="1"/>
  <c r="S135" i="4" s="1"/>
  <c r="R135" i="4" a="1"/>
  <c r="R135" i="4" s="1"/>
  <c r="Q135" i="4" a="1"/>
  <c r="Q135" i="4" s="1"/>
  <c r="P135" i="4" a="1"/>
  <c r="P135" i="4" s="1"/>
  <c r="O135" i="4" a="1"/>
  <c r="O135" i="4" s="1"/>
  <c r="N135" i="4" a="1"/>
  <c r="N135" i="4" s="1"/>
  <c r="M135" i="4" a="1"/>
  <c r="M135" i="4" s="1"/>
  <c r="L135" i="4" a="1"/>
  <c r="L135" i="4" s="1"/>
  <c r="K135" i="4" a="1"/>
  <c r="K135" i="4" s="1"/>
  <c r="J135" i="4" a="1"/>
  <c r="J135" i="4" s="1"/>
  <c r="I135" i="4" a="1"/>
  <c r="I135" i="4" s="1"/>
  <c r="H135" i="4" a="1"/>
  <c r="H135" i="4" s="1"/>
  <c r="G135" i="4" a="1"/>
  <c r="G135" i="4" s="1"/>
  <c r="F135" i="4" a="1"/>
  <c r="F135" i="4" s="1"/>
  <c r="E135" i="4" a="1"/>
  <c r="E135" i="4" s="1"/>
  <c r="D135" i="4" a="1"/>
  <c r="D135" i="4" s="1"/>
  <c r="C135" i="4" a="1"/>
  <c r="C135" i="4" s="1"/>
  <c r="B135" i="4" a="1"/>
  <c r="B135" i="4" s="1"/>
  <c r="A135" i="4" a="1"/>
  <c r="A135" i="4" s="1"/>
  <c r="AF134" i="4" a="1"/>
  <c r="AF134" i="4" s="1"/>
  <c r="AE134" i="4" a="1"/>
  <c r="AE134" i="4" s="1"/>
  <c r="AD134" i="4" a="1"/>
  <c r="AD134" i="4" s="1"/>
  <c r="AC134" i="4" a="1"/>
  <c r="AC134" i="4" s="1"/>
  <c r="AB134" i="4" a="1"/>
  <c r="AB134" i="4" s="1"/>
  <c r="AA134" i="4" a="1"/>
  <c r="AA134" i="4" s="1"/>
  <c r="Z134" i="4" a="1"/>
  <c r="Z134" i="4" s="1"/>
  <c r="Y134" i="4" a="1"/>
  <c r="Y134" i="4" s="1"/>
  <c r="X134" i="4" a="1"/>
  <c r="X134" i="4" s="1"/>
  <c r="W134" i="4" a="1"/>
  <c r="W134" i="4" s="1"/>
  <c r="V134" i="4" a="1"/>
  <c r="V134" i="4" s="1"/>
  <c r="U134" i="4" a="1"/>
  <c r="U134" i="4" s="1"/>
  <c r="T134" i="4" a="1"/>
  <c r="T134" i="4" s="1"/>
  <c r="S134" i="4" a="1"/>
  <c r="S134" i="4" s="1"/>
  <c r="R134" i="4" a="1"/>
  <c r="R134" i="4" s="1"/>
  <c r="Q134" i="4" a="1"/>
  <c r="Q134" i="4" s="1"/>
  <c r="P134" i="4" a="1"/>
  <c r="P134" i="4" s="1"/>
  <c r="O134" i="4" a="1"/>
  <c r="O134" i="4" s="1"/>
  <c r="N134" i="4" a="1"/>
  <c r="N134" i="4" s="1"/>
  <c r="M134" i="4" a="1"/>
  <c r="M134" i="4" s="1"/>
  <c r="L134" i="4" a="1"/>
  <c r="L134" i="4" s="1"/>
  <c r="K134" i="4" a="1"/>
  <c r="K134" i="4" s="1"/>
  <c r="J134" i="4" a="1"/>
  <c r="J134" i="4" s="1"/>
  <c r="I134" i="4" a="1"/>
  <c r="I134" i="4" s="1"/>
  <c r="H134" i="4" a="1"/>
  <c r="H134" i="4" s="1"/>
  <c r="G134" i="4" a="1"/>
  <c r="G134" i="4" s="1"/>
  <c r="F134" i="4" a="1"/>
  <c r="F134" i="4" s="1"/>
  <c r="E134" i="4" a="1"/>
  <c r="E134" i="4" s="1"/>
  <c r="D134" i="4" a="1"/>
  <c r="D134" i="4" s="1"/>
  <c r="C134" i="4" a="1"/>
  <c r="C134" i="4" s="1"/>
  <c r="B134" i="4" a="1"/>
  <c r="B134" i="4" s="1"/>
  <c r="A134" i="4" a="1"/>
  <c r="A134" i="4" s="1"/>
  <c r="AF133" i="4" a="1"/>
  <c r="AF133" i="4" s="1"/>
  <c r="AE133" i="4" a="1"/>
  <c r="AE133" i="4" s="1"/>
  <c r="AD133" i="4" a="1"/>
  <c r="AD133" i="4" s="1"/>
  <c r="AC133" i="4" a="1"/>
  <c r="AC133" i="4" s="1"/>
  <c r="AB133" i="4" a="1"/>
  <c r="AB133" i="4" s="1"/>
  <c r="AA133" i="4" a="1"/>
  <c r="AA133" i="4" s="1"/>
  <c r="Z133" i="4" a="1"/>
  <c r="Z133" i="4" s="1"/>
  <c r="Y133" i="4" a="1"/>
  <c r="Y133" i="4" s="1"/>
  <c r="X133" i="4" a="1"/>
  <c r="X133" i="4" s="1"/>
  <c r="W133" i="4" a="1"/>
  <c r="W133" i="4" s="1"/>
  <c r="V133" i="4" a="1"/>
  <c r="V133" i="4" s="1"/>
  <c r="U133" i="4" a="1"/>
  <c r="U133" i="4" s="1"/>
  <c r="T133" i="4" a="1"/>
  <c r="T133" i="4" s="1"/>
  <c r="S133" i="4" a="1"/>
  <c r="S133" i="4" s="1"/>
  <c r="R133" i="4" a="1"/>
  <c r="R133" i="4" s="1"/>
  <c r="Q133" i="4" a="1"/>
  <c r="Q133" i="4" s="1"/>
  <c r="P133" i="4" a="1"/>
  <c r="P133" i="4" s="1"/>
  <c r="O133" i="4" a="1"/>
  <c r="O133" i="4" s="1"/>
  <c r="N133" i="4" a="1"/>
  <c r="N133" i="4" s="1"/>
  <c r="M133" i="4" a="1"/>
  <c r="M133" i="4" s="1"/>
  <c r="L133" i="4" a="1"/>
  <c r="L133" i="4" s="1"/>
  <c r="K133" i="4" a="1"/>
  <c r="K133" i="4" s="1"/>
  <c r="J133" i="4" a="1"/>
  <c r="J133" i="4" s="1"/>
  <c r="I133" i="4" a="1"/>
  <c r="I133" i="4" s="1"/>
  <c r="H133" i="4" a="1"/>
  <c r="H133" i="4" s="1"/>
  <c r="G133" i="4" a="1"/>
  <c r="G133" i="4" s="1"/>
  <c r="F133" i="4" a="1"/>
  <c r="F133" i="4" s="1"/>
  <c r="E133" i="4" a="1"/>
  <c r="E133" i="4" s="1"/>
  <c r="D133" i="4" a="1"/>
  <c r="D133" i="4" s="1"/>
  <c r="C133" i="4" a="1"/>
  <c r="C133" i="4" s="1"/>
  <c r="B133" i="4" a="1"/>
  <c r="B133" i="4" s="1"/>
  <c r="A133" i="4" a="1"/>
  <c r="A133" i="4" s="1"/>
  <c r="AF132" i="4" a="1"/>
  <c r="AF132" i="4" s="1"/>
  <c r="AE132" i="4" a="1"/>
  <c r="AE132" i="4" s="1"/>
  <c r="AD132" i="4" a="1"/>
  <c r="AD132" i="4" s="1"/>
  <c r="AC132" i="4" a="1"/>
  <c r="AC132" i="4" s="1"/>
  <c r="AB132" i="4" a="1"/>
  <c r="AB132" i="4" s="1"/>
  <c r="AA132" i="4" a="1"/>
  <c r="AA132" i="4" s="1"/>
  <c r="Z132" i="4" a="1"/>
  <c r="Z132" i="4" s="1"/>
  <c r="Y132" i="4" a="1"/>
  <c r="Y132" i="4" s="1"/>
  <c r="X132" i="4" a="1"/>
  <c r="X132" i="4" s="1"/>
  <c r="W132" i="4" a="1"/>
  <c r="W132" i="4" s="1"/>
  <c r="V132" i="4" a="1"/>
  <c r="V132" i="4" s="1"/>
  <c r="U132" i="4" a="1"/>
  <c r="U132" i="4" s="1"/>
  <c r="T132" i="4" a="1"/>
  <c r="T132" i="4" s="1"/>
  <c r="S132" i="4" a="1"/>
  <c r="S132" i="4" s="1"/>
  <c r="R132" i="4" a="1"/>
  <c r="R132" i="4" s="1"/>
  <c r="Q132" i="4" a="1"/>
  <c r="Q132" i="4" s="1"/>
  <c r="P132" i="4" a="1"/>
  <c r="P132" i="4" s="1"/>
  <c r="O132" i="4" a="1"/>
  <c r="O132" i="4" s="1"/>
  <c r="N132" i="4" a="1"/>
  <c r="N132" i="4" s="1"/>
  <c r="M132" i="4" a="1"/>
  <c r="M132" i="4" s="1"/>
  <c r="L132" i="4" a="1"/>
  <c r="L132" i="4" s="1"/>
  <c r="K132" i="4" a="1"/>
  <c r="K132" i="4" s="1"/>
  <c r="J132" i="4" a="1"/>
  <c r="J132" i="4" s="1"/>
  <c r="I132" i="4" a="1"/>
  <c r="I132" i="4" s="1"/>
  <c r="H132" i="4" a="1"/>
  <c r="H132" i="4" s="1"/>
  <c r="G132" i="4" a="1"/>
  <c r="G132" i="4" s="1"/>
  <c r="F132" i="4" a="1"/>
  <c r="F132" i="4" s="1"/>
  <c r="E132" i="4" a="1"/>
  <c r="E132" i="4" s="1"/>
  <c r="D132" i="4" a="1"/>
  <c r="D132" i="4" s="1"/>
  <c r="C132" i="4" a="1"/>
  <c r="C132" i="4" s="1"/>
  <c r="B132" i="4" a="1"/>
  <c r="B132" i="4" s="1"/>
  <c r="A132" i="4" a="1"/>
  <c r="A132" i="4" s="1"/>
  <c r="AF131" i="4" a="1"/>
  <c r="AF131" i="4" s="1"/>
  <c r="AE131" i="4" a="1"/>
  <c r="AE131" i="4" s="1"/>
  <c r="AD131" i="4" a="1"/>
  <c r="AD131" i="4" s="1"/>
  <c r="AC131" i="4" a="1"/>
  <c r="AC131" i="4" s="1"/>
  <c r="AB131" i="4" a="1"/>
  <c r="AB131" i="4" s="1"/>
  <c r="AA131" i="4" a="1"/>
  <c r="AA131" i="4" s="1"/>
  <c r="Z131" i="4" a="1"/>
  <c r="Z131" i="4" s="1"/>
  <c r="Y131" i="4" a="1"/>
  <c r="Y131" i="4" s="1"/>
  <c r="X131" i="4" a="1"/>
  <c r="X131" i="4" s="1"/>
  <c r="W131" i="4" a="1"/>
  <c r="W131" i="4" s="1"/>
  <c r="V131" i="4" a="1"/>
  <c r="V131" i="4" s="1"/>
  <c r="U131" i="4" a="1"/>
  <c r="U131" i="4" s="1"/>
  <c r="T131" i="4" a="1"/>
  <c r="T131" i="4" s="1"/>
  <c r="S131" i="4" a="1"/>
  <c r="S131" i="4" s="1"/>
  <c r="R131" i="4" a="1"/>
  <c r="R131" i="4" s="1"/>
  <c r="Q131" i="4" a="1"/>
  <c r="Q131" i="4" s="1"/>
  <c r="P131" i="4" a="1"/>
  <c r="P131" i="4" s="1"/>
  <c r="O131" i="4" a="1"/>
  <c r="O131" i="4" s="1"/>
  <c r="N131" i="4" a="1"/>
  <c r="N131" i="4" s="1"/>
  <c r="M131" i="4" a="1"/>
  <c r="M131" i="4" s="1"/>
  <c r="L131" i="4" a="1"/>
  <c r="L131" i="4" s="1"/>
  <c r="K131" i="4" a="1"/>
  <c r="K131" i="4" s="1"/>
  <c r="J131" i="4" a="1"/>
  <c r="J131" i="4" s="1"/>
  <c r="I131" i="4" a="1"/>
  <c r="I131" i="4" s="1"/>
  <c r="H131" i="4" a="1"/>
  <c r="H131" i="4" s="1"/>
  <c r="G131" i="4" a="1"/>
  <c r="G131" i="4" s="1"/>
  <c r="F131" i="4" a="1"/>
  <c r="F131" i="4" s="1"/>
  <c r="E131" i="4" a="1"/>
  <c r="E131" i="4" s="1"/>
  <c r="D131" i="4" a="1"/>
  <c r="D131" i="4" s="1"/>
  <c r="C131" i="4" a="1"/>
  <c r="C131" i="4" s="1"/>
  <c r="B131" i="4" a="1"/>
  <c r="B131" i="4" s="1"/>
  <c r="A131" i="4" a="1"/>
  <c r="A131" i="4" s="1"/>
  <c r="AF130" i="4" a="1"/>
  <c r="AF130" i="4" s="1"/>
  <c r="AE130" i="4" a="1"/>
  <c r="AE130" i="4" s="1"/>
  <c r="AD130" i="4" a="1"/>
  <c r="AD130" i="4" s="1"/>
  <c r="AC130" i="4" a="1"/>
  <c r="AC130" i="4" s="1"/>
  <c r="AB130" i="4" a="1"/>
  <c r="AB130" i="4" s="1"/>
  <c r="AA130" i="4" a="1"/>
  <c r="AA130" i="4" s="1"/>
  <c r="Z130" i="4" a="1"/>
  <c r="Z130" i="4" s="1"/>
  <c r="Y130" i="4" a="1"/>
  <c r="Y130" i="4" s="1"/>
  <c r="X130" i="4" a="1"/>
  <c r="X130" i="4" s="1"/>
  <c r="W130" i="4" a="1"/>
  <c r="W130" i="4" s="1"/>
  <c r="V130" i="4" a="1"/>
  <c r="V130" i="4" s="1"/>
  <c r="U130" i="4" a="1"/>
  <c r="U130" i="4" s="1"/>
  <c r="T130" i="4" a="1"/>
  <c r="T130" i="4" s="1"/>
  <c r="S130" i="4" a="1"/>
  <c r="S130" i="4" s="1"/>
  <c r="R130" i="4" a="1"/>
  <c r="R130" i="4" s="1"/>
  <c r="Q130" i="4" a="1"/>
  <c r="Q130" i="4" s="1"/>
  <c r="P130" i="4" a="1"/>
  <c r="P130" i="4" s="1"/>
  <c r="O130" i="4" a="1"/>
  <c r="O130" i="4" s="1"/>
  <c r="N130" i="4" a="1"/>
  <c r="N130" i="4" s="1"/>
  <c r="M130" i="4" a="1"/>
  <c r="M130" i="4" s="1"/>
  <c r="L130" i="4" a="1"/>
  <c r="L130" i="4" s="1"/>
  <c r="K130" i="4" a="1"/>
  <c r="K130" i="4" s="1"/>
  <c r="J130" i="4" a="1"/>
  <c r="J130" i="4" s="1"/>
  <c r="I130" i="4" a="1"/>
  <c r="I130" i="4" s="1"/>
  <c r="H130" i="4" a="1"/>
  <c r="H130" i="4" s="1"/>
  <c r="G130" i="4" a="1"/>
  <c r="G130" i="4" s="1"/>
  <c r="F130" i="4" a="1"/>
  <c r="F130" i="4" s="1"/>
  <c r="E130" i="4" a="1"/>
  <c r="E130" i="4" s="1"/>
  <c r="D130" i="4" a="1"/>
  <c r="D130" i="4" s="1"/>
  <c r="C130" i="4" a="1"/>
  <c r="C130" i="4" s="1"/>
  <c r="B130" i="4" a="1"/>
  <c r="B130" i="4" s="1"/>
  <c r="A130" i="4" a="1"/>
  <c r="A130" i="4" s="1"/>
  <c r="AF129" i="4" a="1"/>
  <c r="AF129" i="4" s="1"/>
  <c r="AE129" i="4" a="1"/>
  <c r="AE129" i="4" s="1"/>
  <c r="AD129" i="4" a="1"/>
  <c r="AD129" i="4" s="1"/>
  <c r="AC129" i="4" a="1"/>
  <c r="AC129" i="4" s="1"/>
  <c r="AB129" i="4" a="1"/>
  <c r="AB129" i="4" s="1"/>
  <c r="AA129" i="4" a="1"/>
  <c r="AA129" i="4" s="1"/>
  <c r="Z129" i="4" a="1"/>
  <c r="Z129" i="4" s="1"/>
  <c r="Y129" i="4" a="1"/>
  <c r="Y129" i="4" s="1"/>
  <c r="X129" i="4" a="1"/>
  <c r="X129" i="4" s="1"/>
  <c r="W129" i="4" a="1"/>
  <c r="W129" i="4" s="1"/>
  <c r="V129" i="4" a="1"/>
  <c r="V129" i="4" s="1"/>
  <c r="U129" i="4" a="1"/>
  <c r="U129" i="4" s="1"/>
  <c r="T129" i="4" a="1"/>
  <c r="T129" i="4" s="1"/>
  <c r="S129" i="4" a="1"/>
  <c r="S129" i="4" s="1"/>
  <c r="R129" i="4" a="1"/>
  <c r="R129" i="4" s="1"/>
  <c r="Q129" i="4" a="1"/>
  <c r="Q129" i="4" s="1"/>
  <c r="P129" i="4" a="1"/>
  <c r="P129" i="4" s="1"/>
  <c r="O129" i="4" a="1"/>
  <c r="O129" i="4" s="1"/>
  <c r="N129" i="4" a="1"/>
  <c r="N129" i="4" s="1"/>
  <c r="M129" i="4" a="1"/>
  <c r="M129" i="4" s="1"/>
  <c r="L129" i="4" a="1"/>
  <c r="L129" i="4" s="1"/>
  <c r="K129" i="4" a="1"/>
  <c r="K129" i="4" s="1"/>
  <c r="J129" i="4" a="1"/>
  <c r="J129" i="4" s="1"/>
  <c r="I129" i="4" a="1"/>
  <c r="I129" i="4" s="1"/>
  <c r="H129" i="4" a="1"/>
  <c r="H129" i="4" s="1"/>
  <c r="G129" i="4" a="1"/>
  <c r="G129" i="4" s="1"/>
  <c r="F129" i="4" a="1"/>
  <c r="F129" i="4" s="1"/>
  <c r="E129" i="4" a="1"/>
  <c r="E129" i="4" s="1"/>
  <c r="D129" i="4" a="1"/>
  <c r="D129" i="4" s="1"/>
  <c r="C129" i="4" a="1"/>
  <c r="C129" i="4" s="1"/>
  <c r="B129" i="4" a="1"/>
  <c r="B129" i="4" s="1"/>
  <c r="A129" i="4" a="1"/>
  <c r="A129" i="4" s="1"/>
  <c r="AF128" i="4" a="1"/>
  <c r="AF128" i="4" s="1"/>
  <c r="AE128" i="4" a="1"/>
  <c r="AE128" i="4" s="1"/>
  <c r="AD128" i="4" a="1"/>
  <c r="AD128" i="4" s="1"/>
  <c r="AC128" i="4" a="1"/>
  <c r="AC128" i="4" s="1"/>
  <c r="AB128" i="4" a="1"/>
  <c r="AB128" i="4" s="1"/>
  <c r="AA128" i="4" a="1"/>
  <c r="AA128" i="4" s="1"/>
  <c r="Z128" i="4" a="1"/>
  <c r="Z128" i="4" s="1"/>
  <c r="Y128" i="4" a="1"/>
  <c r="Y128" i="4" s="1"/>
  <c r="X128" i="4" a="1"/>
  <c r="X128" i="4" s="1"/>
  <c r="W128" i="4" a="1"/>
  <c r="W128" i="4" s="1"/>
  <c r="V128" i="4" a="1"/>
  <c r="V128" i="4" s="1"/>
  <c r="U128" i="4" a="1"/>
  <c r="U128" i="4" s="1"/>
  <c r="T128" i="4" a="1"/>
  <c r="T128" i="4" s="1"/>
  <c r="S128" i="4" a="1"/>
  <c r="S128" i="4" s="1"/>
  <c r="R128" i="4" a="1"/>
  <c r="R128" i="4" s="1"/>
  <c r="Q128" i="4" a="1"/>
  <c r="Q128" i="4" s="1"/>
  <c r="P128" i="4" a="1"/>
  <c r="P128" i="4" s="1"/>
  <c r="O128" i="4" a="1"/>
  <c r="O128" i="4" s="1"/>
  <c r="N128" i="4" a="1"/>
  <c r="N128" i="4" s="1"/>
  <c r="M128" i="4" a="1"/>
  <c r="M128" i="4" s="1"/>
  <c r="L128" i="4" a="1"/>
  <c r="L128" i="4" s="1"/>
  <c r="K128" i="4" a="1"/>
  <c r="K128" i="4" s="1"/>
  <c r="J128" i="4" a="1"/>
  <c r="J128" i="4" s="1"/>
  <c r="I128" i="4" a="1"/>
  <c r="I128" i="4" s="1"/>
  <c r="H128" i="4" a="1"/>
  <c r="H128" i="4" s="1"/>
  <c r="G128" i="4" a="1"/>
  <c r="G128" i="4" s="1"/>
  <c r="F128" i="4" a="1"/>
  <c r="F128" i="4" s="1"/>
  <c r="E128" i="4" a="1"/>
  <c r="E128" i="4" s="1"/>
  <c r="D128" i="4" a="1"/>
  <c r="D128" i="4" s="1"/>
  <c r="C128" i="4" a="1"/>
  <c r="C128" i="4" s="1"/>
  <c r="B128" i="4" a="1"/>
  <c r="B128" i="4" s="1"/>
  <c r="A128" i="4" a="1"/>
  <c r="A128" i="4" s="1"/>
  <c r="AF127" i="4" a="1"/>
  <c r="AF127" i="4" s="1"/>
  <c r="AE127" i="4" a="1"/>
  <c r="AE127" i="4" s="1"/>
  <c r="AD127" i="4" a="1"/>
  <c r="AD127" i="4" s="1"/>
  <c r="AC127" i="4" a="1"/>
  <c r="AC127" i="4" s="1"/>
  <c r="AB127" i="4" a="1"/>
  <c r="AB127" i="4" s="1"/>
  <c r="AA127" i="4" a="1"/>
  <c r="AA127" i="4" s="1"/>
  <c r="Z127" i="4" a="1"/>
  <c r="Z127" i="4" s="1"/>
  <c r="Y127" i="4" a="1"/>
  <c r="Y127" i="4" s="1"/>
  <c r="X127" i="4" a="1"/>
  <c r="X127" i="4" s="1"/>
  <c r="W127" i="4" a="1"/>
  <c r="W127" i="4" s="1"/>
  <c r="V127" i="4" a="1"/>
  <c r="V127" i="4" s="1"/>
  <c r="U127" i="4" a="1"/>
  <c r="U127" i="4" s="1"/>
  <c r="T127" i="4" a="1"/>
  <c r="T127" i="4" s="1"/>
  <c r="S127" i="4" a="1"/>
  <c r="S127" i="4" s="1"/>
  <c r="R127" i="4" a="1"/>
  <c r="R127" i="4" s="1"/>
  <c r="Q127" i="4" a="1"/>
  <c r="Q127" i="4" s="1"/>
  <c r="P127" i="4" a="1"/>
  <c r="P127" i="4" s="1"/>
  <c r="O127" i="4" a="1"/>
  <c r="O127" i="4" s="1"/>
  <c r="N127" i="4" a="1"/>
  <c r="N127" i="4" s="1"/>
  <c r="M127" i="4" a="1"/>
  <c r="M127" i="4" s="1"/>
  <c r="L127" i="4" a="1"/>
  <c r="L127" i="4" s="1"/>
  <c r="K127" i="4" a="1"/>
  <c r="K127" i="4" s="1"/>
  <c r="J127" i="4" a="1"/>
  <c r="J127" i="4" s="1"/>
  <c r="I127" i="4" a="1"/>
  <c r="I127" i="4" s="1"/>
  <c r="H127" i="4" a="1"/>
  <c r="H127" i="4" s="1"/>
  <c r="G127" i="4" a="1"/>
  <c r="G127" i="4" s="1"/>
  <c r="F127" i="4" a="1"/>
  <c r="F127" i="4" s="1"/>
  <c r="E127" i="4" a="1"/>
  <c r="E127" i="4" s="1"/>
  <c r="D127" i="4" a="1"/>
  <c r="D127" i="4" s="1"/>
  <c r="C127" i="4" a="1"/>
  <c r="C127" i="4" s="1"/>
  <c r="B127" i="4" a="1"/>
  <c r="B127" i="4" s="1"/>
  <c r="A127" i="4" a="1"/>
  <c r="A127" i="4" s="1"/>
  <c r="AF126" i="4" a="1"/>
  <c r="AF126" i="4" s="1"/>
  <c r="AE126" i="4" a="1"/>
  <c r="AE126" i="4" s="1"/>
  <c r="AD126" i="4" a="1"/>
  <c r="AD126" i="4" s="1"/>
  <c r="AC126" i="4" a="1"/>
  <c r="AC126" i="4" s="1"/>
  <c r="AB126" i="4" a="1"/>
  <c r="AB126" i="4" s="1"/>
  <c r="AA126" i="4" a="1"/>
  <c r="AA126" i="4" s="1"/>
  <c r="Z126" i="4" a="1"/>
  <c r="Z126" i="4" s="1"/>
  <c r="Y126" i="4" a="1"/>
  <c r="Y126" i="4" s="1"/>
  <c r="X126" i="4" a="1"/>
  <c r="X126" i="4" s="1"/>
  <c r="W126" i="4" a="1"/>
  <c r="W126" i="4" s="1"/>
  <c r="V126" i="4" a="1"/>
  <c r="V126" i="4" s="1"/>
  <c r="U126" i="4" a="1"/>
  <c r="U126" i="4" s="1"/>
  <c r="T126" i="4" a="1"/>
  <c r="T126" i="4" s="1"/>
  <c r="S126" i="4" a="1"/>
  <c r="S126" i="4" s="1"/>
  <c r="R126" i="4" a="1"/>
  <c r="R126" i="4" s="1"/>
  <c r="Q126" i="4" a="1"/>
  <c r="Q126" i="4" s="1"/>
  <c r="P126" i="4" a="1"/>
  <c r="P126" i="4" s="1"/>
  <c r="O126" i="4" a="1"/>
  <c r="O126" i="4" s="1"/>
  <c r="N126" i="4" a="1"/>
  <c r="N126" i="4" s="1"/>
  <c r="M126" i="4" a="1"/>
  <c r="M126" i="4" s="1"/>
  <c r="L126" i="4" a="1"/>
  <c r="L126" i="4" s="1"/>
  <c r="K126" i="4" a="1"/>
  <c r="K126" i="4" s="1"/>
  <c r="J126" i="4" a="1"/>
  <c r="J126" i="4" s="1"/>
  <c r="I126" i="4" a="1"/>
  <c r="I126" i="4" s="1"/>
  <c r="H126" i="4" a="1"/>
  <c r="H126" i="4" s="1"/>
  <c r="G126" i="4" a="1"/>
  <c r="G126" i="4" s="1"/>
  <c r="F126" i="4" a="1"/>
  <c r="F126" i="4" s="1"/>
  <c r="E126" i="4" a="1"/>
  <c r="E126" i="4" s="1"/>
  <c r="D126" i="4" a="1"/>
  <c r="D126" i="4" s="1"/>
  <c r="C126" i="4" a="1"/>
  <c r="C126" i="4" s="1"/>
  <c r="B126" i="4" a="1"/>
  <c r="B126" i="4" s="1"/>
  <c r="A126" i="4" a="1"/>
  <c r="A126" i="4" s="1"/>
  <c r="AF125" i="4" a="1"/>
  <c r="AF125" i="4" s="1"/>
  <c r="AE125" i="4" a="1"/>
  <c r="AE125" i="4" s="1"/>
  <c r="AD125" i="4" a="1"/>
  <c r="AD125" i="4" s="1"/>
  <c r="AC125" i="4" a="1"/>
  <c r="AC125" i="4" s="1"/>
  <c r="AB125" i="4" a="1"/>
  <c r="AB125" i="4" s="1"/>
  <c r="AA125" i="4" a="1"/>
  <c r="AA125" i="4" s="1"/>
  <c r="Z125" i="4" a="1"/>
  <c r="Z125" i="4" s="1"/>
  <c r="Y125" i="4" a="1"/>
  <c r="Y125" i="4" s="1"/>
  <c r="X125" i="4" a="1"/>
  <c r="X125" i="4" s="1"/>
  <c r="W125" i="4" a="1"/>
  <c r="W125" i="4" s="1"/>
  <c r="V125" i="4" a="1"/>
  <c r="V125" i="4" s="1"/>
  <c r="U125" i="4" a="1"/>
  <c r="U125" i="4" s="1"/>
  <c r="T125" i="4" a="1"/>
  <c r="T125" i="4" s="1"/>
  <c r="S125" i="4" a="1"/>
  <c r="S125" i="4" s="1"/>
  <c r="R125" i="4" a="1"/>
  <c r="R125" i="4" s="1"/>
  <c r="Q125" i="4" a="1"/>
  <c r="Q125" i="4" s="1"/>
  <c r="P125" i="4" a="1"/>
  <c r="P125" i="4" s="1"/>
  <c r="O125" i="4" a="1"/>
  <c r="O125" i="4" s="1"/>
  <c r="N125" i="4" a="1"/>
  <c r="N125" i="4" s="1"/>
  <c r="M125" i="4" a="1"/>
  <c r="M125" i="4" s="1"/>
  <c r="L125" i="4" a="1"/>
  <c r="L125" i="4" s="1"/>
  <c r="K125" i="4" a="1"/>
  <c r="K125" i="4" s="1"/>
  <c r="J125" i="4" a="1"/>
  <c r="J125" i="4" s="1"/>
  <c r="I125" i="4" a="1"/>
  <c r="I125" i="4" s="1"/>
  <c r="H125" i="4" a="1"/>
  <c r="H125" i="4" s="1"/>
  <c r="G125" i="4" a="1"/>
  <c r="G125" i="4" s="1"/>
  <c r="F125" i="4" a="1"/>
  <c r="F125" i="4" s="1"/>
  <c r="E125" i="4" a="1"/>
  <c r="E125" i="4" s="1"/>
  <c r="D125" i="4" a="1"/>
  <c r="D125" i="4" s="1"/>
  <c r="C125" i="4" a="1"/>
  <c r="C125" i="4" s="1"/>
  <c r="B125" i="4" a="1"/>
  <c r="B125" i="4" s="1"/>
  <c r="A125" i="4" a="1"/>
  <c r="A125" i="4" s="1"/>
  <c r="AF124" i="4" a="1"/>
  <c r="AF124" i="4" s="1"/>
  <c r="AE124" i="4" a="1"/>
  <c r="AE124" i="4" s="1"/>
  <c r="AD124" i="4" a="1"/>
  <c r="AD124" i="4" s="1"/>
  <c r="AC124" i="4" a="1"/>
  <c r="AC124" i="4" s="1"/>
  <c r="AB124" i="4" a="1"/>
  <c r="AB124" i="4" s="1"/>
  <c r="AA124" i="4" a="1"/>
  <c r="AA124" i="4" s="1"/>
  <c r="Z124" i="4" a="1"/>
  <c r="Z124" i="4" s="1"/>
  <c r="Y124" i="4" a="1"/>
  <c r="Y124" i="4" s="1"/>
  <c r="X124" i="4" a="1"/>
  <c r="X124" i="4" s="1"/>
  <c r="W124" i="4" a="1"/>
  <c r="W124" i="4" s="1"/>
  <c r="V124" i="4" a="1"/>
  <c r="V124" i="4" s="1"/>
  <c r="U124" i="4" a="1"/>
  <c r="U124" i="4" s="1"/>
  <c r="T124" i="4" a="1"/>
  <c r="T124" i="4" s="1"/>
  <c r="S124" i="4" a="1"/>
  <c r="S124" i="4" s="1"/>
  <c r="R124" i="4" a="1"/>
  <c r="R124" i="4" s="1"/>
  <c r="Q124" i="4" a="1"/>
  <c r="Q124" i="4" s="1"/>
  <c r="P124" i="4" a="1"/>
  <c r="P124" i="4" s="1"/>
  <c r="O124" i="4" a="1"/>
  <c r="O124" i="4" s="1"/>
  <c r="N124" i="4" a="1"/>
  <c r="N124" i="4" s="1"/>
  <c r="M124" i="4" a="1"/>
  <c r="M124" i="4" s="1"/>
  <c r="L124" i="4" a="1"/>
  <c r="L124" i="4" s="1"/>
  <c r="K124" i="4" a="1"/>
  <c r="K124" i="4" s="1"/>
  <c r="J124" i="4" a="1"/>
  <c r="J124" i="4" s="1"/>
  <c r="I124" i="4" a="1"/>
  <c r="I124" i="4" s="1"/>
  <c r="H124" i="4" a="1"/>
  <c r="H124" i="4" s="1"/>
  <c r="G124" i="4" a="1"/>
  <c r="G124" i="4" s="1"/>
  <c r="F124" i="4" a="1"/>
  <c r="F124" i="4" s="1"/>
  <c r="E124" i="4" a="1"/>
  <c r="E124" i="4" s="1"/>
  <c r="D124" i="4" a="1"/>
  <c r="D124" i="4" s="1"/>
  <c r="C124" i="4" a="1"/>
  <c r="C124" i="4" s="1"/>
  <c r="B124" i="4" a="1"/>
  <c r="B124" i="4" s="1"/>
  <c r="A124" i="4" a="1"/>
  <c r="A124" i="4" s="1"/>
  <c r="AF123" i="4" a="1"/>
  <c r="AF123" i="4" s="1"/>
  <c r="AE123" i="4" a="1"/>
  <c r="AE123" i="4" s="1"/>
  <c r="AD123" i="4" a="1"/>
  <c r="AD123" i="4" s="1"/>
  <c r="AC123" i="4" a="1"/>
  <c r="AC123" i="4" s="1"/>
  <c r="AB123" i="4" a="1"/>
  <c r="AB123" i="4" s="1"/>
  <c r="AA123" i="4" a="1"/>
  <c r="AA123" i="4" s="1"/>
  <c r="Z123" i="4" a="1"/>
  <c r="Z123" i="4" s="1"/>
  <c r="Y123" i="4" a="1"/>
  <c r="Y123" i="4" s="1"/>
  <c r="X123" i="4" a="1"/>
  <c r="X123" i="4" s="1"/>
  <c r="W123" i="4" a="1"/>
  <c r="W123" i="4" s="1"/>
  <c r="V123" i="4" a="1"/>
  <c r="V123" i="4" s="1"/>
  <c r="U123" i="4" a="1"/>
  <c r="U123" i="4" s="1"/>
  <c r="T123" i="4" a="1"/>
  <c r="T123" i="4" s="1"/>
  <c r="S123" i="4" a="1"/>
  <c r="S123" i="4" s="1"/>
  <c r="R123" i="4" a="1"/>
  <c r="R123" i="4" s="1"/>
  <c r="Q123" i="4" a="1"/>
  <c r="Q123" i="4" s="1"/>
  <c r="P123" i="4" a="1"/>
  <c r="P123" i="4" s="1"/>
  <c r="O123" i="4" a="1"/>
  <c r="O123" i="4" s="1"/>
  <c r="N123" i="4" a="1"/>
  <c r="N123" i="4" s="1"/>
  <c r="M123" i="4" a="1"/>
  <c r="M123" i="4" s="1"/>
  <c r="L123" i="4" a="1"/>
  <c r="L123" i="4" s="1"/>
  <c r="K123" i="4" a="1"/>
  <c r="K123" i="4" s="1"/>
  <c r="J123" i="4" a="1"/>
  <c r="J123" i="4" s="1"/>
  <c r="I123" i="4" a="1"/>
  <c r="I123" i="4" s="1"/>
  <c r="H123" i="4" a="1"/>
  <c r="H123" i="4" s="1"/>
  <c r="G123" i="4" a="1"/>
  <c r="G123" i="4" s="1"/>
  <c r="F123" i="4" a="1"/>
  <c r="F123" i="4" s="1"/>
  <c r="E123" i="4" a="1"/>
  <c r="E123" i="4" s="1"/>
  <c r="D123" i="4" a="1"/>
  <c r="D123" i="4" s="1"/>
  <c r="C123" i="4" a="1"/>
  <c r="C123" i="4" s="1"/>
  <c r="B123" i="4" a="1"/>
  <c r="B123" i="4" s="1"/>
  <c r="A123" i="4" a="1"/>
  <c r="A123" i="4" s="1"/>
  <c r="AF122" i="4" a="1"/>
  <c r="AF122" i="4" s="1"/>
  <c r="AE122" i="4" a="1"/>
  <c r="AE122" i="4" s="1"/>
  <c r="AD122" i="4" a="1"/>
  <c r="AD122" i="4" s="1"/>
  <c r="AC122" i="4" a="1"/>
  <c r="AC122" i="4" s="1"/>
  <c r="AB122" i="4" a="1"/>
  <c r="AB122" i="4" s="1"/>
  <c r="AA122" i="4" a="1"/>
  <c r="AA122" i="4" s="1"/>
  <c r="Z122" i="4" a="1"/>
  <c r="Z122" i="4" s="1"/>
  <c r="Y122" i="4" a="1"/>
  <c r="Y122" i="4" s="1"/>
  <c r="X122" i="4" a="1"/>
  <c r="X122" i="4" s="1"/>
  <c r="W122" i="4" a="1"/>
  <c r="W122" i="4" s="1"/>
  <c r="V122" i="4" a="1"/>
  <c r="V122" i="4" s="1"/>
  <c r="U122" i="4" a="1"/>
  <c r="U122" i="4" s="1"/>
  <c r="T122" i="4" a="1"/>
  <c r="T122" i="4" s="1"/>
  <c r="S122" i="4" a="1"/>
  <c r="S122" i="4" s="1"/>
  <c r="R122" i="4" a="1"/>
  <c r="R122" i="4" s="1"/>
  <c r="Q122" i="4" a="1"/>
  <c r="Q122" i="4" s="1"/>
  <c r="P122" i="4" a="1"/>
  <c r="P122" i="4" s="1"/>
  <c r="O122" i="4" a="1"/>
  <c r="O122" i="4" s="1"/>
  <c r="N122" i="4" a="1"/>
  <c r="N122" i="4" s="1"/>
  <c r="M122" i="4" a="1"/>
  <c r="M122" i="4" s="1"/>
  <c r="L122" i="4" a="1"/>
  <c r="L122" i="4" s="1"/>
  <c r="K122" i="4" a="1"/>
  <c r="K122" i="4" s="1"/>
  <c r="J122" i="4" a="1"/>
  <c r="J122" i="4" s="1"/>
  <c r="I122" i="4" a="1"/>
  <c r="I122" i="4" s="1"/>
  <c r="H122" i="4" a="1"/>
  <c r="H122" i="4" s="1"/>
  <c r="G122" i="4" a="1"/>
  <c r="G122" i="4" s="1"/>
  <c r="F122" i="4" a="1"/>
  <c r="F122" i="4" s="1"/>
  <c r="E122" i="4" a="1"/>
  <c r="E122" i="4" s="1"/>
  <c r="D122" i="4" a="1"/>
  <c r="D122" i="4" s="1"/>
  <c r="C122" i="4" a="1"/>
  <c r="C122" i="4" s="1"/>
  <c r="B122" i="4" a="1"/>
  <c r="B122" i="4" s="1"/>
  <c r="A122" i="4" a="1"/>
  <c r="A122" i="4" s="1"/>
  <c r="AF121" i="4" a="1"/>
  <c r="AF121" i="4" s="1"/>
  <c r="AE121" i="4" a="1"/>
  <c r="AE121" i="4" s="1"/>
  <c r="AD121" i="4" a="1"/>
  <c r="AD121" i="4" s="1"/>
  <c r="AC121" i="4" a="1"/>
  <c r="AC121" i="4" s="1"/>
  <c r="AB121" i="4" a="1"/>
  <c r="AB121" i="4" s="1"/>
  <c r="AA121" i="4" a="1"/>
  <c r="AA121" i="4" s="1"/>
  <c r="Z121" i="4" a="1"/>
  <c r="Z121" i="4" s="1"/>
  <c r="Y121" i="4" a="1"/>
  <c r="Y121" i="4" s="1"/>
  <c r="X121" i="4" a="1"/>
  <c r="X121" i="4" s="1"/>
  <c r="W121" i="4" a="1"/>
  <c r="W121" i="4" s="1"/>
  <c r="V121" i="4" a="1"/>
  <c r="V121" i="4" s="1"/>
  <c r="U121" i="4" a="1"/>
  <c r="U121" i="4" s="1"/>
  <c r="T121" i="4" a="1"/>
  <c r="T121" i="4" s="1"/>
  <c r="S121" i="4" a="1"/>
  <c r="S121" i="4" s="1"/>
  <c r="R121" i="4" a="1"/>
  <c r="R121" i="4" s="1"/>
  <c r="Q121" i="4" a="1"/>
  <c r="Q121" i="4" s="1"/>
  <c r="P121" i="4" a="1"/>
  <c r="P121" i="4" s="1"/>
  <c r="O121" i="4" a="1"/>
  <c r="O121" i="4" s="1"/>
  <c r="N121" i="4" a="1"/>
  <c r="N121" i="4" s="1"/>
  <c r="M121" i="4" a="1"/>
  <c r="M121" i="4" s="1"/>
  <c r="L121" i="4" a="1"/>
  <c r="L121" i="4" s="1"/>
  <c r="K121" i="4" a="1"/>
  <c r="K121" i="4" s="1"/>
  <c r="J121" i="4" a="1"/>
  <c r="J121" i="4" s="1"/>
  <c r="I121" i="4" a="1"/>
  <c r="I121" i="4" s="1"/>
  <c r="H121" i="4" a="1"/>
  <c r="H121" i="4" s="1"/>
  <c r="G121" i="4" a="1"/>
  <c r="G121" i="4" s="1"/>
  <c r="F121" i="4" a="1"/>
  <c r="F121" i="4" s="1"/>
  <c r="E121" i="4" a="1"/>
  <c r="E121" i="4" s="1"/>
  <c r="D121" i="4" a="1"/>
  <c r="D121" i="4" s="1"/>
  <c r="C121" i="4" a="1"/>
  <c r="C121" i="4" s="1"/>
  <c r="B121" i="4" a="1"/>
  <c r="B121" i="4" s="1"/>
  <c r="A121" i="4" a="1"/>
  <c r="A121" i="4" s="1"/>
  <c r="AF120" i="4" a="1"/>
  <c r="AF120" i="4" s="1"/>
  <c r="AE120" i="4" a="1"/>
  <c r="AE120" i="4" s="1"/>
  <c r="AD120" i="4" a="1"/>
  <c r="AD120" i="4" s="1"/>
  <c r="AC120" i="4" a="1"/>
  <c r="AC120" i="4" s="1"/>
  <c r="AB120" i="4" a="1"/>
  <c r="AB120" i="4" s="1"/>
  <c r="AA120" i="4" a="1"/>
  <c r="AA120" i="4" s="1"/>
  <c r="Z120" i="4" a="1"/>
  <c r="Z120" i="4" s="1"/>
  <c r="Y120" i="4" a="1"/>
  <c r="Y120" i="4" s="1"/>
  <c r="X120" i="4" a="1"/>
  <c r="X120" i="4" s="1"/>
  <c r="W120" i="4" a="1"/>
  <c r="W120" i="4" s="1"/>
  <c r="V120" i="4" a="1"/>
  <c r="V120" i="4" s="1"/>
  <c r="U120" i="4" a="1"/>
  <c r="U120" i="4" s="1"/>
  <c r="T120" i="4" a="1"/>
  <c r="T120" i="4" s="1"/>
  <c r="S120" i="4" a="1"/>
  <c r="S120" i="4" s="1"/>
  <c r="R120" i="4" a="1"/>
  <c r="R120" i="4" s="1"/>
  <c r="Q120" i="4" a="1"/>
  <c r="Q120" i="4" s="1"/>
  <c r="P120" i="4" a="1"/>
  <c r="P120" i="4" s="1"/>
  <c r="O120" i="4" a="1"/>
  <c r="O120" i="4" s="1"/>
  <c r="N120" i="4" a="1"/>
  <c r="N120" i="4" s="1"/>
  <c r="M120" i="4" a="1"/>
  <c r="M120" i="4" s="1"/>
  <c r="L120" i="4" a="1"/>
  <c r="L120" i="4" s="1"/>
  <c r="K120" i="4" a="1"/>
  <c r="K120" i="4" s="1"/>
  <c r="J120" i="4" a="1"/>
  <c r="J120" i="4" s="1"/>
  <c r="I120" i="4" a="1"/>
  <c r="I120" i="4" s="1"/>
  <c r="H120" i="4" a="1"/>
  <c r="H120" i="4" s="1"/>
  <c r="G120" i="4" a="1"/>
  <c r="G120" i="4" s="1"/>
  <c r="F120" i="4" a="1"/>
  <c r="F120" i="4" s="1"/>
  <c r="E120" i="4" a="1"/>
  <c r="E120" i="4" s="1"/>
  <c r="D120" i="4" a="1"/>
  <c r="D120" i="4" s="1"/>
  <c r="C120" i="4" a="1"/>
  <c r="C120" i="4" s="1"/>
  <c r="B120" i="4" a="1"/>
  <c r="B120" i="4" s="1"/>
  <c r="A120" i="4" a="1"/>
  <c r="A120" i="4" s="1"/>
  <c r="AF119" i="4" a="1"/>
  <c r="AF119" i="4" s="1"/>
  <c r="AE119" i="4" a="1"/>
  <c r="AE119" i="4" s="1"/>
  <c r="AD119" i="4" a="1"/>
  <c r="AD119" i="4" s="1"/>
  <c r="AC119" i="4" a="1"/>
  <c r="AC119" i="4" s="1"/>
  <c r="AB119" i="4" a="1"/>
  <c r="AB119" i="4" s="1"/>
  <c r="AA119" i="4" a="1"/>
  <c r="AA119" i="4" s="1"/>
  <c r="Z119" i="4" a="1"/>
  <c r="Z119" i="4" s="1"/>
  <c r="Y119" i="4" a="1"/>
  <c r="Y119" i="4" s="1"/>
  <c r="X119" i="4" a="1"/>
  <c r="X119" i="4" s="1"/>
  <c r="W119" i="4" a="1"/>
  <c r="W119" i="4" s="1"/>
  <c r="V119" i="4" a="1"/>
  <c r="V119" i="4" s="1"/>
  <c r="U119" i="4" a="1"/>
  <c r="U119" i="4" s="1"/>
  <c r="T119" i="4" a="1"/>
  <c r="T119" i="4" s="1"/>
  <c r="S119" i="4" a="1"/>
  <c r="S119" i="4" s="1"/>
  <c r="R119" i="4" a="1"/>
  <c r="R119" i="4" s="1"/>
  <c r="Q119" i="4" a="1"/>
  <c r="Q119" i="4" s="1"/>
  <c r="P119" i="4" a="1"/>
  <c r="P119" i="4" s="1"/>
  <c r="O119" i="4" a="1"/>
  <c r="O119" i="4" s="1"/>
  <c r="N119" i="4" a="1"/>
  <c r="N119" i="4" s="1"/>
  <c r="M119" i="4" a="1"/>
  <c r="M119" i="4" s="1"/>
  <c r="L119" i="4" a="1"/>
  <c r="L119" i="4" s="1"/>
  <c r="K119" i="4" a="1"/>
  <c r="K119" i="4" s="1"/>
  <c r="J119" i="4" a="1"/>
  <c r="J119" i="4" s="1"/>
  <c r="I119" i="4" a="1"/>
  <c r="I119" i="4" s="1"/>
  <c r="H119" i="4" a="1"/>
  <c r="H119" i="4" s="1"/>
  <c r="G119" i="4" a="1"/>
  <c r="G119" i="4" s="1"/>
  <c r="F119" i="4" a="1"/>
  <c r="F119" i="4" s="1"/>
  <c r="E119" i="4" a="1"/>
  <c r="E119" i="4" s="1"/>
  <c r="D119" i="4" a="1"/>
  <c r="D119" i="4" s="1"/>
  <c r="C119" i="4" a="1"/>
  <c r="C119" i="4" s="1"/>
  <c r="B119" i="4" a="1"/>
  <c r="B119" i="4" s="1"/>
  <c r="A119" i="4" a="1"/>
  <c r="A119" i="4" s="1"/>
  <c r="AF118" i="4" a="1"/>
  <c r="AF118" i="4" s="1"/>
  <c r="AE118" i="4" a="1"/>
  <c r="AE118" i="4" s="1"/>
  <c r="AD118" i="4" a="1"/>
  <c r="AD118" i="4" s="1"/>
  <c r="AC118" i="4" a="1"/>
  <c r="AC118" i="4" s="1"/>
  <c r="AB118" i="4" a="1"/>
  <c r="AB118" i="4" s="1"/>
  <c r="AA118" i="4" a="1"/>
  <c r="AA118" i="4" s="1"/>
  <c r="Z118" i="4" a="1"/>
  <c r="Z118" i="4" s="1"/>
  <c r="Y118" i="4" a="1"/>
  <c r="Y118" i="4" s="1"/>
  <c r="X118" i="4" a="1"/>
  <c r="X118" i="4" s="1"/>
  <c r="W118" i="4" a="1"/>
  <c r="W118" i="4" s="1"/>
  <c r="V118" i="4" a="1"/>
  <c r="V118" i="4" s="1"/>
  <c r="U118" i="4" a="1"/>
  <c r="U118" i="4" s="1"/>
  <c r="T118" i="4" a="1"/>
  <c r="T118" i="4" s="1"/>
  <c r="S118" i="4" a="1"/>
  <c r="S118" i="4" s="1"/>
  <c r="R118" i="4" a="1"/>
  <c r="R118" i="4" s="1"/>
  <c r="Q118" i="4" a="1"/>
  <c r="Q118" i="4" s="1"/>
  <c r="P118" i="4" a="1"/>
  <c r="P118" i="4" s="1"/>
  <c r="O118" i="4" a="1"/>
  <c r="O118" i="4" s="1"/>
  <c r="N118" i="4" a="1"/>
  <c r="N118" i="4" s="1"/>
  <c r="M118" i="4" a="1"/>
  <c r="M118" i="4" s="1"/>
  <c r="L118" i="4" a="1"/>
  <c r="L118" i="4" s="1"/>
  <c r="K118" i="4" a="1"/>
  <c r="K118" i="4" s="1"/>
  <c r="J118" i="4" a="1"/>
  <c r="J118" i="4" s="1"/>
  <c r="I118" i="4" a="1"/>
  <c r="I118" i="4" s="1"/>
  <c r="H118" i="4" a="1"/>
  <c r="H118" i="4" s="1"/>
  <c r="G118" i="4" a="1"/>
  <c r="G118" i="4" s="1"/>
  <c r="F118" i="4" a="1"/>
  <c r="F118" i="4" s="1"/>
  <c r="E118" i="4" a="1"/>
  <c r="E118" i="4" s="1"/>
  <c r="D118" i="4" a="1"/>
  <c r="D118" i="4" s="1"/>
  <c r="C118" i="4" a="1"/>
  <c r="C118" i="4" s="1"/>
  <c r="B118" i="4" a="1"/>
  <c r="B118" i="4" s="1"/>
  <c r="A118" i="4" a="1"/>
  <c r="A118" i="4" s="1"/>
  <c r="AF117" i="4" a="1"/>
  <c r="AF117" i="4" s="1"/>
  <c r="AE117" i="4" a="1"/>
  <c r="AE117" i="4" s="1"/>
  <c r="AD117" i="4" a="1"/>
  <c r="AD117" i="4" s="1"/>
  <c r="AC117" i="4" a="1"/>
  <c r="AC117" i="4" s="1"/>
  <c r="AB117" i="4" a="1"/>
  <c r="AB117" i="4" s="1"/>
  <c r="AA117" i="4" a="1"/>
  <c r="AA117" i="4" s="1"/>
  <c r="Z117" i="4" a="1"/>
  <c r="Z117" i="4" s="1"/>
  <c r="Y117" i="4" a="1"/>
  <c r="Y117" i="4" s="1"/>
  <c r="X117" i="4" a="1"/>
  <c r="X117" i="4" s="1"/>
  <c r="W117" i="4" a="1"/>
  <c r="W117" i="4" s="1"/>
  <c r="V117" i="4" a="1"/>
  <c r="V117" i="4" s="1"/>
  <c r="U117" i="4" a="1"/>
  <c r="U117" i="4" s="1"/>
  <c r="T117" i="4" a="1"/>
  <c r="T117" i="4" s="1"/>
  <c r="S117" i="4" a="1"/>
  <c r="S117" i="4" s="1"/>
  <c r="R117" i="4" a="1"/>
  <c r="R117" i="4" s="1"/>
  <c r="Q117" i="4" a="1"/>
  <c r="Q117" i="4" s="1"/>
  <c r="P117" i="4" a="1"/>
  <c r="P117" i="4" s="1"/>
  <c r="O117" i="4" a="1"/>
  <c r="O117" i="4" s="1"/>
  <c r="N117" i="4" a="1"/>
  <c r="N117" i="4" s="1"/>
  <c r="M117" i="4" a="1"/>
  <c r="M117" i="4" s="1"/>
  <c r="L117" i="4" a="1"/>
  <c r="L117" i="4" s="1"/>
  <c r="K117" i="4" a="1"/>
  <c r="K117" i="4" s="1"/>
  <c r="J117" i="4" a="1"/>
  <c r="J117" i="4" s="1"/>
  <c r="I117" i="4" a="1"/>
  <c r="I117" i="4" s="1"/>
  <c r="H117" i="4" a="1"/>
  <c r="H117" i="4" s="1"/>
  <c r="G117" i="4" a="1"/>
  <c r="G117" i="4" s="1"/>
  <c r="F117" i="4" a="1"/>
  <c r="F117" i="4" s="1"/>
  <c r="E117" i="4" a="1"/>
  <c r="E117" i="4" s="1"/>
  <c r="D117" i="4" a="1"/>
  <c r="D117" i="4" s="1"/>
  <c r="C117" i="4" a="1"/>
  <c r="C117" i="4" s="1"/>
  <c r="B117" i="4" a="1"/>
  <c r="B117" i="4" s="1"/>
  <c r="A117" i="4" a="1"/>
  <c r="A117" i="4" s="1"/>
  <c r="AF116" i="4" a="1"/>
  <c r="AF116" i="4" s="1"/>
  <c r="AE116" i="4" a="1"/>
  <c r="AE116" i="4" s="1"/>
  <c r="AD116" i="4" a="1"/>
  <c r="AD116" i="4" s="1"/>
  <c r="AC116" i="4" a="1"/>
  <c r="AC116" i="4" s="1"/>
  <c r="AB116" i="4" a="1"/>
  <c r="AB116" i="4" s="1"/>
  <c r="AA116" i="4" a="1"/>
  <c r="AA116" i="4" s="1"/>
  <c r="Z116" i="4" a="1"/>
  <c r="Z116" i="4" s="1"/>
  <c r="Y116" i="4" a="1"/>
  <c r="Y116" i="4" s="1"/>
  <c r="X116" i="4" a="1"/>
  <c r="X116" i="4" s="1"/>
  <c r="W116" i="4" a="1"/>
  <c r="W116" i="4" s="1"/>
  <c r="V116" i="4" a="1"/>
  <c r="V116" i="4" s="1"/>
  <c r="U116" i="4" a="1"/>
  <c r="U116" i="4" s="1"/>
  <c r="T116" i="4" a="1"/>
  <c r="T116" i="4" s="1"/>
  <c r="S116" i="4" a="1"/>
  <c r="S116" i="4" s="1"/>
  <c r="R116" i="4" a="1"/>
  <c r="R116" i="4" s="1"/>
  <c r="Q116" i="4" a="1"/>
  <c r="Q116" i="4" s="1"/>
  <c r="P116" i="4" a="1"/>
  <c r="P116" i="4" s="1"/>
  <c r="O116" i="4" a="1"/>
  <c r="O116" i="4" s="1"/>
  <c r="N116" i="4" a="1"/>
  <c r="N116" i="4" s="1"/>
  <c r="M116" i="4" a="1"/>
  <c r="M116" i="4" s="1"/>
  <c r="L116" i="4" a="1"/>
  <c r="L116" i="4" s="1"/>
  <c r="K116" i="4" a="1"/>
  <c r="K116" i="4" s="1"/>
  <c r="J116" i="4" a="1"/>
  <c r="J116" i="4" s="1"/>
  <c r="I116" i="4" a="1"/>
  <c r="I116" i="4" s="1"/>
  <c r="H116" i="4" a="1"/>
  <c r="H116" i="4" s="1"/>
  <c r="G116" i="4" a="1"/>
  <c r="G116" i="4" s="1"/>
  <c r="F116" i="4" a="1"/>
  <c r="F116" i="4" s="1"/>
  <c r="E116" i="4" a="1"/>
  <c r="E116" i="4" s="1"/>
  <c r="D116" i="4" a="1"/>
  <c r="D116" i="4" s="1"/>
  <c r="C116" i="4" a="1"/>
  <c r="C116" i="4" s="1"/>
  <c r="B116" i="4" a="1"/>
  <c r="B116" i="4" s="1"/>
  <c r="A116" i="4" a="1"/>
  <c r="A116" i="4" s="1"/>
  <c r="AF115" i="4" a="1"/>
  <c r="AF115" i="4" s="1"/>
  <c r="AE115" i="4" a="1"/>
  <c r="AE115" i="4" s="1"/>
  <c r="AD115" i="4" a="1"/>
  <c r="AD115" i="4" s="1"/>
  <c r="AC115" i="4" a="1"/>
  <c r="AC115" i="4" s="1"/>
  <c r="AB115" i="4" a="1"/>
  <c r="AB115" i="4" s="1"/>
  <c r="AA115" i="4" a="1"/>
  <c r="AA115" i="4" s="1"/>
  <c r="Z115" i="4" a="1"/>
  <c r="Z115" i="4" s="1"/>
  <c r="Y115" i="4" a="1"/>
  <c r="Y115" i="4" s="1"/>
  <c r="X115" i="4" a="1"/>
  <c r="X115" i="4" s="1"/>
  <c r="W115" i="4" a="1"/>
  <c r="W115" i="4" s="1"/>
  <c r="V115" i="4" a="1"/>
  <c r="V115" i="4" s="1"/>
  <c r="U115" i="4" a="1"/>
  <c r="U115" i="4" s="1"/>
  <c r="T115" i="4" a="1"/>
  <c r="T115" i="4" s="1"/>
  <c r="S115" i="4" a="1"/>
  <c r="S115" i="4" s="1"/>
  <c r="R115" i="4" a="1"/>
  <c r="R115" i="4" s="1"/>
  <c r="Q115" i="4" a="1"/>
  <c r="Q115" i="4" s="1"/>
  <c r="P115" i="4" a="1"/>
  <c r="P115" i="4" s="1"/>
  <c r="O115" i="4" a="1"/>
  <c r="O115" i="4" s="1"/>
  <c r="N115" i="4" a="1"/>
  <c r="N115" i="4" s="1"/>
  <c r="M115" i="4" a="1"/>
  <c r="M115" i="4" s="1"/>
  <c r="L115" i="4" a="1"/>
  <c r="L115" i="4" s="1"/>
  <c r="K115" i="4" a="1"/>
  <c r="K115" i="4" s="1"/>
  <c r="J115" i="4" a="1"/>
  <c r="J115" i="4" s="1"/>
  <c r="I115" i="4" a="1"/>
  <c r="I115" i="4" s="1"/>
  <c r="H115" i="4" a="1"/>
  <c r="H115" i="4" s="1"/>
  <c r="G115" i="4" a="1"/>
  <c r="G115" i="4" s="1"/>
  <c r="F115" i="4" a="1"/>
  <c r="F115" i="4" s="1"/>
  <c r="E115" i="4" a="1"/>
  <c r="E115" i="4" s="1"/>
  <c r="D115" i="4" a="1"/>
  <c r="D115" i="4" s="1"/>
  <c r="C115" i="4" a="1"/>
  <c r="C115" i="4" s="1"/>
  <c r="B115" i="4" a="1"/>
  <c r="B115" i="4" s="1"/>
  <c r="A115" i="4" a="1"/>
  <c r="A115" i="4" s="1"/>
  <c r="AF114" i="4" a="1"/>
  <c r="AF114" i="4" s="1"/>
  <c r="AE114" i="4" a="1"/>
  <c r="AE114" i="4" s="1"/>
  <c r="AD114" i="4" a="1"/>
  <c r="AD114" i="4" s="1"/>
  <c r="AC114" i="4" a="1"/>
  <c r="AC114" i="4" s="1"/>
  <c r="AB114" i="4" a="1"/>
  <c r="AB114" i="4" s="1"/>
  <c r="AA114" i="4" a="1"/>
  <c r="AA114" i="4" s="1"/>
  <c r="Z114" i="4" a="1"/>
  <c r="Z114" i="4" s="1"/>
  <c r="Y114" i="4" a="1"/>
  <c r="Y114" i="4" s="1"/>
  <c r="X114" i="4" a="1"/>
  <c r="X114" i="4" s="1"/>
  <c r="W114" i="4" a="1"/>
  <c r="W114" i="4" s="1"/>
  <c r="V114" i="4" a="1"/>
  <c r="V114" i="4" s="1"/>
  <c r="U114" i="4" a="1"/>
  <c r="U114" i="4" s="1"/>
  <c r="T114" i="4" a="1"/>
  <c r="T114" i="4" s="1"/>
  <c r="S114" i="4" a="1"/>
  <c r="S114" i="4" s="1"/>
  <c r="R114" i="4" a="1"/>
  <c r="R114" i="4" s="1"/>
  <c r="Q114" i="4" a="1"/>
  <c r="Q114" i="4" s="1"/>
  <c r="P114" i="4" a="1"/>
  <c r="P114" i="4" s="1"/>
  <c r="O114" i="4" a="1"/>
  <c r="O114" i="4" s="1"/>
  <c r="N114" i="4" a="1"/>
  <c r="N114" i="4" s="1"/>
  <c r="M114" i="4" a="1"/>
  <c r="M114" i="4" s="1"/>
  <c r="L114" i="4" a="1"/>
  <c r="L114" i="4" s="1"/>
  <c r="K114" i="4" a="1"/>
  <c r="K114" i="4" s="1"/>
  <c r="J114" i="4" a="1"/>
  <c r="J114" i="4" s="1"/>
  <c r="I114" i="4" a="1"/>
  <c r="I114" i="4" s="1"/>
  <c r="H114" i="4" a="1"/>
  <c r="H114" i="4" s="1"/>
  <c r="G114" i="4" a="1"/>
  <c r="G114" i="4" s="1"/>
  <c r="F114" i="4" a="1"/>
  <c r="F114" i="4" s="1"/>
  <c r="E114" i="4" a="1"/>
  <c r="E114" i="4" s="1"/>
  <c r="D114" i="4" a="1"/>
  <c r="D114" i="4" s="1"/>
  <c r="C114" i="4" a="1"/>
  <c r="C114" i="4" s="1"/>
  <c r="B114" i="4" a="1"/>
  <c r="B114" i="4" s="1"/>
  <c r="A114" i="4" a="1"/>
  <c r="A114" i="4" s="1"/>
  <c r="AF113" i="4" a="1"/>
  <c r="AF113" i="4" s="1"/>
  <c r="AE113" i="4" a="1"/>
  <c r="AE113" i="4" s="1"/>
  <c r="AD113" i="4" a="1"/>
  <c r="AD113" i="4" s="1"/>
  <c r="AC113" i="4" a="1"/>
  <c r="AC113" i="4" s="1"/>
  <c r="AB113" i="4" a="1"/>
  <c r="AB113" i="4" s="1"/>
  <c r="AA113" i="4" a="1"/>
  <c r="AA113" i="4" s="1"/>
  <c r="Z113" i="4" a="1"/>
  <c r="Z113" i="4" s="1"/>
  <c r="Y113" i="4" a="1"/>
  <c r="Y113" i="4" s="1"/>
  <c r="X113" i="4" a="1"/>
  <c r="X113" i="4" s="1"/>
  <c r="W113" i="4" a="1"/>
  <c r="W113" i="4" s="1"/>
  <c r="V113" i="4" a="1"/>
  <c r="V113" i="4" s="1"/>
  <c r="U113" i="4" a="1"/>
  <c r="U113" i="4" s="1"/>
  <c r="T113" i="4" a="1"/>
  <c r="T113" i="4" s="1"/>
  <c r="S113" i="4" a="1"/>
  <c r="S113" i="4" s="1"/>
  <c r="R113" i="4" a="1"/>
  <c r="R113" i="4" s="1"/>
  <c r="Q113" i="4" a="1"/>
  <c r="Q113" i="4" s="1"/>
  <c r="P113" i="4" a="1"/>
  <c r="P113" i="4" s="1"/>
  <c r="O113" i="4" a="1"/>
  <c r="O113" i="4" s="1"/>
  <c r="N113" i="4" a="1"/>
  <c r="N113" i="4" s="1"/>
  <c r="M113" i="4" a="1"/>
  <c r="M113" i="4" s="1"/>
  <c r="L113" i="4" a="1"/>
  <c r="L113" i="4" s="1"/>
  <c r="K113" i="4" a="1"/>
  <c r="K113" i="4" s="1"/>
  <c r="J113" i="4" a="1"/>
  <c r="J113" i="4" s="1"/>
  <c r="I113" i="4" a="1"/>
  <c r="I113" i="4" s="1"/>
  <c r="H113" i="4" a="1"/>
  <c r="H113" i="4" s="1"/>
  <c r="G113" i="4" a="1"/>
  <c r="G113" i="4" s="1"/>
  <c r="F113" i="4" a="1"/>
  <c r="F113" i="4" s="1"/>
  <c r="E113" i="4" a="1"/>
  <c r="E113" i="4" s="1"/>
  <c r="D113" i="4" a="1"/>
  <c r="D113" i="4" s="1"/>
  <c r="C113" i="4" a="1"/>
  <c r="C113" i="4" s="1"/>
  <c r="B113" i="4" a="1"/>
  <c r="B113" i="4" s="1"/>
  <c r="A113" i="4" a="1"/>
  <c r="A113" i="4" s="1"/>
  <c r="AF112" i="4" a="1"/>
  <c r="AF112" i="4" s="1"/>
  <c r="AE112" i="4" a="1"/>
  <c r="AE112" i="4" s="1"/>
  <c r="AD112" i="4" a="1"/>
  <c r="AD112" i="4" s="1"/>
  <c r="AC112" i="4" a="1"/>
  <c r="AC112" i="4" s="1"/>
  <c r="AB112" i="4" a="1"/>
  <c r="AB112" i="4" s="1"/>
  <c r="AA112" i="4" a="1"/>
  <c r="AA112" i="4" s="1"/>
  <c r="Z112" i="4" a="1"/>
  <c r="Z112" i="4" s="1"/>
  <c r="Y112" i="4" a="1"/>
  <c r="Y112" i="4" s="1"/>
  <c r="X112" i="4" a="1"/>
  <c r="X112" i="4" s="1"/>
  <c r="W112" i="4" a="1"/>
  <c r="W112" i="4" s="1"/>
  <c r="V112" i="4" a="1"/>
  <c r="V112" i="4" s="1"/>
  <c r="U112" i="4" a="1"/>
  <c r="U112" i="4" s="1"/>
  <c r="T112" i="4" a="1"/>
  <c r="T112" i="4" s="1"/>
  <c r="S112" i="4" a="1"/>
  <c r="S112" i="4" s="1"/>
  <c r="R112" i="4" a="1"/>
  <c r="R112" i="4" s="1"/>
  <c r="Q112" i="4" a="1"/>
  <c r="Q112" i="4" s="1"/>
  <c r="P112" i="4" a="1"/>
  <c r="P112" i="4" s="1"/>
  <c r="O112" i="4" a="1"/>
  <c r="O112" i="4" s="1"/>
  <c r="N112" i="4" a="1"/>
  <c r="N112" i="4" s="1"/>
  <c r="M112" i="4" a="1"/>
  <c r="M112" i="4" s="1"/>
  <c r="L112" i="4" a="1"/>
  <c r="L112" i="4" s="1"/>
  <c r="K112" i="4" a="1"/>
  <c r="K112" i="4" s="1"/>
  <c r="J112" i="4" a="1"/>
  <c r="J112" i="4" s="1"/>
  <c r="I112" i="4" a="1"/>
  <c r="I112" i="4" s="1"/>
  <c r="H112" i="4" a="1"/>
  <c r="H112" i="4" s="1"/>
  <c r="G112" i="4" a="1"/>
  <c r="G112" i="4" s="1"/>
  <c r="F112" i="4" a="1"/>
  <c r="F112" i="4" s="1"/>
  <c r="E112" i="4" a="1"/>
  <c r="E112" i="4" s="1"/>
  <c r="D112" i="4" a="1"/>
  <c r="D112" i="4" s="1"/>
  <c r="C112" i="4" a="1"/>
  <c r="C112" i="4" s="1"/>
  <c r="B112" i="4" a="1"/>
  <c r="B112" i="4" s="1"/>
  <c r="A112" i="4" a="1"/>
  <c r="A112" i="4" s="1"/>
  <c r="AF111" i="4" a="1"/>
  <c r="AF111" i="4" s="1"/>
  <c r="AE111" i="4" a="1"/>
  <c r="AE111" i="4" s="1"/>
  <c r="AD111" i="4" a="1"/>
  <c r="AD111" i="4" s="1"/>
  <c r="AC111" i="4" a="1"/>
  <c r="AC111" i="4" s="1"/>
  <c r="AB111" i="4" a="1"/>
  <c r="AB111" i="4" s="1"/>
  <c r="AA111" i="4" a="1"/>
  <c r="AA111" i="4" s="1"/>
  <c r="Z111" i="4" a="1"/>
  <c r="Z111" i="4" s="1"/>
  <c r="Y111" i="4" a="1"/>
  <c r="Y111" i="4" s="1"/>
  <c r="X111" i="4" a="1"/>
  <c r="X111" i="4" s="1"/>
  <c r="W111" i="4" a="1"/>
  <c r="W111" i="4" s="1"/>
  <c r="V111" i="4" a="1"/>
  <c r="V111" i="4" s="1"/>
  <c r="U111" i="4" a="1"/>
  <c r="U111" i="4" s="1"/>
  <c r="T111" i="4" a="1"/>
  <c r="T111" i="4" s="1"/>
  <c r="S111" i="4" a="1"/>
  <c r="S111" i="4" s="1"/>
  <c r="R111" i="4" a="1"/>
  <c r="R111" i="4" s="1"/>
  <c r="Q111" i="4" a="1"/>
  <c r="Q111" i="4" s="1"/>
  <c r="P111" i="4" a="1"/>
  <c r="P111" i="4" s="1"/>
  <c r="O111" i="4" a="1"/>
  <c r="O111" i="4" s="1"/>
  <c r="N111" i="4" a="1"/>
  <c r="N111" i="4" s="1"/>
  <c r="M111" i="4" a="1"/>
  <c r="M111" i="4" s="1"/>
  <c r="L111" i="4" a="1"/>
  <c r="L111" i="4" s="1"/>
  <c r="K111" i="4" a="1"/>
  <c r="K111" i="4" s="1"/>
  <c r="J111" i="4" a="1"/>
  <c r="J111" i="4" s="1"/>
  <c r="I111" i="4" a="1"/>
  <c r="I111" i="4" s="1"/>
  <c r="H111" i="4" a="1"/>
  <c r="H111" i="4" s="1"/>
  <c r="G111" i="4" a="1"/>
  <c r="G111" i="4" s="1"/>
  <c r="F111" i="4" a="1"/>
  <c r="F111" i="4" s="1"/>
  <c r="E111" i="4" a="1"/>
  <c r="E111" i="4" s="1"/>
  <c r="D111" i="4" a="1"/>
  <c r="D111" i="4" s="1"/>
  <c r="C111" i="4" a="1"/>
  <c r="C111" i="4" s="1"/>
  <c r="B111" i="4" a="1"/>
  <c r="B111" i="4" s="1"/>
  <c r="A111" i="4" a="1"/>
  <c r="A111" i="4" s="1"/>
  <c r="AF110" i="4" a="1"/>
  <c r="AF110" i="4" s="1"/>
  <c r="AE110" i="4" a="1"/>
  <c r="AE110" i="4" s="1"/>
  <c r="AD110" i="4" a="1"/>
  <c r="AD110" i="4" s="1"/>
  <c r="AC110" i="4" a="1"/>
  <c r="AC110" i="4" s="1"/>
  <c r="AB110" i="4" a="1"/>
  <c r="AB110" i="4" s="1"/>
  <c r="AA110" i="4" a="1"/>
  <c r="AA110" i="4" s="1"/>
  <c r="Z110" i="4" a="1"/>
  <c r="Z110" i="4" s="1"/>
  <c r="Y110" i="4" a="1"/>
  <c r="Y110" i="4" s="1"/>
  <c r="X110" i="4" a="1"/>
  <c r="X110" i="4" s="1"/>
  <c r="W110" i="4" a="1"/>
  <c r="W110" i="4" s="1"/>
  <c r="V110" i="4" a="1"/>
  <c r="V110" i="4" s="1"/>
  <c r="U110" i="4" a="1"/>
  <c r="U110" i="4" s="1"/>
  <c r="T110" i="4" a="1"/>
  <c r="T110" i="4" s="1"/>
  <c r="S110" i="4" a="1"/>
  <c r="S110" i="4" s="1"/>
  <c r="R110" i="4" a="1"/>
  <c r="R110" i="4" s="1"/>
  <c r="Q110" i="4" a="1"/>
  <c r="Q110" i="4" s="1"/>
  <c r="P110" i="4" a="1"/>
  <c r="P110" i="4" s="1"/>
  <c r="O110" i="4" a="1"/>
  <c r="O110" i="4" s="1"/>
  <c r="N110" i="4" a="1"/>
  <c r="N110" i="4" s="1"/>
  <c r="M110" i="4" a="1"/>
  <c r="M110" i="4" s="1"/>
  <c r="L110" i="4" a="1"/>
  <c r="L110" i="4" s="1"/>
  <c r="K110" i="4" a="1"/>
  <c r="K110" i="4" s="1"/>
  <c r="J110" i="4" a="1"/>
  <c r="J110" i="4" s="1"/>
  <c r="I110" i="4" a="1"/>
  <c r="I110" i="4" s="1"/>
  <c r="H110" i="4" a="1"/>
  <c r="H110" i="4" s="1"/>
  <c r="G110" i="4" a="1"/>
  <c r="G110" i="4" s="1"/>
  <c r="F110" i="4" a="1"/>
  <c r="F110" i="4" s="1"/>
  <c r="E110" i="4" a="1"/>
  <c r="E110" i="4" s="1"/>
  <c r="D110" i="4" a="1"/>
  <c r="D110" i="4" s="1"/>
  <c r="C110" i="4" a="1"/>
  <c r="C110" i="4" s="1"/>
  <c r="B110" i="4" a="1"/>
  <c r="B110" i="4" s="1"/>
  <c r="A110" i="4" a="1"/>
  <c r="A110" i="4" s="1"/>
  <c r="AF109" i="4" a="1"/>
  <c r="AF109" i="4" s="1"/>
  <c r="AE109" i="4" a="1"/>
  <c r="AE109" i="4" s="1"/>
  <c r="AD109" i="4" a="1"/>
  <c r="AD109" i="4" s="1"/>
  <c r="AC109" i="4" a="1"/>
  <c r="AC109" i="4" s="1"/>
  <c r="AB109" i="4" a="1"/>
  <c r="AB109" i="4" s="1"/>
  <c r="AA109" i="4" a="1"/>
  <c r="AA109" i="4" s="1"/>
  <c r="Z109" i="4" a="1"/>
  <c r="Z109" i="4" s="1"/>
  <c r="Y109" i="4" a="1"/>
  <c r="Y109" i="4" s="1"/>
  <c r="X109" i="4" a="1"/>
  <c r="X109" i="4" s="1"/>
  <c r="W109" i="4" a="1"/>
  <c r="W109" i="4" s="1"/>
  <c r="V109" i="4" a="1"/>
  <c r="V109" i="4" s="1"/>
  <c r="U109" i="4" a="1"/>
  <c r="U109" i="4" s="1"/>
  <c r="T109" i="4" a="1"/>
  <c r="T109" i="4" s="1"/>
  <c r="S109" i="4" a="1"/>
  <c r="S109" i="4" s="1"/>
  <c r="R109" i="4" a="1"/>
  <c r="R109" i="4" s="1"/>
  <c r="Q109" i="4" a="1"/>
  <c r="Q109" i="4" s="1"/>
  <c r="P109" i="4" a="1"/>
  <c r="P109" i="4" s="1"/>
  <c r="O109" i="4" a="1"/>
  <c r="O109" i="4" s="1"/>
  <c r="N109" i="4" a="1"/>
  <c r="N109" i="4" s="1"/>
  <c r="M109" i="4" a="1"/>
  <c r="M109" i="4" s="1"/>
  <c r="L109" i="4" a="1"/>
  <c r="L109" i="4" s="1"/>
  <c r="K109" i="4" a="1"/>
  <c r="K109" i="4" s="1"/>
  <c r="J109" i="4" a="1"/>
  <c r="J109" i="4" s="1"/>
  <c r="I109" i="4" a="1"/>
  <c r="I109" i="4" s="1"/>
  <c r="H109" i="4" a="1"/>
  <c r="H109" i="4" s="1"/>
  <c r="G109" i="4" a="1"/>
  <c r="G109" i="4" s="1"/>
  <c r="F109" i="4" a="1"/>
  <c r="F109" i="4" s="1"/>
  <c r="E109" i="4" a="1"/>
  <c r="E109" i="4" s="1"/>
  <c r="D109" i="4" a="1"/>
  <c r="D109" i="4" s="1"/>
  <c r="C109" i="4" a="1"/>
  <c r="C109" i="4" s="1"/>
  <c r="B109" i="4" a="1"/>
  <c r="B109" i="4" s="1"/>
  <c r="A109" i="4" a="1"/>
  <c r="A109" i="4" s="1"/>
  <c r="AF108" i="4" a="1"/>
  <c r="AF108" i="4" s="1"/>
  <c r="AE108" i="4" a="1"/>
  <c r="AE108" i="4" s="1"/>
  <c r="AD108" i="4" a="1"/>
  <c r="AD108" i="4" s="1"/>
  <c r="AC108" i="4" a="1"/>
  <c r="AC108" i="4" s="1"/>
  <c r="AB108" i="4" a="1"/>
  <c r="AB108" i="4" s="1"/>
  <c r="AA108" i="4" a="1"/>
  <c r="AA108" i="4" s="1"/>
  <c r="Z108" i="4" a="1"/>
  <c r="Z108" i="4" s="1"/>
  <c r="Y108" i="4" a="1"/>
  <c r="Y108" i="4" s="1"/>
  <c r="X108" i="4" a="1"/>
  <c r="X108" i="4" s="1"/>
  <c r="W108" i="4" a="1"/>
  <c r="W108" i="4" s="1"/>
  <c r="V108" i="4" a="1"/>
  <c r="V108" i="4" s="1"/>
  <c r="U108" i="4" a="1"/>
  <c r="U108" i="4" s="1"/>
  <c r="T108" i="4" a="1"/>
  <c r="T108" i="4" s="1"/>
  <c r="S108" i="4" a="1"/>
  <c r="S108" i="4" s="1"/>
  <c r="R108" i="4" a="1"/>
  <c r="R108" i="4" s="1"/>
  <c r="Q108" i="4" a="1"/>
  <c r="Q108" i="4" s="1"/>
  <c r="P108" i="4" a="1"/>
  <c r="P108" i="4" s="1"/>
  <c r="O108" i="4" a="1"/>
  <c r="O108" i="4" s="1"/>
  <c r="N108" i="4" a="1"/>
  <c r="N108" i="4" s="1"/>
  <c r="M108" i="4" a="1"/>
  <c r="M108" i="4" s="1"/>
  <c r="L108" i="4" a="1"/>
  <c r="L108" i="4" s="1"/>
  <c r="K108" i="4" a="1"/>
  <c r="K108" i="4" s="1"/>
  <c r="J108" i="4" a="1"/>
  <c r="J108" i="4" s="1"/>
  <c r="I108" i="4" a="1"/>
  <c r="I108" i="4" s="1"/>
  <c r="H108" i="4" a="1"/>
  <c r="H108" i="4" s="1"/>
  <c r="G108" i="4" a="1"/>
  <c r="G108" i="4" s="1"/>
  <c r="F108" i="4" a="1"/>
  <c r="F108" i="4" s="1"/>
  <c r="E108" i="4" a="1"/>
  <c r="E108" i="4" s="1"/>
  <c r="D108" i="4" a="1"/>
  <c r="D108" i="4" s="1"/>
  <c r="C108" i="4" a="1"/>
  <c r="C108" i="4" s="1"/>
  <c r="B108" i="4" a="1"/>
  <c r="B108" i="4" s="1"/>
  <c r="A108" i="4" a="1"/>
  <c r="A108" i="4" s="1"/>
  <c r="AF107" i="4" a="1"/>
  <c r="AF107" i="4" s="1"/>
  <c r="AE107" i="4" a="1"/>
  <c r="AE107" i="4" s="1"/>
  <c r="AD107" i="4" a="1"/>
  <c r="AD107" i="4" s="1"/>
  <c r="AC107" i="4" a="1"/>
  <c r="AC107" i="4" s="1"/>
  <c r="AB107" i="4" a="1"/>
  <c r="AB107" i="4" s="1"/>
  <c r="AA107" i="4" a="1"/>
  <c r="AA107" i="4" s="1"/>
  <c r="Z107" i="4" a="1"/>
  <c r="Z107" i="4" s="1"/>
  <c r="Y107" i="4" a="1"/>
  <c r="Y107" i="4" s="1"/>
  <c r="X107" i="4" a="1"/>
  <c r="X107" i="4" s="1"/>
  <c r="W107" i="4" a="1"/>
  <c r="W107" i="4" s="1"/>
  <c r="V107" i="4" a="1"/>
  <c r="V107" i="4" s="1"/>
  <c r="U107" i="4" a="1"/>
  <c r="U107" i="4" s="1"/>
  <c r="T107" i="4" a="1"/>
  <c r="T107" i="4" s="1"/>
  <c r="S107" i="4" a="1"/>
  <c r="S107" i="4" s="1"/>
  <c r="R107" i="4" a="1"/>
  <c r="R107" i="4" s="1"/>
  <c r="Q107" i="4" a="1"/>
  <c r="Q107" i="4" s="1"/>
  <c r="P107" i="4" a="1"/>
  <c r="P107" i="4" s="1"/>
  <c r="O107" i="4" a="1"/>
  <c r="O107" i="4" s="1"/>
  <c r="N107" i="4" a="1"/>
  <c r="N107" i="4" s="1"/>
  <c r="M107" i="4" a="1"/>
  <c r="M107" i="4" s="1"/>
  <c r="L107" i="4" a="1"/>
  <c r="L107" i="4" s="1"/>
  <c r="K107" i="4" a="1"/>
  <c r="K107" i="4" s="1"/>
  <c r="J107" i="4" a="1"/>
  <c r="J107" i="4" s="1"/>
  <c r="I107" i="4" a="1"/>
  <c r="I107" i="4" s="1"/>
  <c r="H107" i="4" a="1"/>
  <c r="H107" i="4" s="1"/>
  <c r="G107" i="4" a="1"/>
  <c r="G107" i="4" s="1"/>
  <c r="F107" i="4" a="1"/>
  <c r="F107" i="4" s="1"/>
  <c r="E107" i="4" a="1"/>
  <c r="E107" i="4" s="1"/>
  <c r="D107" i="4" a="1"/>
  <c r="D107" i="4" s="1"/>
  <c r="C107" i="4" a="1"/>
  <c r="C107" i="4" s="1"/>
  <c r="B107" i="4" a="1"/>
  <c r="B107" i="4" s="1"/>
  <c r="A107" i="4" a="1"/>
  <c r="A107" i="4" s="1"/>
  <c r="AF106" i="4" a="1"/>
  <c r="AF106" i="4" s="1"/>
  <c r="AE106" i="4" a="1"/>
  <c r="AE106" i="4" s="1"/>
  <c r="AD106" i="4" a="1"/>
  <c r="AD106" i="4" s="1"/>
  <c r="AC106" i="4" a="1"/>
  <c r="AC106" i="4" s="1"/>
  <c r="AB106" i="4" a="1"/>
  <c r="AB106" i="4" s="1"/>
  <c r="AA106" i="4" a="1"/>
  <c r="AA106" i="4" s="1"/>
  <c r="Z106" i="4" a="1"/>
  <c r="Z106" i="4" s="1"/>
  <c r="Y106" i="4" a="1"/>
  <c r="Y106" i="4" s="1"/>
  <c r="X106" i="4" a="1"/>
  <c r="X106" i="4" s="1"/>
  <c r="W106" i="4" a="1"/>
  <c r="W106" i="4" s="1"/>
  <c r="V106" i="4" a="1"/>
  <c r="V106" i="4" s="1"/>
  <c r="U106" i="4" a="1"/>
  <c r="U106" i="4" s="1"/>
  <c r="T106" i="4" a="1"/>
  <c r="T106" i="4" s="1"/>
  <c r="S106" i="4" a="1"/>
  <c r="S106" i="4" s="1"/>
  <c r="R106" i="4" a="1"/>
  <c r="R106" i="4" s="1"/>
  <c r="Q106" i="4" a="1"/>
  <c r="Q106" i="4" s="1"/>
  <c r="P106" i="4" a="1"/>
  <c r="P106" i="4" s="1"/>
  <c r="O106" i="4" a="1"/>
  <c r="O106" i="4" s="1"/>
  <c r="N106" i="4" a="1"/>
  <c r="N106" i="4" s="1"/>
  <c r="M106" i="4" a="1"/>
  <c r="M106" i="4" s="1"/>
  <c r="L106" i="4" a="1"/>
  <c r="L106" i="4" s="1"/>
  <c r="K106" i="4" a="1"/>
  <c r="K106" i="4" s="1"/>
  <c r="J106" i="4" a="1"/>
  <c r="J106" i="4" s="1"/>
  <c r="I106" i="4" a="1"/>
  <c r="I106" i="4" s="1"/>
  <c r="H106" i="4" a="1"/>
  <c r="H106" i="4" s="1"/>
  <c r="G106" i="4" a="1"/>
  <c r="G106" i="4" s="1"/>
  <c r="F106" i="4" a="1"/>
  <c r="F106" i="4" s="1"/>
  <c r="E106" i="4" a="1"/>
  <c r="E106" i="4" s="1"/>
  <c r="D106" i="4" a="1"/>
  <c r="D106" i="4" s="1"/>
  <c r="C106" i="4" a="1"/>
  <c r="C106" i="4" s="1"/>
  <c r="B106" i="4" a="1"/>
  <c r="B106" i="4" s="1"/>
  <c r="A106" i="4" a="1"/>
  <c r="A106" i="4" s="1"/>
  <c r="AF105" i="4" a="1"/>
  <c r="AF105" i="4" s="1"/>
  <c r="AE105" i="4" a="1"/>
  <c r="AE105" i="4" s="1"/>
  <c r="AD105" i="4" a="1"/>
  <c r="AD105" i="4" s="1"/>
  <c r="AC105" i="4" a="1"/>
  <c r="AC105" i="4" s="1"/>
  <c r="AB105" i="4" a="1"/>
  <c r="AB105" i="4" s="1"/>
  <c r="AA105" i="4" a="1"/>
  <c r="AA105" i="4" s="1"/>
  <c r="Z105" i="4" a="1"/>
  <c r="Z105" i="4" s="1"/>
  <c r="Y105" i="4" a="1"/>
  <c r="Y105" i="4" s="1"/>
  <c r="X105" i="4" a="1"/>
  <c r="X105" i="4" s="1"/>
  <c r="W105" i="4" a="1"/>
  <c r="W105" i="4" s="1"/>
  <c r="V105" i="4" a="1"/>
  <c r="V105" i="4" s="1"/>
  <c r="U105" i="4" a="1"/>
  <c r="U105" i="4" s="1"/>
  <c r="T105" i="4" a="1"/>
  <c r="T105" i="4" s="1"/>
  <c r="S105" i="4" a="1"/>
  <c r="S105" i="4" s="1"/>
  <c r="R105" i="4" a="1"/>
  <c r="R105" i="4" s="1"/>
  <c r="Q105" i="4" a="1"/>
  <c r="Q105" i="4" s="1"/>
  <c r="P105" i="4" a="1"/>
  <c r="P105" i="4" s="1"/>
  <c r="O105" i="4" a="1"/>
  <c r="O105" i="4" s="1"/>
  <c r="N105" i="4" a="1"/>
  <c r="N105" i="4" s="1"/>
  <c r="M105" i="4" a="1"/>
  <c r="M105" i="4" s="1"/>
  <c r="L105" i="4" a="1"/>
  <c r="L105" i="4" s="1"/>
  <c r="K105" i="4" a="1"/>
  <c r="K105" i="4" s="1"/>
  <c r="J105" i="4" a="1"/>
  <c r="J105" i="4" s="1"/>
  <c r="I105" i="4" a="1"/>
  <c r="I105" i="4" s="1"/>
  <c r="H105" i="4" a="1"/>
  <c r="H105" i="4" s="1"/>
  <c r="G105" i="4" a="1"/>
  <c r="G105" i="4" s="1"/>
  <c r="F105" i="4" a="1"/>
  <c r="F105" i="4" s="1"/>
  <c r="E105" i="4" a="1"/>
  <c r="E105" i="4" s="1"/>
  <c r="D105" i="4" a="1"/>
  <c r="D105" i="4" s="1"/>
  <c r="C105" i="4" a="1"/>
  <c r="C105" i="4" s="1"/>
  <c r="B105" i="4" a="1"/>
  <c r="B105" i="4" s="1"/>
  <c r="A105" i="4" a="1"/>
  <c r="A105" i="4" s="1"/>
  <c r="AF104" i="4" a="1"/>
  <c r="AF104" i="4" s="1"/>
  <c r="AE104" i="4" a="1"/>
  <c r="AE104" i="4" s="1"/>
  <c r="AD104" i="4" a="1"/>
  <c r="AD104" i="4" s="1"/>
  <c r="AC104" i="4" a="1"/>
  <c r="AC104" i="4" s="1"/>
  <c r="AB104" i="4" a="1"/>
  <c r="AB104" i="4" s="1"/>
  <c r="AA104" i="4" a="1"/>
  <c r="AA104" i="4" s="1"/>
  <c r="Z104" i="4" a="1"/>
  <c r="Z104" i="4" s="1"/>
  <c r="Y104" i="4" a="1"/>
  <c r="Y104" i="4" s="1"/>
  <c r="X104" i="4" a="1"/>
  <c r="X104" i="4" s="1"/>
  <c r="W104" i="4" a="1"/>
  <c r="W104" i="4" s="1"/>
  <c r="V104" i="4" a="1"/>
  <c r="V104" i="4" s="1"/>
  <c r="U104" i="4" a="1"/>
  <c r="U104" i="4" s="1"/>
  <c r="T104" i="4" a="1"/>
  <c r="T104" i="4" s="1"/>
  <c r="S104" i="4" a="1"/>
  <c r="S104" i="4" s="1"/>
  <c r="R104" i="4" a="1"/>
  <c r="R104" i="4" s="1"/>
  <c r="Q104" i="4" a="1"/>
  <c r="Q104" i="4" s="1"/>
  <c r="P104" i="4" a="1"/>
  <c r="P104" i="4" s="1"/>
  <c r="O104" i="4" a="1"/>
  <c r="O104" i="4" s="1"/>
  <c r="N104" i="4" a="1"/>
  <c r="N104" i="4" s="1"/>
  <c r="M104" i="4" a="1"/>
  <c r="M104" i="4" s="1"/>
  <c r="L104" i="4" a="1"/>
  <c r="L104" i="4" s="1"/>
  <c r="K104" i="4" a="1"/>
  <c r="K104" i="4" s="1"/>
  <c r="J104" i="4" a="1"/>
  <c r="J104" i="4" s="1"/>
  <c r="I104" i="4" a="1"/>
  <c r="I104" i="4" s="1"/>
  <c r="H104" i="4" a="1"/>
  <c r="H104" i="4" s="1"/>
  <c r="G104" i="4" a="1"/>
  <c r="G104" i="4" s="1"/>
  <c r="F104" i="4" a="1"/>
  <c r="F104" i="4" s="1"/>
  <c r="E104" i="4" a="1"/>
  <c r="E104" i="4" s="1"/>
  <c r="D104" i="4" a="1"/>
  <c r="D104" i="4" s="1"/>
  <c r="C104" i="4" a="1"/>
  <c r="C104" i="4" s="1"/>
  <c r="B104" i="4" a="1"/>
  <c r="B104" i="4" s="1"/>
  <c r="A104" i="4" a="1"/>
  <c r="A104" i="4" s="1"/>
  <c r="AF103" i="4" a="1"/>
  <c r="AF103" i="4" s="1"/>
  <c r="AE103" i="4" a="1"/>
  <c r="AE103" i="4" s="1"/>
  <c r="AD103" i="4" a="1"/>
  <c r="AD103" i="4" s="1"/>
  <c r="AC103" i="4" a="1"/>
  <c r="AC103" i="4" s="1"/>
  <c r="AB103" i="4" a="1"/>
  <c r="AB103" i="4" s="1"/>
  <c r="AA103" i="4" a="1"/>
  <c r="AA103" i="4" s="1"/>
  <c r="Z103" i="4" a="1"/>
  <c r="Z103" i="4" s="1"/>
  <c r="Y103" i="4" a="1"/>
  <c r="Y103" i="4" s="1"/>
  <c r="X103" i="4" a="1"/>
  <c r="X103" i="4" s="1"/>
  <c r="W103" i="4" a="1"/>
  <c r="W103" i="4" s="1"/>
  <c r="V103" i="4" a="1"/>
  <c r="V103" i="4" s="1"/>
  <c r="U103" i="4" a="1"/>
  <c r="U103" i="4" s="1"/>
  <c r="T103" i="4" a="1"/>
  <c r="T103" i="4" s="1"/>
  <c r="S103" i="4" a="1"/>
  <c r="S103" i="4" s="1"/>
  <c r="R103" i="4" a="1"/>
  <c r="R103" i="4" s="1"/>
  <c r="Q103" i="4" a="1"/>
  <c r="Q103" i="4" s="1"/>
  <c r="P103" i="4" a="1"/>
  <c r="P103" i="4" s="1"/>
  <c r="O103" i="4" a="1"/>
  <c r="O103" i="4" s="1"/>
  <c r="N103" i="4" a="1"/>
  <c r="N103" i="4" s="1"/>
  <c r="M103" i="4" a="1"/>
  <c r="M103" i="4" s="1"/>
  <c r="L103" i="4" a="1"/>
  <c r="L103" i="4" s="1"/>
  <c r="K103" i="4" a="1"/>
  <c r="K103" i="4" s="1"/>
  <c r="J103" i="4" a="1"/>
  <c r="J103" i="4" s="1"/>
  <c r="I103" i="4" a="1"/>
  <c r="I103" i="4" s="1"/>
  <c r="H103" i="4" a="1"/>
  <c r="H103" i="4" s="1"/>
  <c r="G103" i="4" a="1"/>
  <c r="G103" i="4" s="1"/>
  <c r="F103" i="4" a="1"/>
  <c r="F103" i="4" s="1"/>
  <c r="E103" i="4" a="1"/>
  <c r="E103" i="4" s="1"/>
  <c r="D103" i="4" a="1"/>
  <c r="D103" i="4" s="1"/>
  <c r="C103" i="4" a="1"/>
  <c r="C103" i="4" s="1"/>
  <c r="B103" i="4" a="1"/>
  <c r="B103" i="4" s="1"/>
  <c r="A103" i="4" a="1"/>
  <c r="A103" i="4" s="1"/>
  <c r="AF102" i="4" a="1"/>
  <c r="AF102" i="4" s="1"/>
  <c r="AE102" i="4" a="1"/>
  <c r="AE102" i="4" s="1"/>
  <c r="AD102" i="4" a="1"/>
  <c r="AD102" i="4" s="1"/>
  <c r="AC102" i="4" a="1"/>
  <c r="AC102" i="4" s="1"/>
  <c r="AB102" i="4" a="1"/>
  <c r="AB102" i="4" s="1"/>
  <c r="AA102" i="4" a="1"/>
  <c r="AA102" i="4" s="1"/>
  <c r="Z102" i="4" a="1"/>
  <c r="Z102" i="4" s="1"/>
  <c r="Y102" i="4" a="1"/>
  <c r="Y102" i="4" s="1"/>
  <c r="X102" i="4" a="1"/>
  <c r="X102" i="4" s="1"/>
  <c r="W102" i="4" a="1"/>
  <c r="W102" i="4" s="1"/>
  <c r="V102" i="4" a="1"/>
  <c r="V102" i="4" s="1"/>
  <c r="U102" i="4" a="1"/>
  <c r="U102" i="4" s="1"/>
  <c r="T102" i="4" a="1"/>
  <c r="T102" i="4" s="1"/>
  <c r="S102" i="4" a="1"/>
  <c r="S102" i="4" s="1"/>
  <c r="R102" i="4" a="1"/>
  <c r="R102" i="4" s="1"/>
  <c r="Q102" i="4" a="1"/>
  <c r="Q102" i="4" s="1"/>
  <c r="P102" i="4" a="1"/>
  <c r="P102" i="4" s="1"/>
  <c r="O102" i="4" a="1"/>
  <c r="O102" i="4" s="1"/>
  <c r="N102" i="4" a="1"/>
  <c r="N102" i="4" s="1"/>
  <c r="M102" i="4" a="1"/>
  <c r="M102" i="4" s="1"/>
  <c r="L102" i="4" a="1"/>
  <c r="L102" i="4" s="1"/>
  <c r="K102" i="4" a="1"/>
  <c r="K102" i="4" s="1"/>
  <c r="J102" i="4" a="1"/>
  <c r="J102" i="4" s="1"/>
  <c r="I102" i="4" a="1"/>
  <c r="I102" i="4" s="1"/>
  <c r="H102" i="4" a="1"/>
  <c r="H102" i="4" s="1"/>
  <c r="G102" i="4" a="1"/>
  <c r="G102" i="4" s="1"/>
  <c r="F102" i="4" a="1"/>
  <c r="F102" i="4" s="1"/>
  <c r="E102" i="4" a="1"/>
  <c r="E102" i="4" s="1"/>
  <c r="D102" i="4" a="1"/>
  <c r="D102" i="4" s="1"/>
  <c r="C102" i="4" a="1"/>
  <c r="C102" i="4" s="1"/>
  <c r="B102" i="4" a="1"/>
  <c r="B102" i="4" s="1"/>
  <c r="A102" i="4" a="1"/>
  <c r="A102" i="4" s="1"/>
  <c r="AF101" i="4" a="1"/>
  <c r="AF101" i="4" s="1"/>
  <c r="AE101" i="4" a="1"/>
  <c r="AE101" i="4" s="1"/>
  <c r="AD101" i="4" a="1"/>
  <c r="AD101" i="4" s="1"/>
  <c r="AC101" i="4" a="1"/>
  <c r="AC101" i="4" s="1"/>
  <c r="AB101" i="4" a="1"/>
  <c r="AB101" i="4" s="1"/>
  <c r="AA101" i="4" a="1"/>
  <c r="AA101" i="4" s="1"/>
  <c r="Z101" i="4" a="1"/>
  <c r="Z101" i="4" s="1"/>
  <c r="Y101" i="4" a="1"/>
  <c r="Y101" i="4" s="1"/>
  <c r="X101" i="4" a="1"/>
  <c r="X101" i="4" s="1"/>
  <c r="W101" i="4" a="1"/>
  <c r="W101" i="4" s="1"/>
  <c r="V101" i="4" a="1"/>
  <c r="V101" i="4" s="1"/>
  <c r="U101" i="4" a="1"/>
  <c r="U101" i="4" s="1"/>
  <c r="T101" i="4" a="1"/>
  <c r="T101" i="4" s="1"/>
  <c r="S101" i="4" a="1"/>
  <c r="S101" i="4" s="1"/>
  <c r="R101" i="4" a="1"/>
  <c r="R101" i="4" s="1"/>
  <c r="Q101" i="4" a="1"/>
  <c r="Q101" i="4" s="1"/>
  <c r="P101" i="4" a="1"/>
  <c r="P101" i="4" s="1"/>
  <c r="O101" i="4" a="1"/>
  <c r="O101" i="4" s="1"/>
  <c r="N101" i="4" a="1"/>
  <c r="N101" i="4" s="1"/>
  <c r="M101" i="4" a="1"/>
  <c r="M101" i="4" s="1"/>
  <c r="L101" i="4" a="1"/>
  <c r="L101" i="4" s="1"/>
  <c r="K101" i="4" a="1"/>
  <c r="K101" i="4" s="1"/>
  <c r="J101" i="4" a="1"/>
  <c r="J101" i="4" s="1"/>
  <c r="I101" i="4" a="1"/>
  <c r="I101" i="4" s="1"/>
  <c r="H101" i="4" a="1"/>
  <c r="H101" i="4" s="1"/>
  <c r="G101" i="4" a="1"/>
  <c r="G101" i="4" s="1"/>
  <c r="F101" i="4" a="1"/>
  <c r="F101" i="4" s="1"/>
  <c r="E101" i="4" a="1"/>
  <c r="E101" i="4" s="1"/>
  <c r="D101" i="4" a="1"/>
  <c r="D101" i="4" s="1"/>
  <c r="C101" i="4" a="1"/>
  <c r="C101" i="4" s="1"/>
  <c r="B101" i="4" a="1"/>
  <c r="B101" i="4" s="1"/>
  <c r="A101" i="4" a="1"/>
  <c r="A101" i="4" s="1"/>
  <c r="AF100" i="4" a="1"/>
  <c r="AF100" i="4" s="1"/>
  <c r="AE100" i="4" a="1"/>
  <c r="AE100" i="4" s="1"/>
  <c r="AD100" i="4" a="1"/>
  <c r="AD100" i="4" s="1"/>
  <c r="AC100" i="4" a="1"/>
  <c r="AC100" i="4" s="1"/>
  <c r="AB100" i="4" a="1"/>
  <c r="AB100" i="4" s="1"/>
  <c r="AA100" i="4" a="1"/>
  <c r="AA100" i="4" s="1"/>
  <c r="Z100" i="4" a="1"/>
  <c r="Z100" i="4" s="1"/>
  <c r="Y100" i="4" a="1"/>
  <c r="Y100" i="4" s="1"/>
  <c r="X100" i="4" a="1"/>
  <c r="X100" i="4" s="1"/>
  <c r="W100" i="4" a="1"/>
  <c r="W100" i="4" s="1"/>
  <c r="V100" i="4" a="1"/>
  <c r="V100" i="4" s="1"/>
  <c r="U100" i="4" a="1"/>
  <c r="U100" i="4" s="1"/>
  <c r="T100" i="4" a="1"/>
  <c r="T100" i="4" s="1"/>
  <c r="S100" i="4" a="1"/>
  <c r="S100" i="4" s="1"/>
  <c r="R100" i="4" a="1"/>
  <c r="R100" i="4" s="1"/>
  <c r="Q100" i="4" a="1"/>
  <c r="Q100" i="4" s="1"/>
  <c r="P100" i="4" a="1"/>
  <c r="P100" i="4" s="1"/>
  <c r="O100" i="4" a="1"/>
  <c r="O100" i="4" s="1"/>
  <c r="N100" i="4" a="1"/>
  <c r="N100" i="4" s="1"/>
  <c r="M100" i="4" a="1"/>
  <c r="M100" i="4" s="1"/>
  <c r="L100" i="4" a="1"/>
  <c r="L100" i="4" s="1"/>
  <c r="K100" i="4" a="1"/>
  <c r="K100" i="4" s="1"/>
  <c r="J100" i="4" a="1"/>
  <c r="J100" i="4" s="1"/>
  <c r="I100" i="4" a="1"/>
  <c r="I100" i="4" s="1"/>
  <c r="H100" i="4" a="1"/>
  <c r="H100" i="4" s="1"/>
  <c r="G100" i="4" a="1"/>
  <c r="G100" i="4" s="1"/>
  <c r="F100" i="4" a="1"/>
  <c r="F100" i="4" s="1"/>
  <c r="E100" i="4" a="1"/>
  <c r="E100" i="4" s="1"/>
  <c r="D100" i="4" a="1"/>
  <c r="D100" i="4" s="1"/>
  <c r="C100" i="4" a="1"/>
  <c r="C100" i="4" s="1"/>
  <c r="B100" i="4" a="1"/>
  <c r="B100" i="4" s="1"/>
  <c r="A100" i="4" a="1"/>
  <c r="A100" i="4" s="1"/>
  <c r="AF99" i="4" a="1"/>
  <c r="AF99" i="4" s="1"/>
  <c r="AE99" i="4" a="1"/>
  <c r="AE99" i="4" s="1"/>
  <c r="AD99" i="4" a="1"/>
  <c r="AD99" i="4" s="1"/>
  <c r="AC99" i="4" a="1"/>
  <c r="AC99" i="4" s="1"/>
  <c r="AB99" i="4" a="1"/>
  <c r="AB99" i="4" s="1"/>
  <c r="AA99" i="4" a="1"/>
  <c r="AA99" i="4" s="1"/>
  <c r="Z99" i="4" a="1"/>
  <c r="Z99" i="4" s="1"/>
  <c r="Y99" i="4" a="1"/>
  <c r="Y99" i="4" s="1"/>
  <c r="X99" i="4" a="1"/>
  <c r="X99" i="4" s="1"/>
  <c r="W99" i="4" a="1"/>
  <c r="W99" i="4" s="1"/>
  <c r="V99" i="4" a="1"/>
  <c r="V99" i="4" s="1"/>
  <c r="U99" i="4" a="1"/>
  <c r="U99" i="4" s="1"/>
  <c r="T99" i="4" a="1"/>
  <c r="T99" i="4" s="1"/>
  <c r="S99" i="4" a="1"/>
  <c r="S99" i="4" s="1"/>
  <c r="R99" i="4" a="1"/>
  <c r="R99" i="4" s="1"/>
  <c r="Q99" i="4" a="1"/>
  <c r="Q99" i="4" s="1"/>
  <c r="P99" i="4" a="1"/>
  <c r="P99" i="4" s="1"/>
  <c r="O99" i="4" a="1"/>
  <c r="O99" i="4" s="1"/>
  <c r="N99" i="4" a="1"/>
  <c r="N99" i="4" s="1"/>
  <c r="M99" i="4" a="1"/>
  <c r="M99" i="4" s="1"/>
  <c r="L99" i="4" a="1"/>
  <c r="L99" i="4" s="1"/>
  <c r="K99" i="4" a="1"/>
  <c r="K99" i="4" s="1"/>
  <c r="J99" i="4" a="1"/>
  <c r="J99" i="4" s="1"/>
  <c r="I99" i="4" a="1"/>
  <c r="I99" i="4" s="1"/>
  <c r="H99" i="4" a="1"/>
  <c r="H99" i="4" s="1"/>
  <c r="G99" i="4" a="1"/>
  <c r="G99" i="4" s="1"/>
  <c r="F99" i="4" a="1"/>
  <c r="F99" i="4" s="1"/>
  <c r="E99" i="4" a="1"/>
  <c r="E99" i="4" s="1"/>
  <c r="D99" i="4" a="1"/>
  <c r="D99" i="4" s="1"/>
  <c r="C99" i="4" a="1"/>
  <c r="C99" i="4" s="1"/>
  <c r="B99" i="4" a="1"/>
  <c r="B99" i="4" s="1"/>
  <c r="A99" i="4" a="1"/>
  <c r="A99" i="4" s="1"/>
  <c r="AF98" i="4" a="1"/>
  <c r="AF98" i="4" s="1"/>
  <c r="AE98" i="4" a="1"/>
  <c r="AE98" i="4" s="1"/>
  <c r="AD98" i="4" a="1"/>
  <c r="AD98" i="4" s="1"/>
  <c r="AC98" i="4" a="1"/>
  <c r="AC98" i="4" s="1"/>
  <c r="AB98" i="4" a="1"/>
  <c r="AB98" i="4" s="1"/>
  <c r="AA98" i="4" a="1"/>
  <c r="AA98" i="4" s="1"/>
  <c r="Z98" i="4" a="1"/>
  <c r="Z98" i="4" s="1"/>
  <c r="Y98" i="4" a="1"/>
  <c r="Y98" i="4" s="1"/>
  <c r="X98" i="4" a="1"/>
  <c r="X98" i="4" s="1"/>
  <c r="W98" i="4" a="1"/>
  <c r="W98" i="4" s="1"/>
  <c r="V98" i="4" a="1"/>
  <c r="V98" i="4" s="1"/>
  <c r="U98" i="4" a="1"/>
  <c r="U98" i="4" s="1"/>
  <c r="T98" i="4" a="1"/>
  <c r="T98" i="4" s="1"/>
  <c r="S98" i="4" a="1"/>
  <c r="S98" i="4" s="1"/>
  <c r="R98" i="4" a="1"/>
  <c r="R98" i="4" s="1"/>
  <c r="Q98" i="4" a="1"/>
  <c r="Q98" i="4" s="1"/>
  <c r="P98" i="4" a="1"/>
  <c r="P98" i="4" s="1"/>
  <c r="O98" i="4" a="1"/>
  <c r="O98" i="4" s="1"/>
  <c r="N98" i="4" a="1"/>
  <c r="N98" i="4" s="1"/>
  <c r="M98" i="4" a="1"/>
  <c r="M98" i="4" s="1"/>
  <c r="L98" i="4" a="1"/>
  <c r="L98" i="4" s="1"/>
  <c r="K98" i="4" a="1"/>
  <c r="K98" i="4" s="1"/>
  <c r="J98" i="4" a="1"/>
  <c r="J98" i="4" s="1"/>
  <c r="I98" i="4" a="1"/>
  <c r="I98" i="4" s="1"/>
  <c r="H98" i="4" a="1"/>
  <c r="H98" i="4" s="1"/>
  <c r="G98" i="4" a="1"/>
  <c r="G98" i="4" s="1"/>
  <c r="F98" i="4" a="1"/>
  <c r="F98" i="4" s="1"/>
  <c r="E98" i="4" a="1"/>
  <c r="E98" i="4" s="1"/>
  <c r="D98" i="4" a="1"/>
  <c r="D98" i="4" s="1"/>
  <c r="C98" i="4" a="1"/>
  <c r="C98" i="4" s="1"/>
  <c r="B98" i="4" a="1"/>
  <c r="B98" i="4" s="1"/>
  <c r="A98" i="4" a="1"/>
  <c r="A98" i="4" s="1"/>
  <c r="AF97" i="4" a="1"/>
  <c r="AF97" i="4" s="1"/>
  <c r="AE97" i="4" a="1"/>
  <c r="AE97" i="4" s="1"/>
  <c r="AD97" i="4" a="1"/>
  <c r="AD97" i="4" s="1"/>
  <c r="AC97" i="4" a="1"/>
  <c r="AC97" i="4" s="1"/>
  <c r="AB97" i="4" a="1"/>
  <c r="AB97" i="4" s="1"/>
  <c r="AA97" i="4" a="1"/>
  <c r="AA97" i="4" s="1"/>
  <c r="Z97" i="4" a="1"/>
  <c r="Z97" i="4" s="1"/>
  <c r="Y97" i="4" a="1"/>
  <c r="Y97" i="4" s="1"/>
  <c r="X97" i="4" a="1"/>
  <c r="X97" i="4" s="1"/>
  <c r="W97" i="4" a="1"/>
  <c r="W97" i="4" s="1"/>
  <c r="V97" i="4" a="1"/>
  <c r="V97" i="4" s="1"/>
  <c r="U97" i="4" a="1"/>
  <c r="U97" i="4" s="1"/>
  <c r="T97" i="4" a="1"/>
  <c r="T97" i="4" s="1"/>
  <c r="S97" i="4" a="1"/>
  <c r="S97" i="4" s="1"/>
  <c r="R97" i="4" a="1"/>
  <c r="R97" i="4" s="1"/>
  <c r="Q97" i="4" a="1"/>
  <c r="Q97" i="4" s="1"/>
  <c r="P97" i="4" a="1"/>
  <c r="P97" i="4" s="1"/>
  <c r="O97" i="4" a="1"/>
  <c r="O97" i="4" s="1"/>
  <c r="N97" i="4" a="1"/>
  <c r="N97" i="4" s="1"/>
  <c r="M97" i="4" a="1"/>
  <c r="M97" i="4" s="1"/>
  <c r="L97" i="4" a="1"/>
  <c r="L97" i="4" s="1"/>
  <c r="K97" i="4" a="1"/>
  <c r="K97" i="4" s="1"/>
  <c r="J97" i="4" a="1"/>
  <c r="J97" i="4" s="1"/>
  <c r="I97" i="4" a="1"/>
  <c r="I97" i="4" s="1"/>
  <c r="H97" i="4" a="1"/>
  <c r="H97" i="4" s="1"/>
  <c r="G97" i="4" a="1"/>
  <c r="G97" i="4" s="1"/>
  <c r="F97" i="4" a="1"/>
  <c r="F97" i="4" s="1"/>
  <c r="E97" i="4" a="1"/>
  <c r="E97" i="4" s="1"/>
  <c r="D97" i="4" a="1"/>
  <c r="D97" i="4" s="1"/>
  <c r="C97" i="4" a="1"/>
  <c r="C97" i="4" s="1"/>
  <c r="B97" i="4" a="1"/>
  <c r="B97" i="4" s="1"/>
  <c r="A97" i="4" a="1"/>
  <c r="A97" i="4" s="1"/>
  <c r="AF96" i="4" a="1"/>
  <c r="AF96" i="4" s="1"/>
  <c r="AE96" i="4" a="1"/>
  <c r="AE96" i="4" s="1"/>
  <c r="AD96" i="4" a="1"/>
  <c r="AD96" i="4" s="1"/>
  <c r="AC96" i="4" a="1"/>
  <c r="AC96" i="4" s="1"/>
  <c r="AB96" i="4" a="1"/>
  <c r="AB96" i="4" s="1"/>
  <c r="AA96" i="4" a="1"/>
  <c r="AA96" i="4" s="1"/>
  <c r="Z96" i="4" a="1"/>
  <c r="Z96" i="4" s="1"/>
  <c r="Y96" i="4" a="1"/>
  <c r="Y96" i="4" s="1"/>
  <c r="X96" i="4" a="1"/>
  <c r="X96" i="4" s="1"/>
  <c r="W96" i="4" a="1"/>
  <c r="W96" i="4" s="1"/>
  <c r="V96" i="4" a="1"/>
  <c r="V96" i="4" s="1"/>
  <c r="U96" i="4" a="1"/>
  <c r="U96" i="4" s="1"/>
  <c r="T96" i="4" a="1"/>
  <c r="T96" i="4" s="1"/>
  <c r="S96" i="4" a="1"/>
  <c r="S96" i="4" s="1"/>
  <c r="R96" i="4" a="1"/>
  <c r="R96" i="4" s="1"/>
  <c r="Q96" i="4" a="1"/>
  <c r="Q96" i="4" s="1"/>
  <c r="P96" i="4" a="1"/>
  <c r="P96" i="4" s="1"/>
  <c r="O96" i="4" a="1"/>
  <c r="O96" i="4" s="1"/>
  <c r="N96" i="4" a="1"/>
  <c r="N96" i="4" s="1"/>
  <c r="M96" i="4" a="1"/>
  <c r="M96" i="4" s="1"/>
  <c r="L96" i="4" a="1"/>
  <c r="L96" i="4" s="1"/>
  <c r="K96" i="4" a="1"/>
  <c r="K96" i="4" s="1"/>
  <c r="J96" i="4" a="1"/>
  <c r="J96" i="4" s="1"/>
  <c r="I96" i="4" a="1"/>
  <c r="I96" i="4" s="1"/>
  <c r="H96" i="4" a="1"/>
  <c r="H96" i="4" s="1"/>
  <c r="G96" i="4" a="1"/>
  <c r="G96" i="4" s="1"/>
  <c r="F96" i="4" a="1"/>
  <c r="F96" i="4" s="1"/>
  <c r="E96" i="4" a="1"/>
  <c r="E96" i="4" s="1"/>
  <c r="D96" i="4" a="1"/>
  <c r="D96" i="4" s="1"/>
  <c r="C96" i="4" a="1"/>
  <c r="C96" i="4" s="1"/>
  <c r="B96" i="4" a="1"/>
  <c r="B96" i="4" s="1"/>
  <c r="A96" i="4" a="1"/>
  <c r="A96" i="4" s="1"/>
  <c r="AF95" i="4" a="1"/>
  <c r="AF95" i="4" s="1"/>
  <c r="AE95" i="4" a="1"/>
  <c r="AE95" i="4" s="1"/>
  <c r="AD95" i="4" a="1"/>
  <c r="AD95" i="4" s="1"/>
  <c r="AC95" i="4" a="1"/>
  <c r="AC95" i="4" s="1"/>
  <c r="AB95" i="4" a="1"/>
  <c r="AB95" i="4" s="1"/>
  <c r="AA95" i="4" a="1"/>
  <c r="AA95" i="4" s="1"/>
  <c r="Z95" i="4" a="1"/>
  <c r="Z95" i="4" s="1"/>
  <c r="Y95" i="4" a="1"/>
  <c r="Y95" i="4" s="1"/>
  <c r="X95" i="4" a="1"/>
  <c r="X95" i="4" s="1"/>
  <c r="W95" i="4" a="1"/>
  <c r="W95" i="4" s="1"/>
  <c r="V95" i="4" a="1"/>
  <c r="V95" i="4" s="1"/>
  <c r="U95" i="4" a="1"/>
  <c r="U95" i="4" s="1"/>
  <c r="T95" i="4" a="1"/>
  <c r="T95" i="4" s="1"/>
  <c r="S95" i="4" a="1"/>
  <c r="S95" i="4" s="1"/>
  <c r="R95" i="4" a="1"/>
  <c r="R95" i="4" s="1"/>
  <c r="Q95" i="4" a="1"/>
  <c r="Q95" i="4" s="1"/>
  <c r="P95" i="4" a="1"/>
  <c r="P95" i="4" s="1"/>
  <c r="O95" i="4" a="1"/>
  <c r="O95" i="4" s="1"/>
  <c r="N95" i="4" a="1"/>
  <c r="N95" i="4" s="1"/>
  <c r="M95" i="4" a="1"/>
  <c r="M95" i="4" s="1"/>
  <c r="L95" i="4" a="1"/>
  <c r="L95" i="4" s="1"/>
  <c r="K95" i="4" a="1"/>
  <c r="K95" i="4" s="1"/>
  <c r="J95" i="4" a="1"/>
  <c r="J95" i="4" s="1"/>
  <c r="I95" i="4" a="1"/>
  <c r="I95" i="4" s="1"/>
  <c r="H95" i="4" a="1"/>
  <c r="H95" i="4" s="1"/>
  <c r="G95" i="4" a="1"/>
  <c r="G95" i="4" s="1"/>
  <c r="F95" i="4" a="1"/>
  <c r="F95" i="4" s="1"/>
  <c r="E95" i="4" a="1"/>
  <c r="E95" i="4" s="1"/>
  <c r="D95" i="4" a="1"/>
  <c r="D95" i="4" s="1"/>
  <c r="C95" i="4" a="1"/>
  <c r="C95" i="4" s="1"/>
  <c r="B95" i="4" a="1"/>
  <c r="B95" i="4" s="1"/>
  <c r="A95" i="4" a="1"/>
  <c r="A95" i="4" s="1"/>
  <c r="AF94" i="4" a="1"/>
  <c r="AF94" i="4" s="1"/>
  <c r="AE94" i="4" a="1"/>
  <c r="AE94" i="4" s="1"/>
  <c r="AD94" i="4" a="1"/>
  <c r="AD94" i="4" s="1"/>
  <c r="AC94" i="4" a="1"/>
  <c r="AC94" i="4" s="1"/>
  <c r="AB94" i="4" a="1"/>
  <c r="AB94" i="4" s="1"/>
  <c r="AA94" i="4" a="1"/>
  <c r="AA94" i="4" s="1"/>
  <c r="Z94" i="4" a="1"/>
  <c r="Z94" i="4" s="1"/>
  <c r="Y94" i="4" a="1"/>
  <c r="Y94" i="4" s="1"/>
  <c r="X94" i="4" a="1"/>
  <c r="X94" i="4" s="1"/>
  <c r="W94" i="4" a="1"/>
  <c r="W94" i="4" s="1"/>
  <c r="V94" i="4" a="1"/>
  <c r="V94" i="4" s="1"/>
  <c r="U94" i="4" a="1"/>
  <c r="U94" i="4" s="1"/>
  <c r="T94" i="4" a="1"/>
  <c r="T94" i="4" s="1"/>
  <c r="S94" i="4" a="1"/>
  <c r="S94" i="4" s="1"/>
  <c r="R94" i="4" a="1"/>
  <c r="R94" i="4" s="1"/>
  <c r="Q94" i="4" a="1"/>
  <c r="Q94" i="4" s="1"/>
  <c r="P94" i="4" a="1"/>
  <c r="P94" i="4" s="1"/>
  <c r="O94" i="4" a="1"/>
  <c r="O94" i="4" s="1"/>
  <c r="N94" i="4" a="1"/>
  <c r="N94" i="4" s="1"/>
  <c r="M94" i="4" a="1"/>
  <c r="M94" i="4" s="1"/>
  <c r="L94" i="4" a="1"/>
  <c r="L94" i="4" s="1"/>
  <c r="K94" i="4" a="1"/>
  <c r="K94" i="4" s="1"/>
  <c r="J94" i="4" a="1"/>
  <c r="J94" i="4" s="1"/>
  <c r="I94" i="4" a="1"/>
  <c r="I94" i="4" s="1"/>
  <c r="H94" i="4" a="1"/>
  <c r="H94" i="4" s="1"/>
  <c r="G94" i="4" a="1"/>
  <c r="G94" i="4" s="1"/>
  <c r="F94" i="4" a="1"/>
  <c r="F94" i="4" s="1"/>
  <c r="E94" i="4" a="1"/>
  <c r="E94" i="4" s="1"/>
  <c r="D94" i="4" a="1"/>
  <c r="D94" i="4" s="1"/>
  <c r="C94" i="4" a="1"/>
  <c r="C94" i="4" s="1"/>
  <c r="B94" i="4" a="1"/>
  <c r="B94" i="4" s="1"/>
  <c r="A94" i="4" a="1"/>
  <c r="A94" i="4" s="1"/>
  <c r="AF93" i="4" a="1"/>
  <c r="AF93" i="4" s="1"/>
  <c r="AE93" i="4" a="1"/>
  <c r="AE93" i="4" s="1"/>
  <c r="AD93" i="4" a="1"/>
  <c r="AD93" i="4" s="1"/>
  <c r="AC93" i="4" a="1"/>
  <c r="AC93" i="4" s="1"/>
  <c r="AB93" i="4" a="1"/>
  <c r="AB93" i="4" s="1"/>
  <c r="AA93" i="4" a="1"/>
  <c r="AA93" i="4" s="1"/>
  <c r="Z93" i="4" a="1"/>
  <c r="Z93" i="4" s="1"/>
  <c r="Y93" i="4" a="1"/>
  <c r="Y93" i="4" s="1"/>
  <c r="X93" i="4" a="1"/>
  <c r="X93" i="4" s="1"/>
  <c r="W93" i="4" a="1"/>
  <c r="W93" i="4" s="1"/>
  <c r="V93" i="4" a="1"/>
  <c r="V93" i="4" s="1"/>
  <c r="U93" i="4" a="1"/>
  <c r="U93" i="4" s="1"/>
  <c r="T93" i="4" a="1"/>
  <c r="T93" i="4" s="1"/>
  <c r="S93" i="4" a="1"/>
  <c r="S93" i="4" s="1"/>
  <c r="R93" i="4" a="1"/>
  <c r="R93" i="4" s="1"/>
  <c r="Q93" i="4" a="1"/>
  <c r="Q93" i="4" s="1"/>
  <c r="P93" i="4" a="1"/>
  <c r="P93" i="4" s="1"/>
  <c r="O93" i="4" a="1"/>
  <c r="O93" i="4" s="1"/>
  <c r="N93" i="4" a="1"/>
  <c r="N93" i="4" s="1"/>
  <c r="M93" i="4" a="1"/>
  <c r="M93" i="4" s="1"/>
  <c r="L93" i="4" a="1"/>
  <c r="L93" i="4" s="1"/>
  <c r="K93" i="4" a="1"/>
  <c r="K93" i="4" s="1"/>
  <c r="J93" i="4" a="1"/>
  <c r="J93" i="4" s="1"/>
  <c r="I93" i="4" a="1"/>
  <c r="I93" i="4" s="1"/>
  <c r="H93" i="4" a="1"/>
  <c r="H93" i="4" s="1"/>
  <c r="G93" i="4" a="1"/>
  <c r="G93" i="4" s="1"/>
  <c r="F93" i="4" a="1"/>
  <c r="F93" i="4" s="1"/>
  <c r="E93" i="4" a="1"/>
  <c r="E93" i="4" s="1"/>
  <c r="D93" i="4" a="1"/>
  <c r="D93" i="4" s="1"/>
  <c r="C93" i="4" a="1"/>
  <c r="C93" i="4" s="1"/>
  <c r="B93" i="4" a="1"/>
  <c r="B93" i="4" s="1"/>
  <c r="A93" i="4" a="1"/>
  <c r="A93" i="4" s="1"/>
  <c r="AF92" i="4" a="1"/>
  <c r="AF92" i="4" s="1"/>
  <c r="AE92" i="4" a="1"/>
  <c r="AE92" i="4" s="1"/>
  <c r="AD92" i="4" a="1"/>
  <c r="AD92" i="4" s="1"/>
  <c r="AC92" i="4" a="1"/>
  <c r="AC92" i="4" s="1"/>
  <c r="AB92" i="4" a="1"/>
  <c r="AB92" i="4" s="1"/>
  <c r="AA92" i="4" a="1"/>
  <c r="AA92" i="4" s="1"/>
  <c r="Z92" i="4" a="1"/>
  <c r="Z92" i="4" s="1"/>
  <c r="Y92" i="4" a="1"/>
  <c r="Y92" i="4" s="1"/>
  <c r="X92" i="4" a="1"/>
  <c r="X92" i="4" s="1"/>
  <c r="W92" i="4" a="1"/>
  <c r="W92" i="4" s="1"/>
  <c r="V92" i="4" a="1"/>
  <c r="V92" i="4" s="1"/>
  <c r="U92" i="4" a="1"/>
  <c r="U92" i="4" s="1"/>
  <c r="T92" i="4" a="1"/>
  <c r="T92" i="4" s="1"/>
  <c r="S92" i="4" a="1"/>
  <c r="S92" i="4" s="1"/>
  <c r="R92" i="4" a="1"/>
  <c r="R92" i="4" s="1"/>
  <c r="Q92" i="4" a="1"/>
  <c r="Q92" i="4" s="1"/>
  <c r="P92" i="4" a="1"/>
  <c r="P92" i="4" s="1"/>
  <c r="O92" i="4" a="1"/>
  <c r="O92" i="4" s="1"/>
  <c r="N92" i="4" a="1"/>
  <c r="N92" i="4" s="1"/>
  <c r="M92" i="4" a="1"/>
  <c r="M92" i="4" s="1"/>
  <c r="L92" i="4" a="1"/>
  <c r="L92" i="4" s="1"/>
  <c r="K92" i="4" a="1"/>
  <c r="K92" i="4" s="1"/>
  <c r="J92" i="4" a="1"/>
  <c r="J92" i="4" s="1"/>
  <c r="I92" i="4" a="1"/>
  <c r="I92" i="4" s="1"/>
  <c r="H92" i="4" a="1"/>
  <c r="H92" i="4" s="1"/>
  <c r="G92" i="4" a="1"/>
  <c r="G92" i="4" s="1"/>
  <c r="F92" i="4" a="1"/>
  <c r="F92" i="4" s="1"/>
  <c r="E92" i="4" a="1"/>
  <c r="E92" i="4" s="1"/>
  <c r="D92" i="4" a="1"/>
  <c r="D92" i="4" s="1"/>
  <c r="C92" i="4" a="1"/>
  <c r="C92" i="4" s="1"/>
  <c r="B92" i="4" a="1"/>
  <c r="B92" i="4" s="1"/>
  <c r="A92" i="4" a="1"/>
  <c r="A92" i="4" s="1"/>
  <c r="AF91" i="4" a="1"/>
  <c r="AF91" i="4" s="1"/>
  <c r="AE91" i="4" a="1"/>
  <c r="AE91" i="4" s="1"/>
  <c r="AD91" i="4" a="1"/>
  <c r="AD91" i="4" s="1"/>
  <c r="AC91" i="4" a="1"/>
  <c r="AC91" i="4" s="1"/>
  <c r="AB91" i="4" a="1"/>
  <c r="AB91" i="4" s="1"/>
  <c r="AA91" i="4" a="1"/>
  <c r="AA91" i="4" s="1"/>
  <c r="Z91" i="4" a="1"/>
  <c r="Z91" i="4" s="1"/>
  <c r="Y91" i="4" a="1"/>
  <c r="Y91" i="4" s="1"/>
  <c r="X91" i="4" a="1"/>
  <c r="X91" i="4" s="1"/>
  <c r="W91" i="4" a="1"/>
  <c r="W91" i="4" s="1"/>
  <c r="V91" i="4" a="1"/>
  <c r="V91" i="4" s="1"/>
  <c r="U91" i="4" a="1"/>
  <c r="U91" i="4" s="1"/>
  <c r="T91" i="4" a="1"/>
  <c r="T91" i="4" s="1"/>
  <c r="S91" i="4" a="1"/>
  <c r="S91" i="4" s="1"/>
  <c r="R91" i="4" a="1"/>
  <c r="R91" i="4" s="1"/>
  <c r="Q91" i="4" a="1"/>
  <c r="Q91" i="4" s="1"/>
  <c r="P91" i="4" a="1"/>
  <c r="P91" i="4" s="1"/>
  <c r="O91" i="4" a="1"/>
  <c r="O91" i="4" s="1"/>
  <c r="N91" i="4" a="1"/>
  <c r="N91" i="4" s="1"/>
  <c r="M91" i="4" a="1"/>
  <c r="M91" i="4" s="1"/>
  <c r="L91" i="4" a="1"/>
  <c r="L91" i="4" s="1"/>
  <c r="K91" i="4" a="1"/>
  <c r="K91" i="4" s="1"/>
  <c r="J91" i="4" a="1"/>
  <c r="J91" i="4" s="1"/>
  <c r="I91" i="4" a="1"/>
  <c r="I91" i="4" s="1"/>
  <c r="H91" i="4" a="1"/>
  <c r="H91" i="4" s="1"/>
  <c r="G91" i="4" a="1"/>
  <c r="G91" i="4" s="1"/>
  <c r="F91" i="4" a="1"/>
  <c r="F91" i="4" s="1"/>
  <c r="E91" i="4" a="1"/>
  <c r="E91" i="4" s="1"/>
  <c r="D91" i="4" a="1"/>
  <c r="D91" i="4" s="1"/>
  <c r="C91" i="4" a="1"/>
  <c r="C91" i="4" s="1"/>
  <c r="B91" i="4" a="1"/>
  <c r="B91" i="4" s="1"/>
  <c r="A91" i="4" a="1"/>
  <c r="A91" i="4" s="1"/>
  <c r="AF90" i="4" a="1"/>
  <c r="AF90" i="4" s="1"/>
  <c r="AE90" i="4" a="1"/>
  <c r="AE90" i="4" s="1"/>
  <c r="AD90" i="4" a="1"/>
  <c r="AD90" i="4" s="1"/>
  <c r="AC90" i="4" a="1"/>
  <c r="AC90" i="4" s="1"/>
  <c r="AB90" i="4" a="1"/>
  <c r="AB90" i="4" s="1"/>
  <c r="AA90" i="4" a="1"/>
  <c r="AA90" i="4" s="1"/>
  <c r="Z90" i="4" a="1"/>
  <c r="Z90" i="4" s="1"/>
  <c r="Y90" i="4" a="1"/>
  <c r="Y90" i="4" s="1"/>
  <c r="X90" i="4" a="1"/>
  <c r="X90" i="4" s="1"/>
  <c r="W90" i="4" a="1"/>
  <c r="W90" i="4" s="1"/>
  <c r="V90" i="4" a="1"/>
  <c r="V90" i="4" s="1"/>
  <c r="U90" i="4" a="1"/>
  <c r="U90" i="4" s="1"/>
  <c r="T90" i="4" a="1"/>
  <c r="T90" i="4" s="1"/>
  <c r="S90" i="4" a="1"/>
  <c r="S90" i="4" s="1"/>
  <c r="R90" i="4" a="1"/>
  <c r="R90" i="4" s="1"/>
  <c r="Q90" i="4" a="1"/>
  <c r="Q90" i="4" s="1"/>
  <c r="P90" i="4" a="1"/>
  <c r="P90" i="4" s="1"/>
  <c r="O90" i="4" a="1"/>
  <c r="O90" i="4" s="1"/>
  <c r="N90" i="4" a="1"/>
  <c r="N90" i="4" s="1"/>
  <c r="M90" i="4" a="1"/>
  <c r="M90" i="4" s="1"/>
  <c r="L90" i="4" a="1"/>
  <c r="L90" i="4" s="1"/>
  <c r="K90" i="4" a="1"/>
  <c r="K90" i="4" s="1"/>
  <c r="J90" i="4" a="1"/>
  <c r="J90" i="4" s="1"/>
  <c r="I90" i="4" a="1"/>
  <c r="I90" i="4" s="1"/>
  <c r="H90" i="4" a="1"/>
  <c r="H90" i="4" s="1"/>
  <c r="G90" i="4" a="1"/>
  <c r="G90" i="4" s="1"/>
  <c r="F90" i="4" a="1"/>
  <c r="F90" i="4" s="1"/>
  <c r="E90" i="4" a="1"/>
  <c r="E90" i="4" s="1"/>
  <c r="D90" i="4" a="1"/>
  <c r="D90" i="4" s="1"/>
  <c r="C90" i="4" a="1"/>
  <c r="C90" i="4" s="1"/>
  <c r="B90" i="4" a="1"/>
  <c r="B90" i="4" s="1"/>
  <c r="A90" i="4" a="1"/>
  <c r="A90" i="4" s="1"/>
  <c r="AF89" i="4" a="1"/>
  <c r="AF89" i="4" s="1"/>
  <c r="AE89" i="4" a="1"/>
  <c r="AE89" i="4" s="1"/>
  <c r="AD89" i="4" a="1"/>
  <c r="AD89" i="4" s="1"/>
  <c r="AC89" i="4" a="1"/>
  <c r="AC89" i="4" s="1"/>
  <c r="AB89" i="4" a="1"/>
  <c r="AB89" i="4" s="1"/>
  <c r="AA89" i="4" a="1"/>
  <c r="AA89" i="4" s="1"/>
  <c r="Z89" i="4" a="1"/>
  <c r="Z89" i="4" s="1"/>
  <c r="Y89" i="4" a="1"/>
  <c r="Y89" i="4" s="1"/>
  <c r="X89" i="4" a="1"/>
  <c r="X89" i="4" s="1"/>
  <c r="W89" i="4" a="1"/>
  <c r="W89" i="4" s="1"/>
  <c r="V89" i="4" a="1"/>
  <c r="V89" i="4" s="1"/>
  <c r="U89" i="4" a="1"/>
  <c r="U89" i="4" s="1"/>
  <c r="T89" i="4" a="1"/>
  <c r="T89" i="4" s="1"/>
  <c r="S89" i="4" a="1"/>
  <c r="S89" i="4" s="1"/>
  <c r="R89" i="4" a="1"/>
  <c r="R89" i="4" s="1"/>
  <c r="Q89" i="4" a="1"/>
  <c r="Q89" i="4" s="1"/>
  <c r="P89" i="4" a="1"/>
  <c r="P89" i="4" s="1"/>
  <c r="O89" i="4" a="1"/>
  <c r="O89" i="4" s="1"/>
  <c r="N89" i="4" a="1"/>
  <c r="N89" i="4" s="1"/>
  <c r="M89" i="4" a="1"/>
  <c r="M89" i="4" s="1"/>
  <c r="L89" i="4" a="1"/>
  <c r="L89" i="4" s="1"/>
  <c r="K89" i="4" a="1"/>
  <c r="K89" i="4" s="1"/>
  <c r="J89" i="4" a="1"/>
  <c r="J89" i="4" s="1"/>
  <c r="I89" i="4" a="1"/>
  <c r="I89" i="4" s="1"/>
  <c r="H89" i="4" a="1"/>
  <c r="H89" i="4" s="1"/>
  <c r="G89" i="4" a="1"/>
  <c r="G89" i="4" s="1"/>
  <c r="F89" i="4" a="1"/>
  <c r="F89" i="4" s="1"/>
  <c r="E89" i="4" a="1"/>
  <c r="E89" i="4" s="1"/>
  <c r="D89" i="4" a="1"/>
  <c r="D89" i="4" s="1"/>
  <c r="C89" i="4" a="1"/>
  <c r="C89" i="4" s="1"/>
  <c r="B89" i="4" a="1"/>
  <c r="B89" i="4" s="1"/>
  <c r="A89" i="4" a="1"/>
  <c r="A89" i="4" s="1"/>
  <c r="AF88" i="4" a="1"/>
  <c r="AF88" i="4" s="1"/>
  <c r="AE88" i="4" a="1"/>
  <c r="AE88" i="4" s="1"/>
  <c r="AD88" i="4" a="1"/>
  <c r="AD88" i="4" s="1"/>
  <c r="AC88" i="4" a="1"/>
  <c r="AC88" i="4" s="1"/>
  <c r="AB88" i="4" a="1"/>
  <c r="AB88" i="4" s="1"/>
  <c r="AA88" i="4" a="1"/>
  <c r="AA88" i="4" s="1"/>
  <c r="Z88" i="4" a="1"/>
  <c r="Z88" i="4" s="1"/>
  <c r="Y88" i="4" a="1"/>
  <c r="Y88" i="4" s="1"/>
  <c r="X88" i="4" a="1"/>
  <c r="X88" i="4" s="1"/>
  <c r="W88" i="4" a="1"/>
  <c r="W88" i="4" s="1"/>
  <c r="V88" i="4" a="1"/>
  <c r="V88" i="4" s="1"/>
  <c r="U88" i="4" a="1"/>
  <c r="U88" i="4" s="1"/>
  <c r="T88" i="4" a="1"/>
  <c r="T88" i="4" s="1"/>
  <c r="S88" i="4" a="1"/>
  <c r="S88" i="4" s="1"/>
  <c r="R88" i="4" a="1"/>
  <c r="R88" i="4" s="1"/>
  <c r="Q88" i="4" a="1"/>
  <c r="Q88" i="4" s="1"/>
  <c r="P88" i="4" a="1"/>
  <c r="P88" i="4" s="1"/>
  <c r="O88" i="4" a="1"/>
  <c r="O88" i="4" s="1"/>
  <c r="N88" i="4" a="1"/>
  <c r="N88" i="4" s="1"/>
  <c r="M88" i="4" a="1"/>
  <c r="M88" i="4" s="1"/>
  <c r="L88" i="4" a="1"/>
  <c r="L88" i="4" s="1"/>
  <c r="K88" i="4" a="1"/>
  <c r="K88" i="4" s="1"/>
  <c r="J88" i="4" a="1"/>
  <c r="J88" i="4" s="1"/>
  <c r="I88" i="4" a="1"/>
  <c r="I88" i="4" s="1"/>
  <c r="H88" i="4" a="1"/>
  <c r="H88" i="4" s="1"/>
  <c r="G88" i="4" a="1"/>
  <c r="G88" i="4" s="1"/>
  <c r="F88" i="4" a="1"/>
  <c r="F88" i="4" s="1"/>
  <c r="E88" i="4" a="1"/>
  <c r="E88" i="4" s="1"/>
  <c r="D88" i="4" a="1"/>
  <c r="D88" i="4" s="1"/>
  <c r="C88" i="4" a="1"/>
  <c r="C88" i="4" s="1"/>
  <c r="B88" i="4" a="1"/>
  <c r="B88" i="4" s="1"/>
  <c r="A88" i="4" a="1"/>
  <c r="A88" i="4" s="1"/>
  <c r="AF87" i="4" a="1"/>
  <c r="AF87" i="4" s="1"/>
  <c r="AE87" i="4" a="1"/>
  <c r="AE87" i="4" s="1"/>
  <c r="AD87" i="4" a="1"/>
  <c r="AD87" i="4" s="1"/>
  <c r="AC87" i="4" a="1"/>
  <c r="AC87" i="4" s="1"/>
  <c r="AB87" i="4" a="1"/>
  <c r="AB87" i="4" s="1"/>
  <c r="AA87" i="4" a="1"/>
  <c r="AA87" i="4" s="1"/>
  <c r="Z87" i="4" a="1"/>
  <c r="Z87" i="4" s="1"/>
  <c r="Y87" i="4" a="1"/>
  <c r="Y87" i="4" s="1"/>
  <c r="X87" i="4" a="1"/>
  <c r="X87" i="4" s="1"/>
  <c r="W87" i="4" a="1"/>
  <c r="W87" i="4" s="1"/>
  <c r="V87" i="4" a="1"/>
  <c r="V87" i="4" s="1"/>
  <c r="U87" i="4" a="1"/>
  <c r="U87" i="4" s="1"/>
  <c r="T87" i="4" a="1"/>
  <c r="T87" i="4" s="1"/>
  <c r="S87" i="4" a="1"/>
  <c r="S87" i="4" s="1"/>
  <c r="R87" i="4" a="1"/>
  <c r="R87" i="4" s="1"/>
  <c r="Q87" i="4" a="1"/>
  <c r="Q87" i="4" s="1"/>
  <c r="P87" i="4" a="1"/>
  <c r="P87" i="4" s="1"/>
  <c r="O87" i="4" a="1"/>
  <c r="O87" i="4" s="1"/>
  <c r="N87" i="4" a="1"/>
  <c r="N87" i="4" s="1"/>
  <c r="M87" i="4" a="1"/>
  <c r="M87" i="4" s="1"/>
  <c r="L87" i="4" a="1"/>
  <c r="L87" i="4" s="1"/>
  <c r="K87" i="4" a="1"/>
  <c r="K87" i="4" s="1"/>
  <c r="J87" i="4" a="1"/>
  <c r="J87" i="4" s="1"/>
  <c r="I87" i="4" a="1"/>
  <c r="I87" i="4" s="1"/>
  <c r="H87" i="4" a="1"/>
  <c r="H87" i="4" s="1"/>
  <c r="G87" i="4" a="1"/>
  <c r="G87" i="4" s="1"/>
  <c r="F87" i="4" a="1"/>
  <c r="F87" i="4" s="1"/>
  <c r="E87" i="4" a="1"/>
  <c r="E87" i="4" s="1"/>
  <c r="D87" i="4" a="1"/>
  <c r="D87" i="4" s="1"/>
  <c r="C87" i="4" a="1"/>
  <c r="C87" i="4" s="1"/>
  <c r="B87" i="4" a="1"/>
  <c r="B87" i="4" s="1"/>
  <c r="A87" i="4" a="1"/>
  <c r="A87" i="4" s="1"/>
  <c r="AF86" i="4" a="1"/>
  <c r="AF86" i="4" s="1"/>
  <c r="AE86" i="4" a="1"/>
  <c r="AE86" i="4" s="1"/>
  <c r="AD86" i="4" a="1"/>
  <c r="AD86" i="4" s="1"/>
  <c r="AC86" i="4" a="1"/>
  <c r="AC86" i="4" s="1"/>
  <c r="AB86" i="4" a="1"/>
  <c r="AB86" i="4" s="1"/>
  <c r="AA86" i="4" a="1"/>
  <c r="AA86" i="4" s="1"/>
  <c r="Z86" i="4" a="1"/>
  <c r="Z86" i="4" s="1"/>
  <c r="Y86" i="4" a="1"/>
  <c r="Y86" i="4" s="1"/>
  <c r="X86" i="4" a="1"/>
  <c r="X86" i="4" s="1"/>
  <c r="W86" i="4" a="1"/>
  <c r="W86" i="4" s="1"/>
  <c r="V86" i="4" a="1"/>
  <c r="V86" i="4" s="1"/>
  <c r="U86" i="4" a="1"/>
  <c r="U86" i="4" s="1"/>
  <c r="T86" i="4" a="1"/>
  <c r="T86" i="4" s="1"/>
  <c r="S86" i="4" a="1"/>
  <c r="S86" i="4" s="1"/>
  <c r="R86" i="4" a="1"/>
  <c r="R86" i="4" s="1"/>
  <c r="Q86" i="4" a="1"/>
  <c r="Q86" i="4" s="1"/>
  <c r="P86" i="4" a="1"/>
  <c r="P86" i="4" s="1"/>
  <c r="O86" i="4" a="1"/>
  <c r="O86" i="4" s="1"/>
  <c r="N86" i="4" a="1"/>
  <c r="N86" i="4" s="1"/>
  <c r="M86" i="4" a="1"/>
  <c r="M86" i="4" s="1"/>
  <c r="L86" i="4" a="1"/>
  <c r="L86" i="4" s="1"/>
  <c r="K86" i="4" a="1"/>
  <c r="K86" i="4" s="1"/>
  <c r="J86" i="4" a="1"/>
  <c r="J86" i="4" s="1"/>
  <c r="I86" i="4" a="1"/>
  <c r="I86" i="4" s="1"/>
  <c r="H86" i="4" a="1"/>
  <c r="H86" i="4" s="1"/>
  <c r="G86" i="4" a="1"/>
  <c r="G86" i="4" s="1"/>
  <c r="F86" i="4" a="1"/>
  <c r="F86" i="4" s="1"/>
  <c r="E86" i="4" a="1"/>
  <c r="E86" i="4" s="1"/>
  <c r="D86" i="4" a="1"/>
  <c r="D86" i="4" s="1"/>
  <c r="C86" i="4" a="1"/>
  <c r="C86" i="4" s="1"/>
  <c r="B86" i="4" a="1"/>
  <c r="B86" i="4" s="1"/>
  <c r="A86" i="4" a="1"/>
  <c r="A86" i="4" s="1"/>
  <c r="AF85" i="4" a="1"/>
  <c r="AF85" i="4" s="1"/>
  <c r="AE85" i="4" a="1"/>
  <c r="AE85" i="4" s="1"/>
  <c r="AD85" i="4" a="1"/>
  <c r="AD85" i="4" s="1"/>
  <c r="AC85" i="4" a="1"/>
  <c r="AC85" i="4" s="1"/>
  <c r="AB85" i="4" a="1"/>
  <c r="AB85" i="4" s="1"/>
  <c r="AA85" i="4" a="1"/>
  <c r="AA85" i="4" s="1"/>
  <c r="Z85" i="4" a="1"/>
  <c r="Z85" i="4" s="1"/>
  <c r="Y85" i="4" a="1"/>
  <c r="Y85" i="4" s="1"/>
  <c r="X85" i="4" a="1"/>
  <c r="X85" i="4" s="1"/>
  <c r="W85" i="4" a="1"/>
  <c r="W85" i="4" s="1"/>
  <c r="V85" i="4" a="1"/>
  <c r="V85" i="4" s="1"/>
  <c r="U85" i="4" a="1"/>
  <c r="U85" i="4" s="1"/>
  <c r="T85" i="4" a="1"/>
  <c r="T85" i="4" s="1"/>
  <c r="S85" i="4" a="1"/>
  <c r="S85" i="4" s="1"/>
  <c r="R85" i="4" a="1"/>
  <c r="R85" i="4" s="1"/>
  <c r="Q85" i="4" a="1"/>
  <c r="Q85" i="4" s="1"/>
  <c r="P85" i="4" a="1"/>
  <c r="P85" i="4" s="1"/>
  <c r="O85" i="4" a="1"/>
  <c r="O85" i="4" s="1"/>
  <c r="N85" i="4" a="1"/>
  <c r="N85" i="4" s="1"/>
  <c r="M85" i="4" a="1"/>
  <c r="M85" i="4" s="1"/>
  <c r="L85" i="4" a="1"/>
  <c r="L85" i="4" s="1"/>
  <c r="K85" i="4" a="1"/>
  <c r="K85" i="4" s="1"/>
  <c r="J85" i="4" a="1"/>
  <c r="J85" i="4" s="1"/>
  <c r="I85" i="4" a="1"/>
  <c r="I85" i="4" s="1"/>
  <c r="H85" i="4" a="1"/>
  <c r="H85" i="4" s="1"/>
  <c r="G85" i="4" a="1"/>
  <c r="G85" i="4" s="1"/>
  <c r="F85" i="4" a="1"/>
  <c r="F85" i="4" s="1"/>
  <c r="E85" i="4" a="1"/>
  <c r="E85" i="4" s="1"/>
  <c r="D85" i="4" a="1"/>
  <c r="D85" i="4" s="1"/>
  <c r="C85" i="4" a="1"/>
  <c r="C85" i="4" s="1"/>
  <c r="B85" i="4" a="1"/>
  <c r="B85" i="4" s="1"/>
  <c r="A85" i="4" a="1"/>
  <c r="A85" i="4" s="1"/>
  <c r="AF84" i="4" a="1"/>
  <c r="AF84" i="4" s="1"/>
  <c r="AE84" i="4" a="1"/>
  <c r="AE84" i="4" s="1"/>
  <c r="AD84" i="4" a="1"/>
  <c r="AD84" i="4" s="1"/>
  <c r="AC84" i="4" a="1"/>
  <c r="AC84" i="4" s="1"/>
  <c r="AB84" i="4" a="1"/>
  <c r="AB84" i="4" s="1"/>
  <c r="AA84" i="4" a="1"/>
  <c r="AA84" i="4" s="1"/>
  <c r="Z84" i="4" a="1"/>
  <c r="Z84" i="4" s="1"/>
  <c r="Y84" i="4" a="1"/>
  <c r="Y84" i="4" s="1"/>
  <c r="X84" i="4" a="1"/>
  <c r="X84" i="4" s="1"/>
  <c r="W84" i="4" a="1"/>
  <c r="W84" i="4" s="1"/>
  <c r="V84" i="4" a="1"/>
  <c r="V84" i="4" s="1"/>
  <c r="U84" i="4" a="1"/>
  <c r="U84" i="4" s="1"/>
  <c r="T84" i="4" a="1"/>
  <c r="T84" i="4" s="1"/>
  <c r="S84" i="4" a="1"/>
  <c r="S84" i="4" s="1"/>
  <c r="R84" i="4" a="1"/>
  <c r="R84" i="4" s="1"/>
  <c r="Q84" i="4" a="1"/>
  <c r="Q84" i="4" s="1"/>
  <c r="P84" i="4" a="1"/>
  <c r="P84" i="4" s="1"/>
  <c r="O84" i="4" a="1"/>
  <c r="O84" i="4" s="1"/>
  <c r="N84" i="4" a="1"/>
  <c r="N84" i="4" s="1"/>
  <c r="M84" i="4" a="1"/>
  <c r="M84" i="4" s="1"/>
  <c r="L84" i="4" a="1"/>
  <c r="L84" i="4" s="1"/>
  <c r="K84" i="4" a="1"/>
  <c r="K84" i="4" s="1"/>
  <c r="J84" i="4" a="1"/>
  <c r="J84" i="4" s="1"/>
  <c r="I84" i="4" a="1"/>
  <c r="I84" i="4" s="1"/>
  <c r="H84" i="4" a="1"/>
  <c r="H84" i="4" s="1"/>
  <c r="G84" i="4" a="1"/>
  <c r="G84" i="4" s="1"/>
  <c r="F84" i="4" a="1"/>
  <c r="F84" i="4" s="1"/>
  <c r="E84" i="4" a="1"/>
  <c r="E84" i="4" s="1"/>
  <c r="D84" i="4" a="1"/>
  <c r="D84" i="4" s="1"/>
  <c r="C84" i="4" a="1"/>
  <c r="C84" i="4" s="1"/>
  <c r="B84" i="4" a="1"/>
  <c r="B84" i="4" s="1"/>
  <c r="A84" i="4" a="1"/>
  <c r="A84" i="4" s="1"/>
  <c r="AF83" i="4" a="1"/>
  <c r="AF83" i="4" s="1"/>
  <c r="AE83" i="4" a="1"/>
  <c r="AE83" i="4" s="1"/>
  <c r="AD83" i="4" a="1"/>
  <c r="AD83" i="4" s="1"/>
  <c r="AC83" i="4" a="1"/>
  <c r="AC83" i="4" s="1"/>
  <c r="AB83" i="4" a="1"/>
  <c r="AB83" i="4" s="1"/>
  <c r="AA83" i="4" a="1"/>
  <c r="AA83" i="4" s="1"/>
  <c r="Z83" i="4" a="1"/>
  <c r="Z83" i="4" s="1"/>
  <c r="Y83" i="4" a="1"/>
  <c r="Y83" i="4" s="1"/>
  <c r="X83" i="4" a="1"/>
  <c r="X83" i="4" s="1"/>
  <c r="W83" i="4" a="1"/>
  <c r="W83" i="4" s="1"/>
  <c r="V83" i="4" a="1"/>
  <c r="V83" i="4" s="1"/>
  <c r="U83" i="4" a="1"/>
  <c r="U83" i="4" s="1"/>
  <c r="T83" i="4" a="1"/>
  <c r="T83" i="4" s="1"/>
  <c r="S83" i="4" a="1"/>
  <c r="S83" i="4" s="1"/>
  <c r="R83" i="4" a="1"/>
  <c r="R83" i="4" s="1"/>
  <c r="Q83" i="4" a="1"/>
  <c r="Q83" i="4" s="1"/>
  <c r="P83" i="4" a="1"/>
  <c r="P83" i="4" s="1"/>
  <c r="O83" i="4" a="1"/>
  <c r="O83" i="4" s="1"/>
  <c r="N83" i="4" a="1"/>
  <c r="N83" i="4" s="1"/>
  <c r="M83" i="4" a="1"/>
  <c r="M83" i="4" s="1"/>
  <c r="L83" i="4" a="1"/>
  <c r="L83" i="4" s="1"/>
  <c r="K83" i="4" a="1"/>
  <c r="K83" i="4" s="1"/>
  <c r="J83" i="4" a="1"/>
  <c r="J83" i="4" s="1"/>
  <c r="I83" i="4" a="1"/>
  <c r="I83" i="4" s="1"/>
  <c r="H83" i="4" a="1"/>
  <c r="H83" i="4" s="1"/>
  <c r="G83" i="4" a="1"/>
  <c r="G83" i="4" s="1"/>
  <c r="F83" i="4" a="1"/>
  <c r="F83" i="4" s="1"/>
  <c r="E83" i="4" a="1"/>
  <c r="E83" i="4" s="1"/>
  <c r="D83" i="4" a="1"/>
  <c r="D83" i="4" s="1"/>
  <c r="C83" i="4" a="1"/>
  <c r="C83" i="4" s="1"/>
  <c r="B83" i="4" a="1"/>
  <c r="B83" i="4" s="1"/>
  <c r="A83" i="4" a="1"/>
  <c r="A83" i="4" s="1"/>
  <c r="AF82" i="4" a="1"/>
  <c r="AF82" i="4" s="1"/>
  <c r="AE82" i="4" a="1"/>
  <c r="AE82" i="4" s="1"/>
  <c r="AD82" i="4" a="1"/>
  <c r="AD82" i="4" s="1"/>
  <c r="AC82" i="4" a="1"/>
  <c r="AC82" i="4" s="1"/>
  <c r="AB82" i="4" a="1"/>
  <c r="AB82" i="4" s="1"/>
  <c r="AA82" i="4" a="1"/>
  <c r="AA82" i="4" s="1"/>
  <c r="Z82" i="4" a="1"/>
  <c r="Z82" i="4" s="1"/>
  <c r="Y82" i="4" a="1"/>
  <c r="Y82" i="4" s="1"/>
  <c r="X82" i="4" a="1"/>
  <c r="X82" i="4" s="1"/>
  <c r="W82" i="4" a="1"/>
  <c r="W82" i="4" s="1"/>
  <c r="V82" i="4" a="1"/>
  <c r="V82" i="4" s="1"/>
  <c r="U82" i="4" a="1"/>
  <c r="U82" i="4" s="1"/>
  <c r="T82" i="4" a="1"/>
  <c r="T82" i="4" s="1"/>
  <c r="S82" i="4" a="1"/>
  <c r="S82" i="4" s="1"/>
  <c r="R82" i="4" a="1"/>
  <c r="R82" i="4" s="1"/>
  <c r="Q82" i="4" a="1"/>
  <c r="Q82" i="4" s="1"/>
  <c r="P82" i="4" a="1"/>
  <c r="P82" i="4" s="1"/>
  <c r="O82" i="4" a="1"/>
  <c r="O82" i="4" s="1"/>
  <c r="N82" i="4" a="1"/>
  <c r="N82" i="4" s="1"/>
  <c r="M82" i="4" a="1"/>
  <c r="M82" i="4" s="1"/>
  <c r="L82" i="4" a="1"/>
  <c r="L82" i="4" s="1"/>
  <c r="K82" i="4" a="1"/>
  <c r="K82" i="4" s="1"/>
  <c r="J82" i="4" a="1"/>
  <c r="J82" i="4" s="1"/>
  <c r="I82" i="4" a="1"/>
  <c r="I82" i="4" s="1"/>
  <c r="H82" i="4" a="1"/>
  <c r="H82" i="4" s="1"/>
  <c r="G82" i="4" a="1"/>
  <c r="G82" i="4" s="1"/>
  <c r="F82" i="4" a="1"/>
  <c r="F82" i="4" s="1"/>
  <c r="E82" i="4" a="1"/>
  <c r="E82" i="4" s="1"/>
  <c r="D82" i="4" a="1"/>
  <c r="D82" i="4" s="1"/>
  <c r="C82" i="4" a="1"/>
  <c r="C82" i="4" s="1"/>
  <c r="B82" i="4" a="1"/>
  <c r="B82" i="4" s="1"/>
  <c r="A82" i="4" a="1"/>
  <c r="A82" i="4" s="1"/>
  <c r="AF81" i="4" a="1"/>
  <c r="AF81" i="4" s="1"/>
  <c r="AE81" i="4" a="1"/>
  <c r="AE81" i="4" s="1"/>
  <c r="AD81" i="4" a="1"/>
  <c r="AD81" i="4" s="1"/>
  <c r="AC81" i="4" a="1"/>
  <c r="AC81" i="4" s="1"/>
  <c r="AB81" i="4" a="1"/>
  <c r="AB81" i="4" s="1"/>
  <c r="AA81" i="4" a="1"/>
  <c r="AA81" i="4" s="1"/>
  <c r="Z81" i="4" a="1"/>
  <c r="Z81" i="4" s="1"/>
  <c r="Y81" i="4" a="1"/>
  <c r="Y81" i="4" s="1"/>
  <c r="X81" i="4" a="1"/>
  <c r="X81" i="4" s="1"/>
  <c r="W81" i="4" a="1"/>
  <c r="W81" i="4" s="1"/>
  <c r="V81" i="4" a="1"/>
  <c r="V81" i="4" s="1"/>
  <c r="U81" i="4" a="1"/>
  <c r="U81" i="4" s="1"/>
  <c r="T81" i="4" a="1"/>
  <c r="T81" i="4" s="1"/>
  <c r="S81" i="4" a="1"/>
  <c r="S81" i="4" s="1"/>
  <c r="R81" i="4" a="1"/>
  <c r="R81" i="4" s="1"/>
  <c r="Q81" i="4" a="1"/>
  <c r="Q81" i="4" s="1"/>
  <c r="P81" i="4" a="1"/>
  <c r="P81" i="4" s="1"/>
  <c r="O81" i="4" a="1"/>
  <c r="O81" i="4" s="1"/>
  <c r="N81" i="4" a="1"/>
  <c r="N81" i="4" s="1"/>
  <c r="M81" i="4" a="1"/>
  <c r="M81" i="4" s="1"/>
  <c r="L81" i="4" a="1"/>
  <c r="L81" i="4" s="1"/>
  <c r="K81" i="4" a="1"/>
  <c r="K81" i="4" s="1"/>
  <c r="J81" i="4" a="1"/>
  <c r="J81" i="4" s="1"/>
  <c r="I81" i="4" a="1"/>
  <c r="I81" i="4" s="1"/>
  <c r="H81" i="4" a="1"/>
  <c r="H81" i="4" s="1"/>
  <c r="G81" i="4" a="1"/>
  <c r="G81" i="4" s="1"/>
  <c r="F81" i="4" a="1"/>
  <c r="F81" i="4" s="1"/>
  <c r="E81" i="4" a="1"/>
  <c r="E81" i="4" s="1"/>
  <c r="D81" i="4" a="1"/>
  <c r="D81" i="4" s="1"/>
  <c r="C81" i="4" a="1"/>
  <c r="C81" i="4" s="1"/>
  <c r="B81" i="4" a="1"/>
  <c r="B81" i="4" s="1"/>
  <c r="A81" i="4" a="1"/>
  <c r="A81" i="4" s="1"/>
  <c r="AF80" i="4" a="1"/>
  <c r="AF80" i="4" s="1"/>
  <c r="AE80" i="4" a="1"/>
  <c r="AE80" i="4" s="1"/>
  <c r="AD80" i="4" a="1"/>
  <c r="AD80" i="4" s="1"/>
  <c r="AC80" i="4" a="1"/>
  <c r="AC80" i="4" s="1"/>
  <c r="AB80" i="4" a="1"/>
  <c r="AB80" i="4" s="1"/>
  <c r="AA80" i="4" a="1"/>
  <c r="AA80" i="4" s="1"/>
  <c r="Z80" i="4" a="1"/>
  <c r="Z80" i="4" s="1"/>
  <c r="Y80" i="4" a="1"/>
  <c r="Y80" i="4" s="1"/>
  <c r="X80" i="4" a="1"/>
  <c r="X80" i="4" s="1"/>
  <c r="W80" i="4" a="1"/>
  <c r="W80" i="4" s="1"/>
  <c r="V80" i="4" a="1"/>
  <c r="V80" i="4" s="1"/>
  <c r="U80" i="4" a="1"/>
  <c r="U80" i="4" s="1"/>
  <c r="T80" i="4" a="1"/>
  <c r="T80" i="4" s="1"/>
  <c r="S80" i="4" a="1"/>
  <c r="S80" i="4" s="1"/>
  <c r="R80" i="4" a="1"/>
  <c r="R80" i="4" s="1"/>
  <c r="Q80" i="4" a="1"/>
  <c r="Q80" i="4" s="1"/>
  <c r="P80" i="4" a="1"/>
  <c r="P80" i="4" s="1"/>
  <c r="O80" i="4" a="1"/>
  <c r="O80" i="4" s="1"/>
  <c r="N80" i="4" a="1"/>
  <c r="N80" i="4" s="1"/>
  <c r="M80" i="4" a="1"/>
  <c r="M80" i="4" s="1"/>
  <c r="L80" i="4" a="1"/>
  <c r="L80" i="4" s="1"/>
  <c r="K80" i="4" a="1"/>
  <c r="K80" i="4" s="1"/>
  <c r="J80" i="4" a="1"/>
  <c r="J80" i="4" s="1"/>
  <c r="I80" i="4" a="1"/>
  <c r="I80" i="4" s="1"/>
  <c r="H80" i="4" a="1"/>
  <c r="H80" i="4" s="1"/>
  <c r="G80" i="4" a="1"/>
  <c r="G80" i="4" s="1"/>
  <c r="F80" i="4" a="1"/>
  <c r="F80" i="4" s="1"/>
  <c r="E80" i="4" a="1"/>
  <c r="E80" i="4" s="1"/>
  <c r="D80" i="4" a="1"/>
  <c r="D80" i="4" s="1"/>
  <c r="C80" i="4" a="1"/>
  <c r="C80" i="4" s="1"/>
  <c r="B80" i="4" a="1"/>
  <c r="B80" i="4" s="1"/>
  <c r="A80" i="4" a="1"/>
  <c r="A80" i="4" s="1"/>
  <c r="AF79" i="4" a="1"/>
  <c r="AF79" i="4" s="1"/>
  <c r="AE79" i="4" a="1"/>
  <c r="AE79" i="4" s="1"/>
  <c r="AD79" i="4" a="1"/>
  <c r="AD79" i="4" s="1"/>
  <c r="AC79" i="4" a="1"/>
  <c r="AC79" i="4" s="1"/>
  <c r="AB79" i="4" a="1"/>
  <c r="AB79" i="4" s="1"/>
  <c r="AA79" i="4" a="1"/>
  <c r="AA79" i="4" s="1"/>
  <c r="Z79" i="4" a="1"/>
  <c r="Z79" i="4" s="1"/>
  <c r="Y79" i="4" a="1"/>
  <c r="Y79" i="4" s="1"/>
  <c r="X79" i="4" a="1"/>
  <c r="X79" i="4" s="1"/>
  <c r="W79" i="4" a="1"/>
  <c r="W79" i="4" s="1"/>
  <c r="V79" i="4" a="1"/>
  <c r="V79" i="4" s="1"/>
  <c r="U79" i="4" a="1"/>
  <c r="U79" i="4" s="1"/>
  <c r="T79" i="4" a="1"/>
  <c r="T79" i="4" s="1"/>
  <c r="S79" i="4" a="1"/>
  <c r="S79" i="4" s="1"/>
  <c r="R79" i="4" a="1"/>
  <c r="R79" i="4" s="1"/>
  <c r="Q79" i="4" a="1"/>
  <c r="Q79" i="4" s="1"/>
  <c r="P79" i="4" a="1"/>
  <c r="P79" i="4" s="1"/>
  <c r="O79" i="4" a="1"/>
  <c r="O79" i="4" s="1"/>
  <c r="N79" i="4" a="1"/>
  <c r="N79" i="4" s="1"/>
  <c r="M79" i="4" a="1"/>
  <c r="M79" i="4" s="1"/>
  <c r="L79" i="4" a="1"/>
  <c r="L79" i="4" s="1"/>
  <c r="K79" i="4" a="1"/>
  <c r="K79" i="4" s="1"/>
  <c r="J79" i="4" a="1"/>
  <c r="J79" i="4" s="1"/>
  <c r="I79" i="4" a="1"/>
  <c r="I79" i="4" s="1"/>
  <c r="H79" i="4" a="1"/>
  <c r="H79" i="4" s="1"/>
  <c r="G79" i="4" a="1"/>
  <c r="G79" i="4" s="1"/>
  <c r="F79" i="4" a="1"/>
  <c r="F79" i="4" s="1"/>
  <c r="E79" i="4" a="1"/>
  <c r="E79" i="4" s="1"/>
  <c r="D79" i="4" a="1"/>
  <c r="D79" i="4" s="1"/>
  <c r="C79" i="4" a="1"/>
  <c r="C79" i="4" s="1"/>
  <c r="B79" i="4" a="1"/>
  <c r="B79" i="4" s="1"/>
  <c r="A79" i="4" a="1"/>
  <c r="A79" i="4" s="1"/>
  <c r="AF78" i="4" a="1"/>
  <c r="AF78" i="4" s="1"/>
  <c r="AE78" i="4" a="1"/>
  <c r="AE78" i="4" s="1"/>
  <c r="AD78" i="4" a="1"/>
  <c r="AD78" i="4" s="1"/>
  <c r="AC78" i="4" a="1"/>
  <c r="AC78" i="4" s="1"/>
  <c r="AB78" i="4" a="1"/>
  <c r="AB78" i="4" s="1"/>
  <c r="AA78" i="4" a="1"/>
  <c r="AA78" i="4" s="1"/>
  <c r="Z78" i="4" a="1"/>
  <c r="Z78" i="4" s="1"/>
  <c r="Y78" i="4" a="1"/>
  <c r="Y78" i="4" s="1"/>
  <c r="X78" i="4" a="1"/>
  <c r="X78" i="4" s="1"/>
  <c r="W78" i="4" a="1"/>
  <c r="W78" i="4" s="1"/>
  <c r="V78" i="4" a="1"/>
  <c r="V78" i="4" s="1"/>
  <c r="U78" i="4" a="1"/>
  <c r="U78" i="4" s="1"/>
  <c r="T78" i="4" a="1"/>
  <c r="T78" i="4" s="1"/>
  <c r="S78" i="4" a="1"/>
  <c r="S78" i="4" s="1"/>
  <c r="R78" i="4" a="1"/>
  <c r="R78" i="4" s="1"/>
  <c r="Q78" i="4" a="1"/>
  <c r="Q78" i="4" s="1"/>
  <c r="P78" i="4" a="1"/>
  <c r="P78" i="4" s="1"/>
  <c r="O78" i="4" a="1"/>
  <c r="O78" i="4" s="1"/>
  <c r="N78" i="4" a="1"/>
  <c r="N78" i="4" s="1"/>
  <c r="M78" i="4" a="1"/>
  <c r="M78" i="4" s="1"/>
  <c r="L78" i="4" a="1"/>
  <c r="L78" i="4" s="1"/>
  <c r="K78" i="4" a="1"/>
  <c r="K78" i="4" s="1"/>
  <c r="J78" i="4" a="1"/>
  <c r="J78" i="4" s="1"/>
  <c r="I78" i="4" a="1"/>
  <c r="I78" i="4" s="1"/>
  <c r="H78" i="4" a="1"/>
  <c r="H78" i="4" s="1"/>
  <c r="G78" i="4" a="1"/>
  <c r="G78" i="4" s="1"/>
  <c r="F78" i="4" a="1"/>
  <c r="F78" i="4" s="1"/>
  <c r="E78" i="4" a="1"/>
  <c r="E78" i="4" s="1"/>
  <c r="D78" i="4" a="1"/>
  <c r="D78" i="4" s="1"/>
  <c r="C78" i="4" a="1"/>
  <c r="C78" i="4" s="1"/>
  <c r="B78" i="4" a="1"/>
  <c r="B78" i="4" s="1"/>
  <c r="A78" i="4" a="1"/>
  <c r="A78" i="4" s="1"/>
  <c r="AF77" i="4" a="1"/>
  <c r="AF77" i="4" s="1"/>
  <c r="AE77" i="4" a="1"/>
  <c r="AE77" i="4" s="1"/>
  <c r="AD77" i="4" a="1"/>
  <c r="AD77" i="4" s="1"/>
  <c r="AC77" i="4" a="1"/>
  <c r="AC77" i="4" s="1"/>
  <c r="AB77" i="4" a="1"/>
  <c r="AB77" i="4" s="1"/>
  <c r="AA77" i="4" a="1"/>
  <c r="AA77" i="4" s="1"/>
  <c r="Z77" i="4" a="1"/>
  <c r="Z77" i="4" s="1"/>
  <c r="Y77" i="4" a="1"/>
  <c r="Y77" i="4" s="1"/>
  <c r="X77" i="4" a="1"/>
  <c r="X77" i="4" s="1"/>
  <c r="W77" i="4" a="1"/>
  <c r="W77" i="4" s="1"/>
  <c r="V77" i="4" a="1"/>
  <c r="V77" i="4" s="1"/>
  <c r="U77" i="4" a="1"/>
  <c r="U77" i="4" s="1"/>
  <c r="T77" i="4" a="1"/>
  <c r="T77" i="4" s="1"/>
  <c r="S77" i="4" a="1"/>
  <c r="S77" i="4" s="1"/>
  <c r="R77" i="4" a="1"/>
  <c r="R77" i="4" s="1"/>
  <c r="Q77" i="4" a="1"/>
  <c r="Q77" i="4" s="1"/>
  <c r="P77" i="4" a="1"/>
  <c r="P77" i="4" s="1"/>
  <c r="O77" i="4" a="1"/>
  <c r="O77" i="4" s="1"/>
  <c r="N77" i="4" a="1"/>
  <c r="N77" i="4" s="1"/>
  <c r="M77" i="4" a="1"/>
  <c r="M77" i="4" s="1"/>
  <c r="L77" i="4" a="1"/>
  <c r="L77" i="4" s="1"/>
  <c r="K77" i="4" a="1"/>
  <c r="K77" i="4" s="1"/>
  <c r="J77" i="4" a="1"/>
  <c r="J77" i="4" s="1"/>
  <c r="I77" i="4" a="1"/>
  <c r="I77" i="4" s="1"/>
  <c r="H77" i="4" a="1"/>
  <c r="H77" i="4" s="1"/>
  <c r="G77" i="4" a="1"/>
  <c r="G77" i="4" s="1"/>
  <c r="F77" i="4" a="1"/>
  <c r="F77" i="4" s="1"/>
  <c r="E77" i="4" a="1"/>
  <c r="E77" i="4" s="1"/>
  <c r="D77" i="4" a="1"/>
  <c r="D77" i="4" s="1"/>
  <c r="C77" i="4" a="1"/>
  <c r="C77" i="4" s="1"/>
  <c r="B77" i="4" a="1"/>
  <c r="B77" i="4" s="1"/>
  <c r="A77" i="4" a="1"/>
  <c r="A77" i="4" s="1"/>
  <c r="AF76" i="4" a="1"/>
  <c r="AF76" i="4" s="1"/>
  <c r="AE76" i="4" a="1"/>
  <c r="AE76" i="4" s="1"/>
  <c r="AD76" i="4" a="1"/>
  <c r="AD76" i="4" s="1"/>
  <c r="AC76" i="4" a="1"/>
  <c r="AC76" i="4" s="1"/>
  <c r="AB76" i="4" a="1"/>
  <c r="AB76" i="4" s="1"/>
  <c r="AA76" i="4" a="1"/>
  <c r="AA76" i="4" s="1"/>
  <c r="Z76" i="4" a="1"/>
  <c r="Z76" i="4" s="1"/>
  <c r="Y76" i="4" a="1"/>
  <c r="Y76" i="4" s="1"/>
  <c r="X76" i="4" a="1"/>
  <c r="X76" i="4" s="1"/>
  <c r="W76" i="4" a="1"/>
  <c r="W76" i="4" s="1"/>
  <c r="V76" i="4" a="1"/>
  <c r="V76" i="4" s="1"/>
  <c r="U76" i="4" a="1"/>
  <c r="U76" i="4" s="1"/>
  <c r="T76" i="4" a="1"/>
  <c r="T76" i="4" s="1"/>
  <c r="S76" i="4" a="1"/>
  <c r="S76" i="4" s="1"/>
  <c r="R76" i="4" a="1"/>
  <c r="R76" i="4" s="1"/>
  <c r="Q76" i="4" a="1"/>
  <c r="Q76" i="4" s="1"/>
  <c r="P76" i="4" a="1"/>
  <c r="P76" i="4" s="1"/>
  <c r="O76" i="4" a="1"/>
  <c r="O76" i="4" s="1"/>
  <c r="N76" i="4" a="1"/>
  <c r="N76" i="4" s="1"/>
  <c r="M76" i="4" a="1"/>
  <c r="M76" i="4" s="1"/>
  <c r="L76" i="4" a="1"/>
  <c r="L76" i="4" s="1"/>
  <c r="K76" i="4" a="1"/>
  <c r="K76" i="4" s="1"/>
  <c r="J76" i="4" a="1"/>
  <c r="J76" i="4" s="1"/>
  <c r="I76" i="4" a="1"/>
  <c r="I76" i="4" s="1"/>
  <c r="H76" i="4" a="1"/>
  <c r="H76" i="4" s="1"/>
  <c r="G76" i="4" a="1"/>
  <c r="G76" i="4" s="1"/>
  <c r="F76" i="4" a="1"/>
  <c r="F76" i="4" s="1"/>
  <c r="E76" i="4" a="1"/>
  <c r="E76" i="4" s="1"/>
  <c r="D76" i="4" a="1"/>
  <c r="D76" i="4" s="1"/>
  <c r="C76" i="4" a="1"/>
  <c r="C76" i="4" s="1"/>
  <c r="B76" i="4" a="1"/>
  <c r="B76" i="4" s="1"/>
  <c r="A76" i="4" a="1"/>
  <c r="A76" i="4" s="1"/>
  <c r="AF75" i="4" a="1"/>
  <c r="AF75" i="4" s="1"/>
  <c r="AE75" i="4" a="1"/>
  <c r="AE75" i="4" s="1"/>
  <c r="AD75" i="4" a="1"/>
  <c r="AD75" i="4" s="1"/>
  <c r="AC75" i="4" a="1"/>
  <c r="AC75" i="4" s="1"/>
  <c r="AB75" i="4" a="1"/>
  <c r="AB75" i="4" s="1"/>
  <c r="AA75" i="4" a="1"/>
  <c r="AA75" i="4" s="1"/>
  <c r="Z75" i="4" a="1"/>
  <c r="Z75" i="4" s="1"/>
  <c r="Y75" i="4" a="1"/>
  <c r="Y75" i="4" s="1"/>
  <c r="X75" i="4" a="1"/>
  <c r="X75" i="4" s="1"/>
  <c r="W75" i="4" a="1"/>
  <c r="W75" i="4" s="1"/>
  <c r="V75" i="4" a="1"/>
  <c r="V75" i="4" s="1"/>
  <c r="U75" i="4" a="1"/>
  <c r="U75" i="4" s="1"/>
  <c r="T75" i="4" a="1"/>
  <c r="T75" i="4" s="1"/>
  <c r="S75" i="4" a="1"/>
  <c r="S75" i="4" s="1"/>
  <c r="R75" i="4" a="1"/>
  <c r="R75" i="4" s="1"/>
  <c r="Q75" i="4" a="1"/>
  <c r="Q75" i="4" s="1"/>
  <c r="P75" i="4" a="1"/>
  <c r="P75" i="4" s="1"/>
  <c r="O75" i="4" a="1"/>
  <c r="O75" i="4" s="1"/>
  <c r="N75" i="4" a="1"/>
  <c r="N75" i="4" s="1"/>
  <c r="M75" i="4" a="1"/>
  <c r="M75" i="4" s="1"/>
  <c r="L75" i="4" a="1"/>
  <c r="L75" i="4" s="1"/>
  <c r="K75" i="4" a="1"/>
  <c r="K75" i="4" s="1"/>
  <c r="J75" i="4" a="1"/>
  <c r="J75" i="4" s="1"/>
  <c r="I75" i="4" a="1"/>
  <c r="I75" i="4" s="1"/>
  <c r="H75" i="4" a="1"/>
  <c r="H75" i="4" s="1"/>
  <c r="G75" i="4" a="1"/>
  <c r="G75" i="4" s="1"/>
  <c r="F75" i="4" a="1"/>
  <c r="F75" i="4" s="1"/>
  <c r="E75" i="4" a="1"/>
  <c r="E75" i="4" s="1"/>
  <c r="D75" i="4" a="1"/>
  <c r="D75" i="4" s="1"/>
  <c r="C75" i="4" a="1"/>
  <c r="C75" i="4" s="1"/>
  <c r="B75" i="4" a="1"/>
  <c r="B75" i="4" s="1"/>
  <c r="A75" i="4" a="1"/>
  <c r="A75" i="4" s="1"/>
  <c r="AF74" i="4" a="1"/>
  <c r="AF74" i="4" s="1"/>
  <c r="AE74" i="4" a="1"/>
  <c r="AE74" i="4" s="1"/>
  <c r="AD74" i="4" a="1"/>
  <c r="AD74" i="4" s="1"/>
  <c r="AC74" i="4" a="1"/>
  <c r="AC74" i="4" s="1"/>
  <c r="AB74" i="4" a="1"/>
  <c r="AB74" i="4" s="1"/>
  <c r="AA74" i="4" a="1"/>
  <c r="AA74" i="4" s="1"/>
  <c r="Z74" i="4" a="1"/>
  <c r="Z74" i="4" s="1"/>
  <c r="Y74" i="4" a="1"/>
  <c r="Y74" i="4" s="1"/>
  <c r="X74" i="4" a="1"/>
  <c r="X74" i="4" s="1"/>
  <c r="W74" i="4" a="1"/>
  <c r="W74" i="4" s="1"/>
  <c r="V74" i="4" a="1"/>
  <c r="V74" i="4" s="1"/>
  <c r="U74" i="4" a="1"/>
  <c r="U74" i="4" s="1"/>
  <c r="T74" i="4" a="1"/>
  <c r="T74" i="4" s="1"/>
  <c r="S74" i="4" a="1"/>
  <c r="S74" i="4" s="1"/>
  <c r="R74" i="4" a="1"/>
  <c r="R74" i="4" s="1"/>
  <c r="Q74" i="4" a="1"/>
  <c r="Q74" i="4" s="1"/>
  <c r="P74" i="4" a="1"/>
  <c r="P74" i="4" s="1"/>
  <c r="O74" i="4" a="1"/>
  <c r="O74" i="4" s="1"/>
  <c r="N74" i="4" a="1"/>
  <c r="N74" i="4" s="1"/>
  <c r="M74" i="4" a="1"/>
  <c r="M74" i="4" s="1"/>
  <c r="L74" i="4" a="1"/>
  <c r="L74" i="4" s="1"/>
  <c r="K74" i="4" a="1"/>
  <c r="K74" i="4" s="1"/>
  <c r="J74" i="4" a="1"/>
  <c r="J74" i="4" s="1"/>
  <c r="I74" i="4" a="1"/>
  <c r="I74" i="4" s="1"/>
  <c r="H74" i="4" a="1"/>
  <c r="H74" i="4" s="1"/>
  <c r="G74" i="4" a="1"/>
  <c r="G74" i="4" s="1"/>
  <c r="F74" i="4" a="1"/>
  <c r="F74" i="4" s="1"/>
  <c r="E74" i="4" a="1"/>
  <c r="E74" i="4" s="1"/>
  <c r="D74" i="4" a="1"/>
  <c r="D74" i="4" s="1"/>
  <c r="C74" i="4" a="1"/>
  <c r="C74" i="4" s="1"/>
  <c r="B74" i="4" a="1"/>
  <c r="B74" i="4" s="1"/>
  <c r="A74" i="4" a="1"/>
  <c r="A74" i="4" s="1"/>
  <c r="AF73" i="4" a="1"/>
  <c r="AF73" i="4" s="1"/>
  <c r="AE73" i="4" a="1"/>
  <c r="AE73" i="4" s="1"/>
  <c r="AD73" i="4" a="1"/>
  <c r="AD73" i="4" s="1"/>
  <c r="AC73" i="4" a="1"/>
  <c r="AC73" i="4" s="1"/>
  <c r="AB73" i="4" a="1"/>
  <c r="AB73" i="4" s="1"/>
  <c r="AA73" i="4" a="1"/>
  <c r="AA73" i="4" s="1"/>
  <c r="Z73" i="4" a="1"/>
  <c r="Z73" i="4" s="1"/>
  <c r="Y73" i="4" a="1"/>
  <c r="Y73" i="4" s="1"/>
  <c r="X73" i="4" a="1"/>
  <c r="X73" i="4" s="1"/>
  <c r="W73" i="4" a="1"/>
  <c r="W73" i="4" s="1"/>
  <c r="V73" i="4" a="1"/>
  <c r="V73" i="4" s="1"/>
  <c r="U73" i="4" a="1"/>
  <c r="U73" i="4" s="1"/>
  <c r="T73" i="4" a="1"/>
  <c r="T73" i="4" s="1"/>
  <c r="S73" i="4" a="1"/>
  <c r="S73" i="4" s="1"/>
  <c r="R73" i="4" a="1"/>
  <c r="R73" i="4" s="1"/>
  <c r="Q73" i="4" a="1"/>
  <c r="Q73" i="4" s="1"/>
  <c r="P73" i="4" a="1"/>
  <c r="P73" i="4" s="1"/>
  <c r="O73" i="4" a="1"/>
  <c r="O73" i="4" s="1"/>
  <c r="N73" i="4" a="1"/>
  <c r="N73" i="4" s="1"/>
  <c r="M73" i="4" a="1"/>
  <c r="M73" i="4" s="1"/>
  <c r="L73" i="4" a="1"/>
  <c r="L73" i="4" s="1"/>
  <c r="K73" i="4" a="1"/>
  <c r="K73" i="4" s="1"/>
  <c r="J73" i="4" a="1"/>
  <c r="J73" i="4" s="1"/>
  <c r="I73" i="4" a="1"/>
  <c r="I73" i="4" s="1"/>
  <c r="H73" i="4" a="1"/>
  <c r="H73" i="4" s="1"/>
  <c r="G73" i="4" a="1"/>
  <c r="G73" i="4" s="1"/>
  <c r="F73" i="4" a="1"/>
  <c r="F73" i="4" s="1"/>
  <c r="E73" i="4" a="1"/>
  <c r="E73" i="4" s="1"/>
  <c r="D73" i="4" a="1"/>
  <c r="D73" i="4" s="1"/>
  <c r="C73" i="4" a="1"/>
  <c r="C73" i="4" s="1"/>
  <c r="B73" i="4" a="1"/>
  <c r="B73" i="4" s="1"/>
  <c r="A73" i="4" a="1"/>
  <c r="A73" i="4" s="1"/>
  <c r="AF72" i="4" a="1"/>
  <c r="AF72" i="4" s="1"/>
  <c r="AE72" i="4" a="1"/>
  <c r="AE72" i="4" s="1"/>
  <c r="AD72" i="4" a="1"/>
  <c r="AD72" i="4" s="1"/>
  <c r="AC72" i="4" a="1"/>
  <c r="AC72" i="4" s="1"/>
  <c r="AB72" i="4" a="1"/>
  <c r="AB72" i="4" s="1"/>
  <c r="AA72" i="4" a="1"/>
  <c r="AA72" i="4" s="1"/>
  <c r="Z72" i="4" a="1"/>
  <c r="Z72" i="4" s="1"/>
  <c r="Y72" i="4" a="1"/>
  <c r="Y72" i="4" s="1"/>
  <c r="X72" i="4" a="1"/>
  <c r="X72" i="4" s="1"/>
  <c r="W72" i="4" a="1"/>
  <c r="W72" i="4" s="1"/>
  <c r="V72" i="4" a="1"/>
  <c r="V72" i="4" s="1"/>
  <c r="U72" i="4" a="1"/>
  <c r="U72" i="4" s="1"/>
  <c r="T72" i="4" a="1"/>
  <c r="T72" i="4" s="1"/>
  <c r="S72" i="4" a="1"/>
  <c r="S72" i="4" s="1"/>
  <c r="R72" i="4" a="1"/>
  <c r="R72" i="4" s="1"/>
  <c r="Q72" i="4" a="1"/>
  <c r="Q72" i="4" s="1"/>
  <c r="P72" i="4" a="1"/>
  <c r="P72" i="4" s="1"/>
  <c r="O72" i="4" a="1"/>
  <c r="O72" i="4" s="1"/>
  <c r="N72" i="4" a="1"/>
  <c r="N72" i="4" s="1"/>
  <c r="M72" i="4" a="1"/>
  <c r="M72" i="4" s="1"/>
  <c r="L72" i="4" a="1"/>
  <c r="L72" i="4" s="1"/>
  <c r="K72" i="4" a="1"/>
  <c r="K72" i="4" s="1"/>
  <c r="J72" i="4" a="1"/>
  <c r="J72" i="4" s="1"/>
  <c r="I72" i="4" a="1"/>
  <c r="I72" i="4" s="1"/>
  <c r="H72" i="4" a="1"/>
  <c r="H72" i="4" s="1"/>
  <c r="G72" i="4" a="1"/>
  <c r="G72" i="4" s="1"/>
  <c r="F72" i="4" a="1"/>
  <c r="F72" i="4" s="1"/>
  <c r="E72" i="4" a="1"/>
  <c r="E72" i="4" s="1"/>
  <c r="D72" i="4" a="1"/>
  <c r="D72" i="4" s="1"/>
  <c r="C72" i="4" a="1"/>
  <c r="C72" i="4" s="1"/>
  <c r="B72" i="4" a="1"/>
  <c r="B72" i="4" s="1"/>
  <c r="A72" i="4" a="1"/>
  <c r="A72" i="4" s="1"/>
  <c r="AF71" i="4" a="1"/>
  <c r="AF71" i="4" s="1"/>
  <c r="AE71" i="4" a="1"/>
  <c r="AE71" i="4" s="1"/>
  <c r="AD71" i="4" a="1"/>
  <c r="AD71" i="4" s="1"/>
  <c r="AC71" i="4" a="1"/>
  <c r="AC71" i="4" s="1"/>
  <c r="AB71" i="4" a="1"/>
  <c r="AB71" i="4" s="1"/>
  <c r="AA71" i="4" a="1"/>
  <c r="AA71" i="4" s="1"/>
  <c r="Z71" i="4" a="1"/>
  <c r="Z71" i="4" s="1"/>
  <c r="Y71" i="4" a="1"/>
  <c r="Y71" i="4" s="1"/>
  <c r="X71" i="4" a="1"/>
  <c r="X71" i="4" s="1"/>
  <c r="W71" i="4" a="1"/>
  <c r="W71" i="4" s="1"/>
  <c r="V71" i="4" a="1"/>
  <c r="V71" i="4" s="1"/>
  <c r="U71" i="4" a="1"/>
  <c r="U71" i="4" s="1"/>
  <c r="T71" i="4" a="1"/>
  <c r="T71" i="4" s="1"/>
  <c r="S71" i="4" a="1"/>
  <c r="S71" i="4" s="1"/>
  <c r="R71" i="4" a="1"/>
  <c r="R71" i="4" s="1"/>
  <c r="Q71" i="4" a="1"/>
  <c r="Q71" i="4" s="1"/>
  <c r="P71" i="4" a="1"/>
  <c r="P71" i="4" s="1"/>
  <c r="O71" i="4" a="1"/>
  <c r="O71" i="4" s="1"/>
  <c r="N71" i="4" a="1"/>
  <c r="N71" i="4" s="1"/>
  <c r="M71" i="4" a="1"/>
  <c r="M71" i="4" s="1"/>
  <c r="L71" i="4" a="1"/>
  <c r="L71" i="4" s="1"/>
  <c r="K71" i="4" a="1"/>
  <c r="K71" i="4" s="1"/>
  <c r="J71" i="4" a="1"/>
  <c r="J71" i="4" s="1"/>
  <c r="I71" i="4" a="1"/>
  <c r="I71" i="4" s="1"/>
  <c r="H71" i="4" a="1"/>
  <c r="H71" i="4" s="1"/>
  <c r="G71" i="4" a="1"/>
  <c r="G71" i="4" s="1"/>
  <c r="F71" i="4" a="1"/>
  <c r="F71" i="4" s="1"/>
  <c r="E71" i="4" a="1"/>
  <c r="E71" i="4" s="1"/>
  <c r="D71" i="4" a="1"/>
  <c r="D71" i="4" s="1"/>
  <c r="C71" i="4" a="1"/>
  <c r="C71" i="4" s="1"/>
  <c r="B71" i="4" a="1"/>
  <c r="B71" i="4" s="1"/>
  <c r="A71" i="4" a="1"/>
  <c r="A71" i="4" s="1"/>
  <c r="AF70" i="4" a="1"/>
  <c r="AF70" i="4" s="1"/>
  <c r="AE70" i="4" a="1"/>
  <c r="AE70" i="4" s="1"/>
  <c r="AD70" i="4" a="1"/>
  <c r="AD70" i="4" s="1"/>
  <c r="AC70" i="4" a="1"/>
  <c r="AC70" i="4" s="1"/>
  <c r="AB70" i="4" a="1"/>
  <c r="AB70" i="4" s="1"/>
  <c r="AA70" i="4" a="1"/>
  <c r="AA70" i="4" s="1"/>
  <c r="Z70" i="4" a="1"/>
  <c r="Z70" i="4" s="1"/>
  <c r="Y70" i="4" a="1"/>
  <c r="Y70" i="4" s="1"/>
  <c r="X70" i="4" a="1"/>
  <c r="X70" i="4" s="1"/>
  <c r="W70" i="4" a="1"/>
  <c r="W70" i="4" s="1"/>
  <c r="V70" i="4" a="1"/>
  <c r="V70" i="4" s="1"/>
  <c r="U70" i="4" a="1"/>
  <c r="U70" i="4" s="1"/>
  <c r="T70" i="4" a="1"/>
  <c r="T70" i="4" s="1"/>
  <c r="S70" i="4" a="1"/>
  <c r="S70" i="4" s="1"/>
  <c r="R70" i="4" a="1"/>
  <c r="R70" i="4" s="1"/>
  <c r="Q70" i="4" a="1"/>
  <c r="Q70" i="4" s="1"/>
  <c r="P70" i="4" a="1"/>
  <c r="P70" i="4" s="1"/>
  <c r="O70" i="4" a="1"/>
  <c r="O70" i="4" s="1"/>
  <c r="N70" i="4" a="1"/>
  <c r="N70" i="4" s="1"/>
  <c r="M70" i="4" a="1"/>
  <c r="M70" i="4" s="1"/>
  <c r="L70" i="4" a="1"/>
  <c r="L70" i="4" s="1"/>
  <c r="K70" i="4" a="1"/>
  <c r="K70" i="4" s="1"/>
  <c r="J70" i="4" a="1"/>
  <c r="J70" i="4" s="1"/>
  <c r="I70" i="4" a="1"/>
  <c r="I70" i="4" s="1"/>
  <c r="H70" i="4" a="1"/>
  <c r="H70" i="4" s="1"/>
  <c r="G70" i="4" a="1"/>
  <c r="G70" i="4" s="1"/>
  <c r="F70" i="4" a="1"/>
  <c r="F70" i="4" s="1"/>
  <c r="E70" i="4" a="1"/>
  <c r="E70" i="4" s="1"/>
  <c r="D70" i="4" a="1"/>
  <c r="D70" i="4" s="1"/>
  <c r="C70" i="4" a="1"/>
  <c r="C70" i="4" s="1"/>
  <c r="B70" i="4" a="1"/>
  <c r="B70" i="4" s="1"/>
  <c r="A70" i="4" a="1"/>
  <c r="A70" i="4" s="1"/>
  <c r="AF69" i="4" a="1"/>
  <c r="AF69" i="4" s="1"/>
  <c r="AE69" i="4" a="1"/>
  <c r="AE69" i="4" s="1"/>
  <c r="AD69" i="4" a="1"/>
  <c r="AD69" i="4" s="1"/>
  <c r="AC69" i="4" a="1"/>
  <c r="AC69" i="4" s="1"/>
  <c r="AB69" i="4" a="1"/>
  <c r="AB69" i="4" s="1"/>
  <c r="AA69" i="4" a="1"/>
  <c r="AA69" i="4" s="1"/>
  <c r="Z69" i="4" a="1"/>
  <c r="Z69" i="4" s="1"/>
  <c r="Y69" i="4" a="1"/>
  <c r="Y69" i="4" s="1"/>
  <c r="X69" i="4" a="1"/>
  <c r="X69" i="4" s="1"/>
  <c r="W69" i="4" a="1"/>
  <c r="W69" i="4" s="1"/>
  <c r="V69" i="4" a="1"/>
  <c r="V69" i="4" s="1"/>
  <c r="U69" i="4" a="1"/>
  <c r="U69" i="4" s="1"/>
  <c r="T69" i="4" a="1"/>
  <c r="T69" i="4" s="1"/>
  <c r="S69" i="4" a="1"/>
  <c r="S69" i="4" s="1"/>
  <c r="R69" i="4" a="1"/>
  <c r="R69" i="4" s="1"/>
  <c r="Q69" i="4" a="1"/>
  <c r="Q69" i="4" s="1"/>
  <c r="P69" i="4" a="1"/>
  <c r="P69" i="4" s="1"/>
  <c r="O69" i="4" a="1"/>
  <c r="O69" i="4" s="1"/>
  <c r="N69" i="4" a="1"/>
  <c r="N69" i="4" s="1"/>
  <c r="M69" i="4" a="1"/>
  <c r="M69" i="4" s="1"/>
  <c r="L69" i="4" a="1"/>
  <c r="L69" i="4" s="1"/>
  <c r="K69" i="4" a="1"/>
  <c r="K69" i="4" s="1"/>
  <c r="J69" i="4" a="1"/>
  <c r="J69" i="4" s="1"/>
  <c r="I69" i="4" a="1"/>
  <c r="I69" i="4" s="1"/>
  <c r="H69" i="4" a="1"/>
  <c r="H69" i="4" s="1"/>
  <c r="G69" i="4" a="1"/>
  <c r="G69" i="4" s="1"/>
  <c r="F69" i="4" a="1"/>
  <c r="F69" i="4" s="1"/>
  <c r="E69" i="4" a="1"/>
  <c r="E69" i="4" s="1"/>
  <c r="D69" i="4" a="1"/>
  <c r="D69" i="4" s="1"/>
  <c r="C69" i="4" a="1"/>
  <c r="C69" i="4" s="1"/>
  <c r="B69" i="4" a="1"/>
  <c r="B69" i="4" s="1"/>
  <c r="A69" i="4" a="1"/>
  <c r="A69" i="4" s="1"/>
  <c r="AF68" i="4" a="1"/>
  <c r="AF68" i="4" s="1"/>
  <c r="AE68" i="4" a="1"/>
  <c r="AE68" i="4" s="1"/>
  <c r="AD68" i="4" a="1"/>
  <c r="AD68" i="4" s="1"/>
  <c r="AC68" i="4" a="1"/>
  <c r="AC68" i="4" s="1"/>
  <c r="AB68" i="4" a="1"/>
  <c r="AB68" i="4" s="1"/>
  <c r="AA68" i="4" a="1"/>
  <c r="AA68" i="4" s="1"/>
  <c r="Z68" i="4" a="1"/>
  <c r="Z68" i="4" s="1"/>
  <c r="Y68" i="4" a="1"/>
  <c r="Y68" i="4" s="1"/>
  <c r="X68" i="4" a="1"/>
  <c r="X68" i="4" s="1"/>
  <c r="W68" i="4" a="1"/>
  <c r="W68" i="4" s="1"/>
  <c r="V68" i="4" a="1"/>
  <c r="V68" i="4" s="1"/>
  <c r="U68" i="4" a="1"/>
  <c r="U68" i="4" s="1"/>
  <c r="T68" i="4" a="1"/>
  <c r="T68" i="4" s="1"/>
  <c r="S68" i="4" a="1"/>
  <c r="S68" i="4" s="1"/>
  <c r="R68" i="4" a="1"/>
  <c r="R68" i="4" s="1"/>
  <c r="Q68" i="4" a="1"/>
  <c r="Q68" i="4" s="1"/>
  <c r="P68" i="4" a="1"/>
  <c r="P68" i="4" s="1"/>
  <c r="O68" i="4" a="1"/>
  <c r="O68" i="4" s="1"/>
  <c r="N68" i="4" a="1"/>
  <c r="N68" i="4" s="1"/>
  <c r="M68" i="4" a="1"/>
  <c r="M68" i="4" s="1"/>
  <c r="L68" i="4" a="1"/>
  <c r="L68" i="4" s="1"/>
  <c r="K68" i="4" a="1"/>
  <c r="K68" i="4" s="1"/>
  <c r="J68" i="4" a="1"/>
  <c r="J68" i="4" s="1"/>
  <c r="I68" i="4" a="1"/>
  <c r="I68" i="4" s="1"/>
  <c r="H68" i="4" a="1"/>
  <c r="H68" i="4" s="1"/>
  <c r="G68" i="4" a="1"/>
  <c r="G68" i="4" s="1"/>
  <c r="F68" i="4" a="1"/>
  <c r="F68" i="4" s="1"/>
  <c r="E68" i="4" a="1"/>
  <c r="E68" i="4" s="1"/>
  <c r="D68" i="4" a="1"/>
  <c r="D68" i="4" s="1"/>
  <c r="C68" i="4" a="1"/>
  <c r="C68" i="4" s="1"/>
  <c r="B68" i="4" a="1"/>
  <c r="B68" i="4" s="1"/>
  <c r="A68" i="4" a="1"/>
  <c r="A68" i="4" s="1"/>
  <c r="AF67" i="4" a="1"/>
  <c r="AF67" i="4" s="1"/>
  <c r="AE67" i="4" a="1"/>
  <c r="AE67" i="4" s="1"/>
  <c r="AD67" i="4" a="1"/>
  <c r="AD67" i="4" s="1"/>
  <c r="AC67" i="4" a="1"/>
  <c r="AC67" i="4" s="1"/>
  <c r="AB67" i="4" a="1"/>
  <c r="AB67" i="4" s="1"/>
  <c r="AA67" i="4" a="1"/>
  <c r="AA67" i="4" s="1"/>
  <c r="Z67" i="4" a="1"/>
  <c r="Z67" i="4" s="1"/>
  <c r="Y67" i="4" a="1"/>
  <c r="Y67" i="4" s="1"/>
  <c r="X67" i="4" a="1"/>
  <c r="X67" i="4" s="1"/>
  <c r="W67" i="4" a="1"/>
  <c r="W67" i="4" s="1"/>
  <c r="V67" i="4" a="1"/>
  <c r="V67" i="4" s="1"/>
  <c r="U67" i="4" a="1"/>
  <c r="U67" i="4" s="1"/>
  <c r="T67" i="4" a="1"/>
  <c r="T67" i="4" s="1"/>
  <c r="S67" i="4" a="1"/>
  <c r="S67" i="4" s="1"/>
  <c r="R67" i="4" a="1"/>
  <c r="R67" i="4" s="1"/>
  <c r="Q67" i="4" a="1"/>
  <c r="Q67" i="4" s="1"/>
  <c r="P67" i="4" a="1"/>
  <c r="P67" i="4" s="1"/>
  <c r="O67" i="4" a="1"/>
  <c r="O67" i="4" s="1"/>
  <c r="N67" i="4" a="1"/>
  <c r="N67" i="4" s="1"/>
  <c r="M67" i="4" a="1"/>
  <c r="M67" i="4" s="1"/>
  <c r="L67" i="4" a="1"/>
  <c r="L67" i="4" s="1"/>
  <c r="K67" i="4" a="1"/>
  <c r="K67" i="4" s="1"/>
  <c r="J67" i="4" a="1"/>
  <c r="J67" i="4" s="1"/>
  <c r="I67" i="4" a="1"/>
  <c r="I67" i="4" s="1"/>
  <c r="H67" i="4" a="1"/>
  <c r="H67" i="4" s="1"/>
  <c r="G67" i="4" a="1"/>
  <c r="G67" i="4" s="1"/>
  <c r="F67" i="4" a="1"/>
  <c r="F67" i="4" s="1"/>
  <c r="E67" i="4" a="1"/>
  <c r="E67" i="4" s="1"/>
  <c r="D67" i="4" a="1"/>
  <c r="D67" i="4" s="1"/>
  <c r="C67" i="4" a="1"/>
  <c r="C67" i="4" s="1"/>
  <c r="B67" i="4" a="1"/>
  <c r="B67" i="4" s="1"/>
  <c r="A67" i="4" a="1"/>
  <c r="A67" i="4" s="1"/>
  <c r="AF66" i="4" a="1"/>
  <c r="AF66" i="4" s="1"/>
  <c r="AE66" i="4" a="1"/>
  <c r="AE66" i="4" s="1"/>
  <c r="AD66" i="4" a="1"/>
  <c r="AD66" i="4" s="1"/>
  <c r="AC66" i="4" a="1"/>
  <c r="AC66" i="4" s="1"/>
  <c r="AB66" i="4" a="1"/>
  <c r="AB66" i="4" s="1"/>
  <c r="AA66" i="4" a="1"/>
  <c r="AA66" i="4" s="1"/>
  <c r="Z66" i="4" a="1"/>
  <c r="Z66" i="4" s="1"/>
  <c r="Y66" i="4" a="1"/>
  <c r="Y66" i="4" s="1"/>
  <c r="X66" i="4" a="1"/>
  <c r="X66" i="4" s="1"/>
  <c r="W66" i="4" a="1"/>
  <c r="W66" i="4" s="1"/>
  <c r="V66" i="4" a="1"/>
  <c r="V66" i="4" s="1"/>
  <c r="U66" i="4" a="1"/>
  <c r="U66" i="4" s="1"/>
  <c r="T66" i="4" a="1"/>
  <c r="T66" i="4" s="1"/>
  <c r="S66" i="4" a="1"/>
  <c r="S66" i="4" s="1"/>
  <c r="R66" i="4" a="1"/>
  <c r="R66" i="4" s="1"/>
  <c r="Q66" i="4" a="1"/>
  <c r="Q66" i="4" s="1"/>
  <c r="P66" i="4" a="1"/>
  <c r="P66" i="4" s="1"/>
  <c r="O66" i="4" a="1"/>
  <c r="O66" i="4" s="1"/>
  <c r="N66" i="4" a="1"/>
  <c r="N66" i="4" s="1"/>
  <c r="M66" i="4" a="1"/>
  <c r="M66" i="4" s="1"/>
  <c r="L66" i="4" a="1"/>
  <c r="L66" i="4" s="1"/>
  <c r="K66" i="4" a="1"/>
  <c r="K66" i="4" s="1"/>
  <c r="J66" i="4" a="1"/>
  <c r="J66" i="4" s="1"/>
  <c r="I66" i="4" a="1"/>
  <c r="I66" i="4" s="1"/>
  <c r="H66" i="4" a="1"/>
  <c r="H66" i="4" s="1"/>
  <c r="G66" i="4" a="1"/>
  <c r="G66" i="4" s="1"/>
  <c r="F66" i="4" a="1"/>
  <c r="F66" i="4" s="1"/>
  <c r="E66" i="4" a="1"/>
  <c r="E66" i="4" s="1"/>
  <c r="D66" i="4" a="1"/>
  <c r="D66" i="4" s="1"/>
  <c r="C66" i="4" a="1"/>
  <c r="C66" i="4" s="1"/>
  <c r="B66" i="4" a="1"/>
  <c r="B66" i="4" s="1"/>
  <c r="A66" i="4" a="1"/>
  <c r="A66" i="4" s="1"/>
  <c r="AF65" i="4" a="1"/>
  <c r="AF65" i="4" s="1"/>
  <c r="AE65" i="4" a="1"/>
  <c r="AE65" i="4" s="1"/>
  <c r="AD65" i="4" a="1"/>
  <c r="AD65" i="4" s="1"/>
  <c r="AC65" i="4" a="1"/>
  <c r="AC65" i="4" s="1"/>
  <c r="AB65" i="4" a="1"/>
  <c r="AB65" i="4" s="1"/>
  <c r="AA65" i="4" a="1"/>
  <c r="AA65" i="4" s="1"/>
  <c r="Z65" i="4" a="1"/>
  <c r="Z65" i="4" s="1"/>
  <c r="Y65" i="4" a="1"/>
  <c r="Y65" i="4" s="1"/>
  <c r="X65" i="4" a="1"/>
  <c r="X65" i="4" s="1"/>
  <c r="W65" i="4" a="1"/>
  <c r="W65" i="4" s="1"/>
  <c r="V65" i="4" a="1"/>
  <c r="V65" i="4" s="1"/>
  <c r="U65" i="4" a="1"/>
  <c r="U65" i="4" s="1"/>
  <c r="T65" i="4" a="1"/>
  <c r="T65" i="4" s="1"/>
  <c r="S65" i="4" a="1"/>
  <c r="S65" i="4" s="1"/>
  <c r="R65" i="4" a="1"/>
  <c r="R65" i="4" s="1"/>
  <c r="Q65" i="4" a="1"/>
  <c r="Q65" i="4" s="1"/>
  <c r="P65" i="4" a="1"/>
  <c r="P65" i="4" s="1"/>
  <c r="O65" i="4" a="1"/>
  <c r="O65" i="4" s="1"/>
  <c r="N65" i="4" a="1"/>
  <c r="N65" i="4" s="1"/>
  <c r="M65" i="4" a="1"/>
  <c r="M65" i="4" s="1"/>
  <c r="L65" i="4" a="1"/>
  <c r="L65" i="4" s="1"/>
  <c r="K65" i="4" a="1"/>
  <c r="K65" i="4" s="1"/>
  <c r="J65" i="4" a="1"/>
  <c r="J65" i="4" s="1"/>
  <c r="I65" i="4" a="1"/>
  <c r="I65" i="4" s="1"/>
  <c r="H65" i="4" a="1"/>
  <c r="H65" i="4" s="1"/>
  <c r="G65" i="4" a="1"/>
  <c r="G65" i="4" s="1"/>
  <c r="F65" i="4" a="1"/>
  <c r="F65" i="4" s="1"/>
  <c r="E65" i="4" a="1"/>
  <c r="E65" i="4" s="1"/>
  <c r="D65" i="4" a="1"/>
  <c r="D65" i="4" s="1"/>
  <c r="C65" i="4" a="1"/>
  <c r="C65" i="4" s="1"/>
  <c r="B65" i="4" a="1"/>
  <c r="B65" i="4" s="1"/>
  <c r="A65" i="4" a="1"/>
  <c r="A65" i="4" s="1"/>
  <c r="AF64" i="4" a="1"/>
  <c r="AF64" i="4" s="1"/>
  <c r="AE64" i="4" a="1"/>
  <c r="AE64" i="4" s="1"/>
  <c r="AD64" i="4" a="1"/>
  <c r="AD64" i="4" s="1"/>
  <c r="AC64" i="4" a="1"/>
  <c r="AC64" i="4" s="1"/>
  <c r="AB64" i="4" a="1"/>
  <c r="AB64" i="4" s="1"/>
  <c r="AA64" i="4" a="1"/>
  <c r="AA64" i="4" s="1"/>
  <c r="Z64" i="4" a="1"/>
  <c r="Z64" i="4" s="1"/>
  <c r="Y64" i="4" a="1"/>
  <c r="Y64" i="4" s="1"/>
  <c r="X64" i="4" a="1"/>
  <c r="X64" i="4" s="1"/>
  <c r="W64" i="4" a="1"/>
  <c r="W64" i="4" s="1"/>
  <c r="V64" i="4" a="1"/>
  <c r="V64" i="4" s="1"/>
  <c r="U64" i="4" a="1"/>
  <c r="U64" i="4" s="1"/>
  <c r="T64" i="4" a="1"/>
  <c r="T64" i="4" s="1"/>
  <c r="S64" i="4" a="1"/>
  <c r="S64" i="4" s="1"/>
  <c r="R64" i="4" a="1"/>
  <c r="R64" i="4" s="1"/>
  <c r="Q64" i="4" a="1"/>
  <c r="Q64" i="4" s="1"/>
  <c r="P64" i="4" a="1"/>
  <c r="P64" i="4" s="1"/>
  <c r="O64" i="4" a="1"/>
  <c r="O64" i="4" s="1"/>
  <c r="N64" i="4" a="1"/>
  <c r="N64" i="4" s="1"/>
  <c r="M64" i="4" a="1"/>
  <c r="M64" i="4" s="1"/>
  <c r="L64" i="4" a="1"/>
  <c r="L64" i="4" s="1"/>
  <c r="K64" i="4" a="1"/>
  <c r="K64" i="4" s="1"/>
  <c r="J64" i="4" a="1"/>
  <c r="J64" i="4" s="1"/>
  <c r="I64" i="4" a="1"/>
  <c r="I64" i="4" s="1"/>
  <c r="H64" i="4" a="1"/>
  <c r="H64" i="4" s="1"/>
  <c r="G64" i="4" a="1"/>
  <c r="G64" i="4" s="1"/>
  <c r="F64" i="4" a="1"/>
  <c r="F64" i="4" s="1"/>
  <c r="E64" i="4" a="1"/>
  <c r="E64" i="4" s="1"/>
  <c r="D64" i="4" a="1"/>
  <c r="D64" i="4" s="1"/>
  <c r="C64" i="4" a="1"/>
  <c r="C64" i="4" s="1"/>
  <c r="B64" i="4" a="1"/>
  <c r="B64" i="4" s="1"/>
  <c r="A64" i="4" a="1"/>
  <c r="A64" i="4" s="1"/>
  <c r="AF63" i="4" a="1"/>
  <c r="AF63" i="4" s="1"/>
  <c r="AE63" i="4" a="1"/>
  <c r="AE63" i="4" s="1"/>
  <c r="AD63" i="4" a="1"/>
  <c r="AD63" i="4" s="1"/>
  <c r="AC63" i="4" a="1"/>
  <c r="AC63" i="4" s="1"/>
  <c r="AB63" i="4" a="1"/>
  <c r="AB63" i="4" s="1"/>
  <c r="AA63" i="4" a="1"/>
  <c r="AA63" i="4" s="1"/>
  <c r="Z63" i="4" a="1"/>
  <c r="Z63" i="4" s="1"/>
  <c r="Y63" i="4" a="1"/>
  <c r="Y63" i="4" s="1"/>
  <c r="X63" i="4" a="1"/>
  <c r="X63" i="4" s="1"/>
  <c r="W63" i="4" a="1"/>
  <c r="W63" i="4" s="1"/>
  <c r="V63" i="4" a="1"/>
  <c r="V63" i="4" s="1"/>
  <c r="U63" i="4" a="1"/>
  <c r="U63" i="4" s="1"/>
  <c r="T63" i="4" a="1"/>
  <c r="T63" i="4" s="1"/>
  <c r="S63" i="4" a="1"/>
  <c r="S63" i="4" s="1"/>
  <c r="R63" i="4" a="1"/>
  <c r="R63" i="4" s="1"/>
  <c r="Q63" i="4" a="1"/>
  <c r="Q63" i="4" s="1"/>
  <c r="P63" i="4" a="1"/>
  <c r="P63" i="4" s="1"/>
  <c r="O63" i="4" a="1"/>
  <c r="O63" i="4" s="1"/>
  <c r="N63" i="4" a="1"/>
  <c r="N63" i="4" s="1"/>
  <c r="M63" i="4" a="1"/>
  <c r="M63" i="4" s="1"/>
  <c r="L63" i="4" a="1"/>
  <c r="L63" i="4" s="1"/>
  <c r="K63" i="4" a="1"/>
  <c r="K63" i="4" s="1"/>
  <c r="J63" i="4" a="1"/>
  <c r="J63" i="4" s="1"/>
  <c r="I63" i="4" a="1"/>
  <c r="I63" i="4" s="1"/>
  <c r="H63" i="4" a="1"/>
  <c r="H63" i="4" s="1"/>
  <c r="G63" i="4" a="1"/>
  <c r="G63" i="4" s="1"/>
  <c r="F63" i="4" a="1"/>
  <c r="F63" i="4" s="1"/>
  <c r="E63" i="4" a="1"/>
  <c r="E63" i="4" s="1"/>
  <c r="D63" i="4" a="1"/>
  <c r="D63" i="4" s="1"/>
  <c r="C63" i="4" a="1"/>
  <c r="C63" i="4" s="1"/>
  <c r="B63" i="4" a="1"/>
  <c r="B63" i="4" s="1"/>
  <c r="A63" i="4" a="1"/>
  <c r="A63" i="4" s="1"/>
  <c r="AF62" i="4" a="1"/>
  <c r="AF62" i="4" s="1"/>
  <c r="AE62" i="4" a="1"/>
  <c r="AE62" i="4" s="1"/>
  <c r="AD62" i="4" a="1"/>
  <c r="AD62" i="4" s="1"/>
  <c r="AC62" i="4" a="1"/>
  <c r="AC62" i="4" s="1"/>
  <c r="AB62" i="4" a="1"/>
  <c r="AB62" i="4" s="1"/>
  <c r="AA62" i="4" a="1"/>
  <c r="AA62" i="4" s="1"/>
  <c r="Z62" i="4" a="1"/>
  <c r="Z62" i="4" s="1"/>
  <c r="Y62" i="4" a="1"/>
  <c r="Y62" i="4" s="1"/>
  <c r="X62" i="4" a="1"/>
  <c r="X62" i="4" s="1"/>
  <c r="W62" i="4" a="1"/>
  <c r="W62" i="4" s="1"/>
  <c r="V62" i="4" a="1"/>
  <c r="V62" i="4" s="1"/>
  <c r="U62" i="4" a="1"/>
  <c r="U62" i="4" s="1"/>
  <c r="T62" i="4" a="1"/>
  <c r="T62" i="4" s="1"/>
  <c r="S62" i="4" a="1"/>
  <c r="S62" i="4" s="1"/>
  <c r="R62" i="4" a="1"/>
  <c r="R62" i="4" s="1"/>
  <c r="Q62" i="4" a="1"/>
  <c r="Q62" i="4" s="1"/>
  <c r="P62" i="4" a="1"/>
  <c r="P62" i="4" s="1"/>
  <c r="O62" i="4" a="1"/>
  <c r="O62" i="4" s="1"/>
  <c r="N62" i="4" a="1"/>
  <c r="N62" i="4" s="1"/>
  <c r="M62" i="4" a="1"/>
  <c r="M62" i="4" s="1"/>
  <c r="L62" i="4" a="1"/>
  <c r="L62" i="4" s="1"/>
  <c r="K62" i="4" a="1"/>
  <c r="K62" i="4" s="1"/>
  <c r="J62" i="4" a="1"/>
  <c r="J62" i="4" s="1"/>
  <c r="I62" i="4" a="1"/>
  <c r="I62" i="4" s="1"/>
  <c r="H62" i="4" a="1"/>
  <c r="H62" i="4" s="1"/>
  <c r="G62" i="4" a="1"/>
  <c r="G62" i="4" s="1"/>
  <c r="F62" i="4" a="1"/>
  <c r="F62" i="4" s="1"/>
  <c r="E62" i="4" a="1"/>
  <c r="E62" i="4" s="1"/>
  <c r="D62" i="4" a="1"/>
  <c r="D62" i="4" s="1"/>
  <c r="C62" i="4" a="1"/>
  <c r="C62" i="4" s="1"/>
  <c r="B62" i="4" a="1"/>
  <c r="B62" i="4" s="1"/>
  <c r="A62" i="4" a="1"/>
  <c r="A62" i="4" s="1"/>
  <c r="AF61" i="4" a="1"/>
  <c r="AF61" i="4" s="1"/>
  <c r="AE61" i="4" a="1"/>
  <c r="AE61" i="4" s="1"/>
  <c r="AD61" i="4" a="1"/>
  <c r="AD61" i="4" s="1"/>
  <c r="AC61" i="4" a="1"/>
  <c r="AC61" i="4" s="1"/>
  <c r="AB61" i="4" a="1"/>
  <c r="AB61" i="4" s="1"/>
  <c r="AA61" i="4" a="1"/>
  <c r="AA61" i="4" s="1"/>
  <c r="Z61" i="4" a="1"/>
  <c r="Z61" i="4" s="1"/>
  <c r="Y61" i="4" a="1"/>
  <c r="Y61" i="4" s="1"/>
  <c r="X61" i="4" a="1"/>
  <c r="X61" i="4" s="1"/>
  <c r="W61" i="4" a="1"/>
  <c r="W61" i="4" s="1"/>
  <c r="V61" i="4" a="1"/>
  <c r="V61" i="4" s="1"/>
  <c r="U61" i="4" a="1"/>
  <c r="U61" i="4" s="1"/>
  <c r="T61" i="4" a="1"/>
  <c r="T61" i="4" s="1"/>
  <c r="S61" i="4" a="1"/>
  <c r="S61" i="4" s="1"/>
  <c r="R61" i="4" a="1"/>
  <c r="R61" i="4" s="1"/>
  <c r="Q61" i="4" a="1"/>
  <c r="Q61" i="4" s="1"/>
  <c r="P61" i="4" a="1"/>
  <c r="P61" i="4" s="1"/>
  <c r="O61" i="4" a="1"/>
  <c r="O61" i="4" s="1"/>
  <c r="N61" i="4" a="1"/>
  <c r="N61" i="4" s="1"/>
  <c r="M61" i="4" a="1"/>
  <c r="M61" i="4" s="1"/>
  <c r="L61" i="4" a="1"/>
  <c r="L61" i="4" s="1"/>
  <c r="K61" i="4" a="1"/>
  <c r="K61" i="4" s="1"/>
  <c r="J61" i="4" a="1"/>
  <c r="J61" i="4" s="1"/>
  <c r="I61" i="4" a="1"/>
  <c r="I61" i="4" s="1"/>
  <c r="H61" i="4" a="1"/>
  <c r="H61" i="4" s="1"/>
  <c r="G61" i="4" a="1"/>
  <c r="G61" i="4" s="1"/>
  <c r="F61" i="4" a="1"/>
  <c r="F61" i="4" s="1"/>
  <c r="E61" i="4" a="1"/>
  <c r="E61" i="4" s="1"/>
  <c r="D61" i="4" a="1"/>
  <c r="D61" i="4" s="1"/>
  <c r="C61" i="4" a="1"/>
  <c r="C61" i="4" s="1"/>
  <c r="B61" i="4" a="1"/>
  <c r="B61" i="4" s="1"/>
  <c r="A61" i="4" a="1"/>
  <c r="A61" i="4" s="1"/>
  <c r="AF60" i="4" a="1"/>
  <c r="AF60" i="4" s="1"/>
  <c r="AE60" i="4" a="1"/>
  <c r="AE60" i="4" s="1"/>
  <c r="AD60" i="4" a="1"/>
  <c r="AD60" i="4" s="1"/>
  <c r="AC60" i="4" a="1"/>
  <c r="AC60" i="4" s="1"/>
  <c r="AB60" i="4" a="1"/>
  <c r="AB60" i="4" s="1"/>
  <c r="AA60" i="4" a="1"/>
  <c r="AA60" i="4" s="1"/>
  <c r="Z60" i="4" a="1"/>
  <c r="Z60" i="4" s="1"/>
  <c r="Y60" i="4" a="1"/>
  <c r="Y60" i="4" s="1"/>
  <c r="X60" i="4" a="1"/>
  <c r="X60" i="4" s="1"/>
  <c r="W60" i="4" a="1"/>
  <c r="W60" i="4" s="1"/>
  <c r="V60" i="4" a="1"/>
  <c r="V60" i="4" s="1"/>
  <c r="U60" i="4" a="1"/>
  <c r="U60" i="4" s="1"/>
  <c r="T60" i="4" a="1"/>
  <c r="T60" i="4" s="1"/>
  <c r="S60" i="4" a="1"/>
  <c r="S60" i="4" s="1"/>
  <c r="R60" i="4" a="1"/>
  <c r="R60" i="4" s="1"/>
  <c r="Q60" i="4" a="1"/>
  <c r="Q60" i="4" s="1"/>
  <c r="P60" i="4" a="1"/>
  <c r="P60" i="4" s="1"/>
  <c r="O60" i="4" a="1"/>
  <c r="O60" i="4" s="1"/>
  <c r="N60" i="4" a="1"/>
  <c r="N60" i="4" s="1"/>
  <c r="M60" i="4" a="1"/>
  <c r="M60" i="4" s="1"/>
  <c r="L60" i="4" a="1"/>
  <c r="L60" i="4" s="1"/>
  <c r="K60" i="4" a="1"/>
  <c r="K60" i="4" s="1"/>
  <c r="J60" i="4" a="1"/>
  <c r="J60" i="4" s="1"/>
  <c r="I60" i="4" a="1"/>
  <c r="I60" i="4" s="1"/>
  <c r="H60" i="4" a="1"/>
  <c r="H60" i="4" s="1"/>
  <c r="G60" i="4" a="1"/>
  <c r="G60" i="4" s="1"/>
  <c r="F60" i="4" a="1"/>
  <c r="F60" i="4" s="1"/>
  <c r="E60" i="4" a="1"/>
  <c r="E60" i="4" s="1"/>
  <c r="D60" i="4" a="1"/>
  <c r="D60" i="4" s="1"/>
  <c r="C60" i="4" a="1"/>
  <c r="C60" i="4" s="1"/>
  <c r="B60" i="4" a="1"/>
  <c r="B60" i="4" s="1"/>
  <c r="A60" i="4" a="1"/>
  <c r="A60" i="4" s="1"/>
  <c r="AF59" i="4" a="1"/>
  <c r="AF59" i="4" s="1"/>
  <c r="AE59" i="4" a="1"/>
  <c r="AE59" i="4" s="1"/>
  <c r="AD59" i="4" a="1"/>
  <c r="AD59" i="4" s="1"/>
  <c r="AC59" i="4" a="1"/>
  <c r="AC59" i="4" s="1"/>
  <c r="AB59" i="4" a="1"/>
  <c r="AB59" i="4" s="1"/>
  <c r="AA59" i="4" a="1"/>
  <c r="AA59" i="4" s="1"/>
  <c r="Z59" i="4" a="1"/>
  <c r="Z59" i="4" s="1"/>
  <c r="Y59" i="4" a="1"/>
  <c r="Y59" i="4" s="1"/>
  <c r="X59" i="4" a="1"/>
  <c r="X59" i="4" s="1"/>
  <c r="W59" i="4" a="1"/>
  <c r="W59" i="4" s="1"/>
  <c r="V59" i="4" a="1"/>
  <c r="V59" i="4" s="1"/>
  <c r="U59" i="4" a="1"/>
  <c r="U59" i="4" s="1"/>
  <c r="T59" i="4" a="1"/>
  <c r="T59" i="4" s="1"/>
  <c r="S59" i="4" a="1"/>
  <c r="S59" i="4" s="1"/>
  <c r="R59" i="4" a="1"/>
  <c r="R59" i="4" s="1"/>
  <c r="Q59" i="4" a="1"/>
  <c r="Q59" i="4" s="1"/>
  <c r="P59" i="4" a="1"/>
  <c r="P59" i="4" s="1"/>
  <c r="O59" i="4" a="1"/>
  <c r="O59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I59" i="4" a="1"/>
  <c r="I59" i="4" s="1"/>
  <c r="H59" i="4" a="1"/>
  <c r="H59" i="4" s="1"/>
  <c r="G59" i="4" a="1"/>
  <c r="G59" i="4" s="1"/>
  <c r="F59" i="4" a="1"/>
  <c r="F59" i="4" s="1"/>
  <c r="E59" i="4" a="1"/>
  <c r="E59" i="4" s="1"/>
  <c r="D59" i="4" a="1"/>
  <c r="D59" i="4" s="1"/>
  <c r="C59" i="4" a="1"/>
  <c r="C59" i="4" s="1"/>
  <c r="B59" i="4" a="1"/>
  <c r="B59" i="4" s="1"/>
  <c r="A59" i="4" a="1"/>
  <c r="A59" i="4" s="1"/>
  <c r="AF58" i="4" a="1"/>
  <c r="AF58" i="4" s="1"/>
  <c r="AE58" i="4" a="1"/>
  <c r="AE58" i="4" s="1"/>
  <c r="AD58" i="4" a="1"/>
  <c r="AD58" i="4" s="1"/>
  <c r="AC58" i="4" a="1"/>
  <c r="AC58" i="4" s="1"/>
  <c r="AB58" i="4" a="1"/>
  <c r="AB58" i="4" s="1"/>
  <c r="AA58" i="4" a="1"/>
  <c r="AA58" i="4" s="1"/>
  <c r="Z58" i="4" a="1"/>
  <c r="Z58" i="4" s="1"/>
  <c r="Y58" i="4" a="1"/>
  <c r="Y58" i="4" s="1"/>
  <c r="X58" i="4" a="1"/>
  <c r="X58" i="4" s="1"/>
  <c r="W58" i="4" a="1"/>
  <c r="W58" i="4" s="1"/>
  <c r="V58" i="4" a="1"/>
  <c r="V58" i="4" s="1"/>
  <c r="U58" i="4" a="1"/>
  <c r="U58" i="4" s="1"/>
  <c r="T58" i="4" a="1"/>
  <c r="T58" i="4" s="1"/>
  <c r="S58" i="4" a="1"/>
  <c r="S58" i="4" s="1"/>
  <c r="R58" i="4" a="1"/>
  <c r="R58" i="4" s="1"/>
  <c r="Q58" i="4" a="1"/>
  <c r="Q58" i="4" s="1"/>
  <c r="P58" i="4" a="1"/>
  <c r="P58" i="4" s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 a="1"/>
  <c r="J58" i="4" s="1"/>
  <c r="I58" i="4" a="1"/>
  <c r="I58" i="4" s="1"/>
  <c r="H58" i="4" a="1"/>
  <c r="H58" i="4" s="1"/>
  <c r="G58" i="4" a="1"/>
  <c r="G58" i="4" s="1"/>
  <c r="F58" i="4" a="1"/>
  <c r="F58" i="4" s="1"/>
  <c r="E58" i="4" a="1"/>
  <c r="E58" i="4" s="1"/>
  <c r="D58" i="4" a="1"/>
  <c r="D58" i="4" s="1"/>
  <c r="C58" i="4" a="1"/>
  <c r="C58" i="4" s="1"/>
  <c r="B58" i="4" a="1"/>
  <c r="B58" i="4" s="1"/>
  <c r="A58" i="4" a="1"/>
  <c r="A58" i="4" s="1"/>
  <c r="AF57" i="4" a="1"/>
  <c r="AF57" i="4" s="1"/>
  <c r="AE57" i="4" a="1"/>
  <c r="AE57" i="4" s="1"/>
  <c r="AD57" i="4" a="1"/>
  <c r="AD57" i="4" s="1"/>
  <c r="AC57" i="4" a="1"/>
  <c r="AC57" i="4" s="1"/>
  <c r="AB57" i="4" a="1"/>
  <c r="AB57" i="4" s="1"/>
  <c r="AA57" i="4" a="1"/>
  <c r="AA57" i="4" s="1"/>
  <c r="Z57" i="4" a="1"/>
  <c r="Z57" i="4" s="1"/>
  <c r="Y57" i="4" a="1"/>
  <c r="Y57" i="4" s="1"/>
  <c r="X57" i="4" a="1"/>
  <c r="X57" i="4" s="1"/>
  <c r="W57" i="4" a="1"/>
  <c r="W57" i="4" s="1"/>
  <c r="V57" i="4" a="1"/>
  <c r="V57" i="4" s="1"/>
  <c r="U57" i="4" a="1"/>
  <c r="U57" i="4" s="1"/>
  <c r="T57" i="4" a="1"/>
  <c r="T57" i="4" s="1"/>
  <c r="S57" i="4" a="1"/>
  <c r="S57" i="4" s="1"/>
  <c r="R57" i="4" a="1"/>
  <c r="R57" i="4" s="1"/>
  <c r="Q57" i="4" a="1"/>
  <c r="Q57" i="4" s="1"/>
  <c r="P57" i="4" a="1"/>
  <c r="P57" i="4" s="1"/>
  <c r="O57" i="4" a="1"/>
  <c r="O57" i="4" s="1"/>
  <c r="N57" i="4" a="1"/>
  <c r="N57" i="4" s="1"/>
  <c r="M57" i="4" a="1"/>
  <c r="M57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G57" i="4" a="1"/>
  <c r="G57" i="4" s="1"/>
  <c r="F57" i="4" a="1"/>
  <c r="F57" i="4" s="1"/>
  <c r="E57" i="4" a="1"/>
  <c r="E57" i="4" s="1"/>
  <c r="D57" i="4" a="1"/>
  <c r="D57" i="4" s="1"/>
  <c r="C57" i="4" a="1"/>
  <c r="C57" i="4" s="1"/>
  <c r="B57" i="4" a="1"/>
  <c r="B57" i="4" s="1"/>
  <c r="A57" i="4" a="1"/>
  <c r="A57" i="4" s="1"/>
  <c r="AF56" i="4" a="1"/>
  <c r="AF56" i="4" s="1"/>
  <c r="AE56" i="4" a="1"/>
  <c r="AE56" i="4" s="1"/>
  <c r="AD56" i="4" a="1"/>
  <c r="AD56" i="4" s="1"/>
  <c r="AC56" i="4" a="1"/>
  <c r="AC56" i="4" s="1"/>
  <c r="AB56" i="4" a="1"/>
  <c r="AB56" i="4" s="1"/>
  <c r="AA56" i="4" a="1"/>
  <c r="AA56" i="4" s="1"/>
  <c r="Z56" i="4" a="1"/>
  <c r="Z56" i="4" s="1"/>
  <c r="Y56" i="4" a="1"/>
  <c r="Y56" i="4" s="1"/>
  <c r="X56" i="4" a="1"/>
  <c r="X56" i="4" s="1"/>
  <c r="W56" i="4" a="1"/>
  <c r="W56" i="4" s="1"/>
  <c r="V56" i="4" a="1"/>
  <c r="V56" i="4" s="1"/>
  <c r="U56" i="4" a="1"/>
  <c r="U56" i="4" s="1"/>
  <c r="T56" i="4" a="1"/>
  <c r="T56" i="4" s="1"/>
  <c r="S56" i="4" a="1"/>
  <c r="S56" i="4" s="1"/>
  <c r="R56" i="4" a="1"/>
  <c r="R56" i="4" s="1"/>
  <c r="Q56" i="4" a="1"/>
  <c r="Q56" i="4" s="1"/>
  <c r="P56" i="4" a="1"/>
  <c r="P56" i="4" s="1"/>
  <c r="O56" i="4" a="1"/>
  <c r="O56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G56" i="4" a="1"/>
  <c r="G56" i="4" s="1"/>
  <c r="F56" i="4" a="1"/>
  <c r="F56" i="4" s="1"/>
  <c r="E56" i="4" a="1"/>
  <c r="E56" i="4" s="1"/>
  <c r="D56" i="4" a="1"/>
  <c r="D56" i="4" s="1"/>
  <c r="C56" i="4" a="1"/>
  <c r="C56" i="4" s="1"/>
  <c r="B56" i="4" a="1"/>
  <c r="B56" i="4" s="1"/>
  <c r="A56" i="4" a="1"/>
  <c r="A56" i="4" s="1"/>
  <c r="AF55" i="4" a="1"/>
  <c r="AF55" i="4" s="1"/>
  <c r="AE55" i="4" a="1"/>
  <c r="AE55" i="4" s="1"/>
  <c r="AD55" i="4" a="1"/>
  <c r="AD55" i="4" s="1"/>
  <c r="AC55" i="4" a="1"/>
  <c r="AC55" i="4" s="1"/>
  <c r="AB55" i="4" a="1"/>
  <c r="AB55" i="4" s="1"/>
  <c r="AA55" i="4" a="1"/>
  <c r="AA55" i="4" s="1"/>
  <c r="Z55" i="4" a="1"/>
  <c r="Z55" i="4" s="1"/>
  <c r="Y55" i="4" a="1"/>
  <c r="Y55" i="4" s="1"/>
  <c r="X55" i="4" a="1"/>
  <c r="X55" i="4" s="1"/>
  <c r="W55" i="4" a="1"/>
  <c r="W55" i="4" s="1"/>
  <c r="V55" i="4" a="1"/>
  <c r="V55" i="4" s="1"/>
  <c r="U55" i="4" a="1"/>
  <c r="U55" i="4" s="1"/>
  <c r="T55" i="4" a="1"/>
  <c r="T55" i="4" s="1"/>
  <c r="S55" i="4" a="1"/>
  <c r="S55" i="4" s="1"/>
  <c r="R55" i="4" a="1"/>
  <c r="R55" i="4" s="1"/>
  <c r="Q55" i="4" a="1"/>
  <c r="Q55" i="4" s="1"/>
  <c r="P55" i="4" a="1"/>
  <c r="P55" i="4" s="1"/>
  <c r="O55" i="4" a="1"/>
  <c r="O55" i="4" s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 a="1"/>
  <c r="E55" i="4" s="1"/>
  <c r="D55" i="4" a="1"/>
  <c r="D55" i="4" s="1"/>
  <c r="C55" i="4" a="1"/>
  <c r="C55" i="4" s="1"/>
  <c r="B55" i="4" a="1"/>
  <c r="B55" i="4" s="1"/>
  <c r="A55" i="4" a="1"/>
  <c r="A55" i="4" s="1"/>
  <c r="AF54" i="4" a="1"/>
  <c r="AF54" i="4" s="1"/>
  <c r="AE54" i="4" a="1"/>
  <c r="AE54" i="4" s="1"/>
  <c r="AD54" i="4" a="1"/>
  <c r="AD54" i="4" s="1"/>
  <c r="AC54" i="4" a="1"/>
  <c r="AC54" i="4" s="1"/>
  <c r="AB54" i="4" a="1"/>
  <c r="AB54" i="4" s="1"/>
  <c r="AA54" i="4" a="1"/>
  <c r="AA54" i="4" s="1"/>
  <c r="Z54" i="4" a="1"/>
  <c r="Z54" i="4" s="1"/>
  <c r="Y54" i="4" a="1"/>
  <c r="Y54" i="4" s="1"/>
  <c r="X54" i="4" a="1"/>
  <c r="X54" i="4" s="1"/>
  <c r="W54" i="4" a="1"/>
  <c r="W54" i="4" s="1"/>
  <c r="V54" i="4" a="1"/>
  <c r="V54" i="4" s="1"/>
  <c r="U54" i="4" a="1"/>
  <c r="U54" i="4" s="1"/>
  <c r="T54" i="4" a="1"/>
  <c r="T54" i="4" s="1"/>
  <c r="S54" i="4" a="1"/>
  <c r="S54" i="4" s="1"/>
  <c r="R54" i="4" a="1"/>
  <c r="R54" i="4" s="1"/>
  <c r="Q54" i="4" a="1"/>
  <c r="Q54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E54" i="4" a="1"/>
  <c r="E54" i="4" s="1"/>
  <c r="D54" i="4" a="1"/>
  <c r="D54" i="4" s="1"/>
  <c r="C54" i="4" a="1"/>
  <c r="C54" i="4" s="1"/>
  <c r="B54" i="4" a="1"/>
  <c r="B54" i="4" s="1"/>
  <c r="A54" i="4" a="1"/>
  <c r="A54" i="4" s="1"/>
  <c r="AF53" i="4" a="1"/>
  <c r="AF53" i="4" s="1"/>
  <c r="AE53" i="4" a="1"/>
  <c r="AE53" i="4" s="1"/>
  <c r="AD53" i="4" a="1"/>
  <c r="AD53" i="4" s="1"/>
  <c r="AC53" i="4" a="1"/>
  <c r="AC53" i="4" s="1"/>
  <c r="AB53" i="4" a="1"/>
  <c r="AB53" i="4" s="1"/>
  <c r="AA53" i="4" a="1"/>
  <c r="AA53" i="4" s="1"/>
  <c r="Z53" i="4" a="1"/>
  <c r="Z53" i="4" s="1"/>
  <c r="Y53" i="4" a="1"/>
  <c r="Y53" i="4" s="1"/>
  <c r="X53" i="4" a="1"/>
  <c r="X53" i="4" s="1"/>
  <c r="W53" i="4" a="1"/>
  <c r="W53" i="4" s="1"/>
  <c r="V53" i="4" a="1"/>
  <c r="V53" i="4" s="1"/>
  <c r="U53" i="4" a="1"/>
  <c r="U53" i="4" s="1"/>
  <c r="T53" i="4" a="1"/>
  <c r="T53" i="4" s="1"/>
  <c r="S53" i="4" a="1"/>
  <c r="S53" i="4" s="1"/>
  <c r="R53" i="4" a="1"/>
  <c r="R53" i="4" s="1"/>
  <c r="Q53" i="4" a="1"/>
  <c r="Q53" i="4" s="1"/>
  <c r="P53" i="4" a="1"/>
  <c r="P53" i="4" s="1"/>
  <c r="O53" i="4" a="1"/>
  <c r="O53" i="4" s="1"/>
  <c r="N53" i="4" a="1"/>
  <c r="N53" i="4" s="1"/>
  <c r="M53" i="4" a="1"/>
  <c r="M53" i="4" s="1"/>
  <c r="L53" i="4" a="1"/>
  <c r="L53" i="4" s="1"/>
  <c r="K53" i="4" a="1"/>
  <c r="K53" i="4" s="1"/>
  <c r="J53" i="4" a="1"/>
  <c r="J53" i="4" s="1"/>
  <c r="I53" i="4" a="1"/>
  <c r="I53" i="4" s="1"/>
  <c r="H53" i="4" a="1"/>
  <c r="H53" i="4" s="1"/>
  <c r="G53" i="4" a="1"/>
  <c r="G53" i="4" s="1"/>
  <c r="F53" i="4" a="1"/>
  <c r="F53" i="4" s="1"/>
  <c r="E53" i="4" a="1"/>
  <c r="E53" i="4" s="1"/>
  <c r="D53" i="4" a="1"/>
  <c r="D53" i="4" s="1"/>
  <c r="C53" i="4" a="1"/>
  <c r="C53" i="4" s="1"/>
  <c r="B53" i="4" a="1"/>
  <c r="B53" i="4" s="1"/>
  <c r="A53" i="4" a="1"/>
  <c r="A53" i="4" s="1"/>
  <c r="AF52" i="4" a="1"/>
  <c r="AF52" i="4" s="1"/>
  <c r="AE52" i="4" a="1"/>
  <c r="AE52" i="4" s="1"/>
  <c r="AD52" i="4" a="1"/>
  <c r="AD52" i="4" s="1"/>
  <c r="AC52" i="4" a="1"/>
  <c r="AC52" i="4" s="1"/>
  <c r="AB52" i="4" a="1"/>
  <c r="AB52" i="4" s="1"/>
  <c r="AA52" i="4" a="1"/>
  <c r="AA52" i="4" s="1"/>
  <c r="Z52" i="4" a="1"/>
  <c r="Z52" i="4" s="1"/>
  <c r="Y52" i="4" a="1"/>
  <c r="Y52" i="4" s="1"/>
  <c r="X52" i="4" a="1"/>
  <c r="X52" i="4" s="1"/>
  <c r="W52" i="4" a="1"/>
  <c r="W52" i="4" s="1"/>
  <c r="V52" i="4" a="1"/>
  <c r="V52" i="4" s="1"/>
  <c r="U52" i="4" a="1"/>
  <c r="U52" i="4" s="1"/>
  <c r="T52" i="4" a="1"/>
  <c r="T52" i="4" s="1"/>
  <c r="S52" i="4" a="1"/>
  <c r="S52" i="4" s="1"/>
  <c r="R52" i="4" a="1"/>
  <c r="R52" i="4" s="1"/>
  <c r="Q52" i="4" a="1"/>
  <c r="Q52" i="4" s="1"/>
  <c r="P52" i="4" a="1"/>
  <c r="P52" i="4" s="1"/>
  <c r="O52" i="4" a="1"/>
  <c r="O52" i="4" s="1"/>
  <c r="N52" i="4" a="1"/>
  <c r="N52" i="4" s="1"/>
  <c r="M52" i="4" a="1"/>
  <c r="M52" i="4" s="1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G52" i="4" a="1"/>
  <c r="G52" i="4" s="1"/>
  <c r="F52" i="4" a="1"/>
  <c r="F52" i="4" s="1"/>
  <c r="E52" i="4" a="1"/>
  <c r="E52" i="4" s="1"/>
  <c r="D52" i="4" a="1"/>
  <c r="D52" i="4" s="1"/>
  <c r="C52" i="4" a="1"/>
  <c r="C52" i="4" s="1"/>
  <c r="B52" i="4" a="1"/>
  <c r="B52" i="4" s="1"/>
  <c r="A52" i="4" a="1"/>
  <c r="A52" i="4" s="1"/>
  <c r="AF51" i="4" a="1"/>
  <c r="AF51" i="4" s="1"/>
  <c r="AE51" i="4" a="1"/>
  <c r="AE51" i="4" s="1"/>
  <c r="AD51" i="4" a="1"/>
  <c r="AD51" i="4" s="1"/>
  <c r="AC51" i="4" a="1"/>
  <c r="AC51" i="4" s="1"/>
  <c r="AB51" i="4" a="1"/>
  <c r="AB51" i="4" s="1"/>
  <c r="AA51" i="4" a="1"/>
  <c r="AA51" i="4" s="1"/>
  <c r="Z51" i="4" a="1"/>
  <c r="Z51" i="4" s="1"/>
  <c r="Y51" i="4" a="1"/>
  <c r="Y51" i="4" s="1"/>
  <c r="X51" i="4" a="1"/>
  <c r="X51" i="4" s="1"/>
  <c r="W51" i="4" a="1"/>
  <c r="W51" i="4" s="1"/>
  <c r="V51" i="4" a="1"/>
  <c r="V51" i="4" s="1"/>
  <c r="U51" i="4" a="1"/>
  <c r="U51" i="4" s="1"/>
  <c r="T51" i="4" a="1"/>
  <c r="T51" i="4" s="1"/>
  <c r="S51" i="4" a="1"/>
  <c r="S51" i="4" s="1"/>
  <c r="R51" i="4" a="1"/>
  <c r="R51" i="4" s="1"/>
  <c r="Q51" i="4" a="1"/>
  <c r="Q51" i="4" s="1"/>
  <c r="P51" i="4" a="1"/>
  <c r="P51" i="4" s="1"/>
  <c r="O51" i="4" a="1"/>
  <c r="O51" i="4" s="1"/>
  <c r="N51" i="4" a="1"/>
  <c r="N51" i="4" s="1"/>
  <c r="M51" i="4" a="1"/>
  <c r="M51" i="4" s="1"/>
  <c r="L51" i="4" a="1"/>
  <c r="L51" i="4" s="1"/>
  <c r="K51" i="4" a="1"/>
  <c r="K51" i="4" s="1"/>
  <c r="J51" i="4" a="1"/>
  <c r="J51" i="4" s="1"/>
  <c r="I51" i="4" a="1"/>
  <c r="I51" i="4" s="1"/>
  <c r="H51" i="4" a="1"/>
  <c r="H51" i="4" s="1"/>
  <c r="G51" i="4" a="1"/>
  <c r="G51" i="4" s="1"/>
  <c r="F51" i="4" a="1"/>
  <c r="F51" i="4" s="1"/>
  <c r="E51" i="4" a="1"/>
  <c r="E51" i="4" s="1"/>
  <c r="D51" i="4" a="1"/>
  <c r="D51" i="4" s="1"/>
  <c r="C51" i="4" a="1"/>
  <c r="C51" i="4" s="1"/>
  <c r="B51" i="4" a="1"/>
  <c r="B51" i="4" s="1"/>
  <c r="A51" i="4" a="1"/>
  <c r="A51" i="4" s="1"/>
  <c r="AF50" i="4" a="1"/>
  <c r="AF50" i="4" s="1"/>
  <c r="AE50" i="4" a="1"/>
  <c r="AE50" i="4" s="1"/>
  <c r="AD50" i="4" a="1"/>
  <c r="AD50" i="4" s="1"/>
  <c r="AC50" i="4" a="1"/>
  <c r="AC50" i="4" s="1"/>
  <c r="AB50" i="4" a="1"/>
  <c r="AB50" i="4" s="1"/>
  <c r="AA50" i="4" a="1"/>
  <c r="AA50" i="4" s="1"/>
  <c r="Z50" i="4" a="1"/>
  <c r="Z50" i="4" s="1"/>
  <c r="Y50" i="4" a="1"/>
  <c r="Y50" i="4" s="1"/>
  <c r="X50" i="4" a="1"/>
  <c r="X50" i="4" s="1"/>
  <c r="W50" i="4" a="1"/>
  <c r="W50" i="4" s="1"/>
  <c r="V50" i="4" a="1"/>
  <c r="V50" i="4" s="1"/>
  <c r="U50" i="4" a="1"/>
  <c r="U50" i="4" s="1"/>
  <c r="T50" i="4" a="1"/>
  <c r="T50" i="4" s="1"/>
  <c r="S50" i="4" a="1"/>
  <c r="S50" i="4" s="1"/>
  <c r="R50" i="4" a="1"/>
  <c r="R50" i="4" s="1"/>
  <c r="Q50" i="4" a="1"/>
  <c r="Q50" i="4" s="1"/>
  <c r="P50" i="4" a="1"/>
  <c r="P50" i="4" s="1"/>
  <c r="O50" i="4" a="1"/>
  <c r="O50" i="4" s="1"/>
  <c r="N50" i="4" a="1"/>
  <c r="N50" i="4" s="1"/>
  <c r="M50" i="4" a="1"/>
  <c r="M50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E50" i="4" a="1"/>
  <c r="E50" i="4" s="1"/>
  <c r="D50" i="4" a="1"/>
  <c r="D50" i="4" s="1"/>
  <c r="C50" i="4" a="1"/>
  <c r="C50" i="4" s="1"/>
  <c r="B50" i="4" a="1"/>
  <c r="B50" i="4" s="1"/>
  <c r="A50" i="4" a="1"/>
  <c r="A50" i="4" s="1"/>
  <c r="AF49" i="4" a="1"/>
  <c r="AF49" i="4" s="1"/>
  <c r="AE49" i="4" a="1"/>
  <c r="AE49" i="4" s="1"/>
  <c r="AD49" i="4" a="1"/>
  <c r="AD49" i="4" s="1"/>
  <c r="AC49" i="4" a="1"/>
  <c r="AC49" i="4" s="1"/>
  <c r="AB49" i="4" a="1"/>
  <c r="AB49" i="4" s="1"/>
  <c r="AA49" i="4" a="1"/>
  <c r="AA49" i="4" s="1"/>
  <c r="Z49" i="4" a="1"/>
  <c r="Z49" i="4" s="1"/>
  <c r="Y49" i="4" a="1"/>
  <c r="Y49" i="4" s="1"/>
  <c r="X49" i="4" a="1"/>
  <c r="X49" i="4" s="1"/>
  <c r="W49" i="4" a="1"/>
  <c r="W49" i="4" s="1"/>
  <c r="V49" i="4" a="1"/>
  <c r="V49" i="4" s="1"/>
  <c r="U49" i="4" a="1"/>
  <c r="U49" i="4" s="1"/>
  <c r="T49" i="4" a="1"/>
  <c r="T49" i="4" s="1"/>
  <c r="S49" i="4" a="1"/>
  <c r="S49" i="4" s="1"/>
  <c r="R49" i="4" a="1"/>
  <c r="R49" i="4" s="1"/>
  <c r="Q49" i="4" a="1"/>
  <c r="Q49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J49" i="4" a="1"/>
  <c r="J49" i="4" s="1"/>
  <c r="I49" i="4" a="1"/>
  <c r="I49" i="4" s="1"/>
  <c r="H49" i="4" a="1"/>
  <c r="H49" i="4" s="1"/>
  <c r="G49" i="4" a="1"/>
  <c r="G49" i="4" s="1"/>
  <c r="F49" i="4" a="1"/>
  <c r="F49" i="4" s="1"/>
  <c r="E49" i="4" a="1"/>
  <c r="E49" i="4" s="1"/>
  <c r="D49" i="4" a="1"/>
  <c r="D49" i="4" s="1"/>
  <c r="C49" i="4" a="1"/>
  <c r="C49" i="4" s="1"/>
  <c r="B49" i="4" a="1"/>
  <c r="B49" i="4" s="1"/>
  <c r="A49" i="4" a="1"/>
  <c r="A49" i="4" s="1"/>
  <c r="AF48" i="4" a="1"/>
  <c r="AF48" i="4" s="1"/>
  <c r="AE48" i="4" a="1"/>
  <c r="AE48" i="4" s="1"/>
  <c r="AD48" i="4" a="1"/>
  <c r="AD48" i="4" s="1"/>
  <c r="AC48" i="4" a="1"/>
  <c r="AC48" i="4" s="1"/>
  <c r="AB48" i="4" a="1"/>
  <c r="AB48" i="4" s="1"/>
  <c r="AA48" i="4" a="1"/>
  <c r="AA48" i="4" s="1"/>
  <c r="Z48" i="4" a="1"/>
  <c r="Z48" i="4" s="1"/>
  <c r="Y48" i="4" a="1"/>
  <c r="Y48" i="4" s="1"/>
  <c r="X48" i="4" a="1"/>
  <c r="X48" i="4" s="1"/>
  <c r="W48" i="4" a="1"/>
  <c r="W48" i="4" s="1"/>
  <c r="V48" i="4" a="1"/>
  <c r="V48" i="4" s="1"/>
  <c r="U48" i="4" a="1"/>
  <c r="U48" i="4" s="1"/>
  <c r="T48" i="4" a="1"/>
  <c r="T48" i="4" s="1"/>
  <c r="S48" i="4" a="1"/>
  <c r="S48" i="4" s="1"/>
  <c r="R48" i="4" a="1"/>
  <c r="R48" i="4" s="1"/>
  <c r="Q48" i="4" a="1"/>
  <c r="Q48" i="4" s="1"/>
  <c r="P48" i="4" a="1"/>
  <c r="P48" i="4" s="1"/>
  <c r="O48" i="4" a="1"/>
  <c r="O48" i="4" s="1"/>
  <c r="N48" i="4" a="1"/>
  <c r="N48" i="4" s="1"/>
  <c r="M48" i="4" a="1"/>
  <c r="M48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G48" i="4" a="1"/>
  <c r="G48" i="4" s="1"/>
  <c r="F48" i="4" a="1"/>
  <c r="F48" i="4" s="1"/>
  <c r="E48" i="4" a="1"/>
  <c r="E48" i="4" s="1"/>
  <c r="D48" i="4" a="1"/>
  <c r="D48" i="4" s="1"/>
  <c r="C48" i="4" a="1"/>
  <c r="C48" i="4" s="1"/>
  <c r="B48" i="4" a="1"/>
  <c r="B48" i="4" s="1"/>
  <c r="A48" i="4" a="1"/>
  <c r="A48" i="4" s="1"/>
  <c r="AF47" i="4" a="1"/>
  <c r="AF47" i="4" s="1"/>
  <c r="AE47" i="4" a="1"/>
  <c r="AE47" i="4" s="1"/>
  <c r="AD47" i="4" a="1"/>
  <c r="AD47" i="4" s="1"/>
  <c r="AC47" i="4" a="1"/>
  <c r="AC47" i="4" s="1"/>
  <c r="AB47" i="4" a="1"/>
  <c r="AB47" i="4" s="1"/>
  <c r="AA47" i="4" a="1"/>
  <c r="AA47" i="4" s="1"/>
  <c r="Z47" i="4" a="1"/>
  <c r="Z47" i="4" s="1"/>
  <c r="Y47" i="4" a="1"/>
  <c r="Y47" i="4" s="1"/>
  <c r="X47" i="4" a="1"/>
  <c r="X47" i="4" s="1"/>
  <c r="W47" i="4" a="1"/>
  <c r="W47" i="4" s="1"/>
  <c r="V47" i="4" a="1"/>
  <c r="V47" i="4" s="1"/>
  <c r="U47" i="4" a="1"/>
  <c r="U47" i="4" s="1"/>
  <c r="T47" i="4" a="1"/>
  <c r="T47" i="4" s="1"/>
  <c r="S47" i="4" a="1"/>
  <c r="S47" i="4" s="1"/>
  <c r="R47" i="4" a="1"/>
  <c r="R47" i="4" s="1"/>
  <c r="Q47" i="4" a="1"/>
  <c r="Q47" i="4" s="1"/>
  <c r="P47" i="4" a="1"/>
  <c r="P47" i="4" s="1"/>
  <c r="O47" i="4" a="1"/>
  <c r="O47" i="4" s="1"/>
  <c r="N47" i="4" a="1"/>
  <c r="N47" i="4" s="1"/>
  <c r="M47" i="4" a="1"/>
  <c r="M47" i="4" s="1"/>
  <c r="L47" i="4" a="1"/>
  <c r="L47" i="4" s="1"/>
  <c r="K47" i="4" a="1"/>
  <c r="K47" i="4" s="1"/>
  <c r="J47" i="4" a="1"/>
  <c r="J47" i="4" s="1"/>
  <c r="I47" i="4" a="1"/>
  <c r="I47" i="4" s="1"/>
  <c r="H47" i="4" a="1"/>
  <c r="H47" i="4" s="1"/>
  <c r="G47" i="4" a="1"/>
  <c r="G47" i="4" s="1"/>
  <c r="F47" i="4" a="1"/>
  <c r="F47" i="4" s="1"/>
  <c r="E47" i="4" a="1"/>
  <c r="E47" i="4" s="1"/>
  <c r="D47" i="4" a="1"/>
  <c r="D47" i="4" s="1"/>
  <c r="C47" i="4" a="1"/>
  <c r="C47" i="4" s="1"/>
  <c r="B47" i="4" a="1"/>
  <c r="B47" i="4" s="1"/>
  <c r="A47" i="4" a="1"/>
  <c r="A47" i="4" s="1"/>
  <c r="AF46" i="4" a="1"/>
  <c r="AF46" i="4" s="1"/>
  <c r="AE46" i="4" a="1"/>
  <c r="AE46" i="4" s="1"/>
  <c r="AD46" i="4" a="1"/>
  <c r="AD46" i="4" s="1"/>
  <c r="AC46" i="4" a="1"/>
  <c r="AC46" i="4" s="1"/>
  <c r="AB46" i="4" a="1"/>
  <c r="AB46" i="4" s="1"/>
  <c r="AA46" i="4" a="1"/>
  <c r="AA46" i="4" s="1"/>
  <c r="Z46" i="4" a="1"/>
  <c r="Z46" i="4" s="1"/>
  <c r="Y46" i="4" a="1"/>
  <c r="Y46" i="4" s="1"/>
  <c r="X46" i="4" a="1"/>
  <c r="X46" i="4" s="1"/>
  <c r="W46" i="4" a="1"/>
  <c r="W46" i="4" s="1"/>
  <c r="V46" i="4" a="1"/>
  <c r="V46" i="4" s="1"/>
  <c r="U46" i="4" a="1"/>
  <c r="U46" i="4" s="1"/>
  <c r="T46" i="4" a="1"/>
  <c r="T46" i="4" s="1"/>
  <c r="S46" i="4" a="1"/>
  <c r="S46" i="4" s="1"/>
  <c r="R46" i="4" a="1"/>
  <c r="R46" i="4" s="1"/>
  <c r="Q46" i="4" a="1"/>
  <c r="Q46" i="4" s="1"/>
  <c r="P46" i="4" a="1"/>
  <c r="P46" i="4" s="1"/>
  <c r="O46" i="4" a="1"/>
  <c r="O46" i="4" s="1"/>
  <c r="N46" i="4" a="1"/>
  <c r="N46" i="4" s="1"/>
  <c r="M46" i="4" a="1"/>
  <c r="M46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C46" i="4" a="1"/>
  <c r="C46" i="4" s="1"/>
  <c r="B46" i="4" a="1"/>
  <c r="B46" i="4" s="1"/>
  <c r="A46" i="4" a="1"/>
  <c r="A46" i="4" s="1"/>
  <c r="AF45" i="4" a="1"/>
  <c r="AF45" i="4" s="1"/>
  <c r="AE45" i="4" a="1"/>
  <c r="AE45" i="4" s="1"/>
  <c r="AD45" i="4" a="1"/>
  <c r="AD45" i="4" s="1"/>
  <c r="AC45" i="4" a="1"/>
  <c r="AC45" i="4" s="1"/>
  <c r="AB45" i="4" a="1"/>
  <c r="AB45" i="4" s="1"/>
  <c r="AA45" i="4" a="1"/>
  <c r="AA45" i="4" s="1"/>
  <c r="Z45" i="4" a="1"/>
  <c r="Z45" i="4" s="1"/>
  <c r="Y45" i="4" a="1"/>
  <c r="Y45" i="4" s="1"/>
  <c r="X45" i="4" a="1"/>
  <c r="X45" i="4" s="1"/>
  <c r="W45" i="4" a="1"/>
  <c r="W45" i="4" s="1"/>
  <c r="V45" i="4" a="1"/>
  <c r="V45" i="4" s="1"/>
  <c r="U45" i="4" a="1"/>
  <c r="U45" i="4" s="1"/>
  <c r="T45" i="4" a="1"/>
  <c r="T45" i="4" s="1"/>
  <c r="S45" i="4" a="1"/>
  <c r="S45" i="4" s="1"/>
  <c r="R45" i="4" a="1"/>
  <c r="R45" i="4" s="1"/>
  <c r="Q45" i="4" a="1"/>
  <c r="Q45" i="4" s="1"/>
  <c r="P45" i="4" a="1"/>
  <c r="P45" i="4" s="1"/>
  <c r="O45" i="4" a="1"/>
  <c r="O45" i="4" s="1"/>
  <c r="N45" i="4" a="1"/>
  <c r="N45" i="4" s="1"/>
  <c r="M45" i="4" a="1"/>
  <c r="M45" i="4" s="1"/>
  <c r="L45" i="4" a="1"/>
  <c r="L45" i="4" s="1"/>
  <c r="K45" i="4" a="1"/>
  <c r="K45" i="4" s="1"/>
  <c r="J45" i="4" a="1"/>
  <c r="J45" i="4" s="1"/>
  <c r="I45" i="4" a="1"/>
  <c r="I45" i="4" s="1"/>
  <c r="H45" i="4" a="1"/>
  <c r="H45" i="4" s="1"/>
  <c r="G45" i="4" a="1"/>
  <c r="G45" i="4" s="1"/>
  <c r="F45" i="4" a="1"/>
  <c r="F45" i="4" s="1"/>
  <c r="E45" i="4" a="1"/>
  <c r="E45" i="4" s="1"/>
  <c r="D45" i="4" a="1"/>
  <c r="D45" i="4" s="1"/>
  <c r="C45" i="4" a="1"/>
  <c r="C45" i="4" s="1"/>
  <c r="B45" i="4" a="1"/>
  <c r="B45" i="4" s="1"/>
  <c r="A45" i="4" a="1"/>
  <c r="A45" i="4" s="1"/>
  <c r="AF44" i="4" a="1"/>
  <c r="AF44" i="4" s="1"/>
  <c r="AE44" i="4" a="1"/>
  <c r="AE44" i="4" s="1"/>
  <c r="AD44" i="4" a="1"/>
  <c r="AD44" i="4" s="1"/>
  <c r="AC44" i="4" a="1"/>
  <c r="AC44" i="4" s="1"/>
  <c r="AB44" i="4" a="1"/>
  <c r="AB44" i="4" s="1"/>
  <c r="AA44" i="4" a="1"/>
  <c r="AA44" i="4" s="1"/>
  <c r="Z44" i="4" a="1"/>
  <c r="Z44" i="4" s="1"/>
  <c r="Y44" i="4" a="1"/>
  <c r="Y44" i="4" s="1"/>
  <c r="X44" i="4" a="1"/>
  <c r="X44" i="4" s="1"/>
  <c r="W44" i="4" a="1"/>
  <c r="W44" i="4" s="1"/>
  <c r="V44" i="4" a="1"/>
  <c r="V44" i="4" s="1"/>
  <c r="U44" i="4" a="1"/>
  <c r="U44" i="4" s="1"/>
  <c r="T44" i="4" a="1"/>
  <c r="T44" i="4" s="1"/>
  <c r="S44" i="4" a="1"/>
  <c r="S44" i="4" s="1"/>
  <c r="R44" i="4" a="1"/>
  <c r="R44" i="4" s="1"/>
  <c r="Q44" i="4" a="1"/>
  <c r="Q44" i="4" s="1"/>
  <c r="P44" i="4" a="1"/>
  <c r="P44" i="4" s="1"/>
  <c r="O44" i="4" a="1"/>
  <c r="O44" i="4" s="1"/>
  <c r="N44" i="4" a="1"/>
  <c r="N44" i="4" s="1"/>
  <c r="M44" i="4" a="1"/>
  <c r="M44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D44" i="4" a="1"/>
  <c r="D44" i="4" s="1"/>
  <c r="C44" i="4" a="1"/>
  <c r="C44" i="4" s="1"/>
  <c r="B44" i="4" a="1"/>
  <c r="B44" i="4" s="1"/>
  <c r="A44" i="4" a="1"/>
  <c r="A44" i="4" s="1"/>
  <c r="AF43" i="4" a="1"/>
  <c r="AF43" i="4" s="1"/>
  <c r="AE43" i="4" a="1"/>
  <c r="AE43" i="4" s="1"/>
  <c r="AD43" i="4" a="1"/>
  <c r="AD43" i="4" s="1"/>
  <c r="AC43" i="4" a="1"/>
  <c r="AC43" i="4" s="1"/>
  <c r="AB43" i="4" a="1"/>
  <c r="AB43" i="4" s="1"/>
  <c r="AA43" i="4" a="1"/>
  <c r="AA43" i="4" s="1"/>
  <c r="Z43" i="4" a="1"/>
  <c r="Z43" i="4" s="1"/>
  <c r="Y43" i="4" a="1"/>
  <c r="Y43" i="4" s="1"/>
  <c r="X43" i="4" a="1"/>
  <c r="X43" i="4" s="1"/>
  <c r="W43" i="4" a="1"/>
  <c r="W43" i="4" s="1"/>
  <c r="V43" i="4" a="1"/>
  <c r="V43" i="4" s="1"/>
  <c r="U43" i="4" a="1"/>
  <c r="U43" i="4" s="1"/>
  <c r="T43" i="4" a="1"/>
  <c r="T43" i="4" s="1"/>
  <c r="S43" i="4" a="1"/>
  <c r="S43" i="4" s="1"/>
  <c r="R43" i="4" a="1"/>
  <c r="R43" i="4" s="1"/>
  <c r="Q43" i="4" a="1"/>
  <c r="Q43" i="4" s="1"/>
  <c r="P43" i="4" a="1"/>
  <c r="P4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G43" i="4" a="1"/>
  <c r="G43" i="4" s="1"/>
  <c r="F43" i="4" a="1"/>
  <c r="F43" i="4" s="1"/>
  <c r="E43" i="4" a="1"/>
  <c r="E43" i="4" s="1"/>
  <c r="D43" i="4" a="1"/>
  <c r="D43" i="4" s="1"/>
  <c r="C43" i="4" a="1"/>
  <c r="C43" i="4" s="1"/>
  <c r="B43" i="4" a="1"/>
  <c r="B43" i="4" s="1"/>
  <c r="A43" i="4" a="1"/>
  <c r="A43" i="4" s="1"/>
  <c r="AF42" i="4" a="1"/>
  <c r="AF42" i="4" s="1"/>
  <c r="AE42" i="4" a="1"/>
  <c r="AE42" i="4" s="1"/>
  <c r="AD42" i="4" a="1"/>
  <c r="AD42" i="4" s="1"/>
  <c r="AC42" i="4" a="1"/>
  <c r="AC42" i="4" s="1"/>
  <c r="AB42" i="4" a="1"/>
  <c r="AB42" i="4" s="1"/>
  <c r="AA42" i="4" a="1"/>
  <c r="AA42" i="4" s="1"/>
  <c r="Z42" i="4" a="1"/>
  <c r="Z42" i="4" s="1"/>
  <c r="Y42" i="4" a="1"/>
  <c r="Y42" i="4" s="1"/>
  <c r="X42" i="4" a="1"/>
  <c r="X42" i="4" s="1"/>
  <c r="W42" i="4" a="1"/>
  <c r="W42" i="4" s="1"/>
  <c r="V42" i="4" a="1"/>
  <c r="V42" i="4" s="1"/>
  <c r="U42" i="4" a="1"/>
  <c r="U42" i="4" s="1"/>
  <c r="T42" i="4" a="1"/>
  <c r="T42" i="4" s="1"/>
  <c r="S42" i="4" a="1"/>
  <c r="S42" i="4" s="1"/>
  <c r="R42" i="4" a="1"/>
  <c r="R42" i="4" s="1"/>
  <c r="Q42" i="4" a="1"/>
  <c r="Q42" i="4" s="1"/>
  <c r="P42" i="4" a="1"/>
  <c r="P42" i="4" s="1"/>
  <c r="O42" i="4" a="1"/>
  <c r="O42" i="4" s="1"/>
  <c r="N42" i="4" a="1"/>
  <c r="N42" i="4" s="1"/>
  <c r="M42" i="4" a="1"/>
  <c r="M42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G42" i="4" a="1"/>
  <c r="G42" i="4" s="1"/>
  <c r="F42" i="4" a="1"/>
  <c r="F42" i="4" s="1"/>
  <c r="E42" i="4" a="1"/>
  <c r="E42" i="4" s="1"/>
  <c r="D42" i="4" a="1"/>
  <c r="D42" i="4" s="1"/>
  <c r="C42" i="4" a="1"/>
  <c r="C42" i="4" s="1"/>
  <c r="B42" i="4" a="1"/>
  <c r="B42" i="4" s="1"/>
  <c r="A42" i="4" a="1"/>
  <c r="A42" i="4" s="1"/>
  <c r="AF41" i="4" a="1"/>
  <c r="AF41" i="4" s="1"/>
  <c r="AE41" i="4" a="1"/>
  <c r="AE41" i="4" s="1"/>
  <c r="AD41" i="4" a="1"/>
  <c r="AD41" i="4" s="1"/>
  <c r="AC41" i="4" a="1"/>
  <c r="AC41" i="4" s="1"/>
  <c r="AB41" i="4" a="1"/>
  <c r="AB41" i="4" s="1"/>
  <c r="AA41" i="4" a="1"/>
  <c r="AA41" i="4" s="1"/>
  <c r="Z41" i="4" a="1"/>
  <c r="Z41" i="4" s="1"/>
  <c r="Y41" i="4" a="1"/>
  <c r="Y41" i="4" s="1"/>
  <c r="X41" i="4" a="1"/>
  <c r="X41" i="4" s="1"/>
  <c r="W41" i="4" a="1"/>
  <c r="W41" i="4" s="1"/>
  <c r="V41" i="4" a="1"/>
  <c r="V41" i="4" s="1"/>
  <c r="U41" i="4" a="1"/>
  <c r="U41" i="4" s="1"/>
  <c r="T41" i="4" a="1"/>
  <c r="T41" i="4" s="1"/>
  <c r="S41" i="4" a="1"/>
  <c r="S41" i="4" s="1"/>
  <c r="R41" i="4" a="1"/>
  <c r="R41" i="4" s="1"/>
  <c r="Q41" i="4" a="1"/>
  <c r="Q41" i="4" s="1"/>
  <c r="P41" i="4" a="1"/>
  <c r="P41" i="4" s="1"/>
  <c r="O41" i="4" a="1"/>
  <c r="O41" i="4" s="1"/>
  <c r="N41" i="4" a="1"/>
  <c r="N41" i="4" s="1"/>
  <c r="M41" i="4" a="1"/>
  <c r="M41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G41" i="4" a="1"/>
  <c r="G41" i="4" s="1"/>
  <c r="F41" i="4" a="1"/>
  <c r="F41" i="4" s="1"/>
  <c r="E41" i="4" a="1"/>
  <c r="E41" i="4" s="1"/>
  <c r="D41" i="4" a="1"/>
  <c r="D41" i="4" s="1"/>
  <c r="C41" i="4" a="1"/>
  <c r="C41" i="4" s="1"/>
  <c r="B41" i="4" a="1"/>
  <c r="B41" i="4" s="1"/>
  <c r="A41" i="4" a="1"/>
  <c r="A41" i="4" s="1"/>
  <c r="AF40" i="4" a="1"/>
  <c r="AF40" i="4" s="1"/>
  <c r="AE40" i="4" a="1"/>
  <c r="AE40" i="4" s="1"/>
  <c r="AD40" i="4" a="1"/>
  <c r="AD40" i="4" s="1"/>
  <c r="AC40" i="4" a="1"/>
  <c r="AC40" i="4" s="1"/>
  <c r="AB40" i="4" a="1"/>
  <c r="AB40" i="4" s="1"/>
  <c r="AA40" i="4" a="1"/>
  <c r="AA40" i="4" s="1"/>
  <c r="Z40" i="4" a="1"/>
  <c r="Z40" i="4" s="1"/>
  <c r="Y40" i="4" a="1"/>
  <c r="Y40" i="4" s="1"/>
  <c r="X40" i="4" a="1"/>
  <c r="X40" i="4" s="1"/>
  <c r="W40" i="4" a="1"/>
  <c r="W40" i="4" s="1"/>
  <c r="V40" i="4" a="1"/>
  <c r="V40" i="4" s="1"/>
  <c r="U40" i="4" a="1"/>
  <c r="U40" i="4" s="1"/>
  <c r="T40" i="4" a="1"/>
  <c r="T40" i="4" s="1"/>
  <c r="S40" i="4" a="1"/>
  <c r="S40" i="4" s="1"/>
  <c r="R40" i="4" a="1"/>
  <c r="R40" i="4" s="1"/>
  <c r="Q40" i="4" a="1"/>
  <c r="Q40" i="4" s="1"/>
  <c r="P40" i="4" a="1"/>
  <c r="P40" i="4" s="1"/>
  <c r="O40" i="4" a="1"/>
  <c r="O40" i="4" s="1"/>
  <c r="N40" i="4" a="1"/>
  <c r="N40" i="4" s="1"/>
  <c r="M40" i="4" a="1"/>
  <c r="M40" i="4" s="1"/>
  <c r="L40" i="4" a="1"/>
  <c r="L40" i="4" s="1"/>
  <c r="K40" i="4" a="1"/>
  <c r="K40" i="4" s="1"/>
  <c r="J40" i="4" a="1"/>
  <c r="J40" i="4" s="1"/>
  <c r="I40" i="4" a="1"/>
  <c r="I40" i="4" s="1"/>
  <c r="H40" i="4" a="1"/>
  <c r="H40" i="4" s="1"/>
  <c r="G40" i="4" a="1"/>
  <c r="G40" i="4" s="1"/>
  <c r="F40" i="4" a="1"/>
  <c r="F40" i="4" s="1"/>
  <c r="E40" i="4" a="1"/>
  <c r="E40" i="4" s="1"/>
  <c r="D40" i="4" a="1"/>
  <c r="D40" i="4" s="1"/>
  <c r="C40" i="4" a="1"/>
  <c r="C40" i="4" s="1"/>
  <c r="B40" i="4" a="1"/>
  <c r="B40" i="4" s="1"/>
  <c r="A40" i="4" a="1"/>
  <c r="A40" i="4" s="1"/>
  <c r="AF39" i="4" a="1"/>
  <c r="AF39" i="4" s="1"/>
  <c r="AE39" i="4" a="1"/>
  <c r="AE39" i="4" s="1"/>
  <c r="AD39" i="4" a="1"/>
  <c r="AD39" i="4" s="1"/>
  <c r="AC39" i="4" a="1"/>
  <c r="AC39" i="4" s="1"/>
  <c r="AB39" i="4" a="1"/>
  <c r="AB39" i="4" s="1"/>
  <c r="AA39" i="4" a="1"/>
  <c r="AA39" i="4" s="1"/>
  <c r="Z39" i="4" a="1"/>
  <c r="Z39" i="4" s="1"/>
  <c r="Y39" i="4" a="1"/>
  <c r="Y39" i="4" s="1"/>
  <c r="X39" i="4" a="1"/>
  <c r="X39" i="4" s="1"/>
  <c r="W39" i="4" a="1"/>
  <c r="W39" i="4" s="1"/>
  <c r="V39" i="4" a="1"/>
  <c r="V39" i="4" s="1"/>
  <c r="U39" i="4" a="1"/>
  <c r="U39" i="4" s="1"/>
  <c r="T39" i="4" a="1"/>
  <c r="T39" i="4" s="1"/>
  <c r="S39" i="4" a="1"/>
  <c r="S39" i="4" s="1"/>
  <c r="R39" i="4" a="1"/>
  <c r="R39" i="4" s="1"/>
  <c r="Q39" i="4" a="1"/>
  <c r="Q39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 a="1"/>
  <c r="D39" i="4" s="1"/>
  <c r="C39" i="4" a="1"/>
  <c r="C39" i="4" s="1"/>
  <c r="B39" i="4" a="1"/>
  <c r="B39" i="4" s="1"/>
  <c r="A39" i="4" a="1"/>
  <c r="A39" i="4" s="1"/>
  <c r="AF38" i="4" a="1"/>
  <c r="AF38" i="4" s="1"/>
  <c r="AE38" i="4" a="1"/>
  <c r="AE38" i="4" s="1"/>
  <c r="AD38" i="4" a="1"/>
  <c r="AD38" i="4" s="1"/>
  <c r="AC38" i="4" a="1"/>
  <c r="AC38" i="4" s="1"/>
  <c r="AB38" i="4" a="1"/>
  <c r="AB38" i="4" s="1"/>
  <c r="AA38" i="4" a="1"/>
  <c r="AA38" i="4" s="1"/>
  <c r="Z38" i="4" a="1"/>
  <c r="Z38" i="4" s="1"/>
  <c r="Y38" i="4" a="1"/>
  <c r="Y38" i="4" s="1"/>
  <c r="X38" i="4" a="1"/>
  <c r="X38" i="4" s="1"/>
  <c r="W38" i="4" a="1"/>
  <c r="W38" i="4" s="1"/>
  <c r="V38" i="4" a="1"/>
  <c r="V38" i="4" s="1"/>
  <c r="U38" i="4" a="1"/>
  <c r="U38" i="4" s="1"/>
  <c r="T38" i="4" a="1"/>
  <c r="T38" i="4" s="1"/>
  <c r="S38" i="4" a="1"/>
  <c r="S38" i="4" s="1"/>
  <c r="R38" i="4" a="1"/>
  <c r="R38" i="4" s="1"/>
  <c r="Q38" i="4" a="1"/>
  <c r="Q38" i="4" s="1"/>
  <c r="P38" i="4" a="1"/>
  <c r="P38" i="4" s="1"/>
  <c r="O38" i="4" a="1"/>
  <c r="O38" i="4" s="1"/>
  <c r="N38" i="4" a="1"/>
  <c r="N38" i="4" s="1"/>
  <c r="M38" i="4" a="1"/>
  <c r="M38" i="4" s="1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 a="1"/>
  <c r="D38" i="4" s="1"/>
  <c r="C38" i="4" a="1"/>
  <c r="C38" i="4" s="1"/>
  <c r="B38" i="4" a="1"/>
  <c r="B38" i="4" s="1"/>
  <c r="A38" i="4" a="1"/>
  <c r="A38" i="4" s="1"/>
  <c r="AF37" i="4" a="1"/>
  <c r="AF37" i="4" s="1"/>
  <c r="AE37" i="4" a="1"/>
  <c r="AE37" i="4" s="1"/>
  <c r="AD37" i="4" a="1"/>
  <c r="AD37" i="4" s="1"/>
  <c r="AC37" i="4" a="1"/>
  <c r="AC37" i="4" s="1"/>
  <c r="AB37" i="4" a="1"/>
  <c r="AB37" i="4" s="1"/>
  <c r="AA37" i="4" a="1"/>
  <c r="AA37" i="4" s="1"/>
  <c r="Z37" i="4" a="1"/>
  <c r="Z37" i="4" s="1"/>
  <c r="Y37" i="4" a="1"/>
  <c r="Y37" i="4" s="1"/>
  <c r="X37" i="4" a="1"/>
  <c r="X37" i="4" s="1"/>
  <c r="W37" i="4" a="1"/>
  <c r="W37" i="4" s="1"/>
  <c r="V37" i="4" a="1"/>
  <c r="V37" i="4" s="1"/>
  <c r="U37" i="4" a="1"/>
  <c r="U37" i="4" s="1"/>
  <c r="T37" i="4" a="1"/>
  <c r="T37" i="4" s="1"/>
  <c r="S37" i="4" a="1"/>
  <c r="S37" i="4" s="1"/>
  <c r="R37" i="4" a="1"/>
  <c r="R37" i="4" s="1"/>
  <c r="Q37" i="4" a="1"/>
  <c r="Q37" i="4" s="1"/>
  <c r="P37" i="4" a="1"/>
  <c r="P37" i="4" s="1"/>
  <c r="O37" i="4" a="1"/>
  <c r="O37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I37" i="4" a="1"/>
  <c r="I37" i="4" s="1"/>
  <c r="H37" i="4" a="1"/>
  <c r="H37" i="4" s="1"/>
  <c r="G37" i="4" a="1"/>
  <c r="G37" i="4" s="1"/>
  <c r="F37" i="4" a="1"/>
  <c r="F37" i="4" s="1"/>
  <c r="E37" i="4" a="1"/>
  <c r="E37" i="4" s="1"/>
  <c r="D37" i="4" a="1"/>
  <c r="D37" i="4" s="1"/>
  <c r="C37" i="4" a="1"/>
  <c r="C37" i="4" s="1"/>
  <c r="B37" i="4" a="1"/>
  <c r="B37" i="4" s="1"/>
  <c r="A37" i="4" a="1"/>
  <c r="A37" i="4" s="1"/>
  <c r="AF36" i="4" a="1"/>
  <c r="AF36" i="4" s="1"/>
  <c r="AE36" i="4" a="1"/>
  <c r="AE36" i="4" s="1"/>
  <c r="AD36" i="4" a="1"/>
  <c r="AD36" i="4" s="1"/>
  <c r="AC36" i="4" a="1"/>
  <c r="AC36" i="4" s="1"/>
  <c r="AB36" i="4" a="1"/>
  <c r="AB36" i="4" s="1"/>
  <c r="AA36" i="4" a="1"/>
  <c r="AA36" i="4" s="1"/>
  <c r="Z36" i="4" a="1"/>
  <c r="Z36" i="4" s="1"/>
  <c r="Y36" i="4" a="1"/>
  <c r="Y36" i="4" s="1"/>
  <c r="X36" i="4" a="1"/>
  <c r="X36" i="4" s="1"/>
  <c r="W36" i="4" a="1"/>
  <c r="W36" i="4" s="1"/>
  <c r="V36" i="4" a="1"/>
  <c r="V36" i="4" s="1"/>
  <c r="U36" i="4" a="1"/>
  <c r="U36" i="4" s="1"/>
  <c r="T36" i="4" a="1"/>
  <c r="T36" i="4" s="1"/>
  <c r="S36" i="4" a="1"/>
  <c r="S36" i="4" s="1"/>
  <c r="R36" i="4" a="1"/>
  <c r="R36" i="4" s="1"/>
  <c r="Q36" i="4" a="1"/>
  <c r="Q36" i="4" s="1"/>
  <c r="P36" i="4" a="1"/>
  <c r="P36" i="4" s="1"/>
  <c r="O36" i="4" a="1"/>
  <c r="O36" i="4" s="1"/>
  <c r="N36" i="4" a="1"/>
  <c r="N36" i="4" s="1"/>
  <c r="M36" i="4" a="1"/>
  <c r="M36" i="4" s="1"/>
  <c r="L36" i="4" a="1"/>
  <c r="L36" i="4" s="1"/>
  <c r="K36" i="4" a="1"/>
  <c r="K36" i="4" s="1"/>
  <c r="J36" i="4" a="1"/>
  <c r="J36" i="4" s="1"/>
  <c r="I36" i="4" a="1"/>
  <c r="I36" i="4" s="1"/>
  <c r="H36" i="4" a="1"/>
  <c r="H36" i="4" s="1"/>
  <c r="G36" i="4" a="1"/>
  <c r="G36" i="4" s="1"/>
  <c r="F36" i="4" a="1"/>
  <c r="F36" i="4" s="1"/>
  <c r="E36" i="4" a="1"/>
  <c r="E36" i="4" s="1"/>
  <c r="D36" i="4" a="1"/>
  <c r="D36" i="4" s="1"/>
  <c r="C36" i="4" a="1"/>
  <c r="C36" i="4" s="1"/>
  <c r="B36" i="4" a="1"/>
  <c r="B36" i="4" s="1"/>
  <c r="A36" i="4" a="1"/>
  <c r="A36" i="4" s="1"/>
  <c r="AF35" i="4" a="1"/>
  <c r="AF35" i="4" s="1"/>
  <c r="AE35" i="4" a="1"/>
  <c r="AE35" i="4" s="1"/>
  <c r="AD35" i="4" a="1"/>
  <c r="AD35" i="4" s="1"/>
  <c r="AC35" i="4" a="1"/>
  <c r="AC35" i="4" s="1"/>
  <c r="AB35" i="4" a="1"/>
  <c r="AB35" i="4" s="1"/>
  <c r="AA35" i="4" a="1"/>
  <c r="AA35" i="4" s="1"/>
  <c r="Z35" i="4" a="1"/>
  <c r="Z35" i="4" s="1"/>
  <c r="Y35" i="4" a="1"/>
  <c r="Y35" i="4" s="1"/>
  <c r="X35" i="4" a="1"/>
  <c r="X35" i="4" s="1"/>
  <c r="W35" i="4" a="1"/>
  <c r="W35" i="4" s="1"/>
  <c r="V35" i="4" a="1"/>
  <c r="V35" i="4" s="1"/>
  <c r="U35" i="4" a="1"/>
  <c r="U35" i="4" s="1"/>
  <c r="T35" i="4" a="1"/>
  <c r="T35" i="4" s="1"/>
  <c r="S35" i="4" a="1"/>
  <c r="S35" i="4" s="1"/>
  <c r="R35" i="4" a="1"/>
  <c r="R35" i="4" s="1"/>
  <c r="Q35" i="4" a="1"/>
  <c r="Q35" i="4" s="1"/>
  <c r="P35" i="4" a="1"/>
  <c r="P35" i="4" s="1"/>
  <c r="O35" i="4" a="1"/>
  <c r="O35" i="4" s="1"/>
  <c r="N35" i="4" a="1"/>
  <c r="N35" i="4" s="1"/>
  <c r="M35" i="4" a="1"/>
  <c r="M35" i="4" s="1"/>
  <c r="L35" i="4" a="1"/>
  <c r="L35" i="4" s="1"/>
  <c r="K35" i="4" a="1"/>
  <c r="K35" i="4" s="1"/>
  <c r="J35" i="4" a="1"/>
  <c r="J35" i="4" s="1"/>
  <c r="I35" i="4" a="1"/>
  <c r="I35" i="4" s="1"/>
  <c r="H35" i="4" a="1"/>
  <c r="H35" i="4" s="1"/>
  <c r="G35" i="4" a="1"/>
  <c r="G35" i="4" s="1"/>
  <c r="F35" i="4" a="1"/>
  <c r="F35" i="4" s="1"/>
  <c r="E35" i="4" a="1"/>
  <c r="E35" i="4" s="1"/>
  <c r="D35" i="4" a="1"/>
  <c r="D35" i="4" s="1"/>
  <c r="C35" i="4" a="1"/>
  <c r="C35" i="4" s="1"/>
  <c r="B35" i="4" a="1"/>
  <c r="B35" i="4" s="1"/>
  <c r="A35" i="4" a="1"/>
  <c r="A35" i="4" s="1"/>
  <c r="AF34" i="4" a="1"/>
  <c r="AF34" i="4" s="1"/>
  <c r="AE34" i="4" a="1"/>
  <c r="AE34" i="4" s="1"/>
  <c r="AD34" i="4" a="1"/>
  <c r="AD34" i="4" s="1"/>
  <c r="AC34" i="4" a="1"/>
  <c r="AC34" i="4" s="1"/>
  <c r="AB34" i="4" a="1"/>
  <c r="AB34" i="4" s="1"/>
  <c r="AA34" i="4" a="1"/>
  <c r="AA34" i="4" s="1"/>
  <c r="Z34" i="4" a="1"/>
  <c r="Z34" i="4" s="1"/>
  <c r="Y34" i="4" a="1"/>
  <c r="Y34" i="4" s="1"/>
  <c r="X34" i="4" a="1"/>
  <c r="X34" i="4" s="1"/>
  <c r="W34" i="4" a="1"/>
  <c r="W34" i="4" s="1"/>
  <c r="V34" i="4" a="1"/>
  <c r="V34" i="4" s="1"/>
  <c r="U34" i="4" a="1"/>
  <c r="U34" i="4" s="1"/>
  <c r="T34" i="4" a="1"/>
  <c r="T34" i="4" s="1"/>
  <c r="S34" i="4" a="1"/>
  <c r="S34" i="4" s="1"/>
  <c r="R34" i="4" a="1"/>
  <c r="R34" i="4" s="1"/>
  <c r="Q34" i="4" a="1"/>
  <c r="Q34" i="4" s="1"/>
  <c r="P34" i="4" a="1"/>
  <c r="P34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I34" i="4" a="1"/>
  <c r="I34" i="4" s="1"/>
  <c r="H34" i="4" a="1"/>
  <c r="H34" i="4" s="1"/>
  <c r="G34" i="4" a="1"/>
  <c r="G34" i="4" s="1"/>
  <c r="F34" i="4" a="1"/>
  <c r="F34" i="4" s="1"/>
  <c r="E34" i="4" a="1"/>
  <c r="E34" i="4" s="1"/>
  <c r="D34" i="4" a="1"/>
  <c r="D34" i="4" s="1"/>
  <c r="C34" i="4" a="1"/>
  <c r="C34" i="4" s="1"/>
  <c r="B34" i="4" a="1"/>
  <c r="B34" i="4" s="1"/>
  <c r="A34" i="4" a="1"/>
  <c r="A34" i="4" s="1"/>
  <c r="AF33" i="4" a="1"/>
  <c r="AF33" i="4" s="1"/>
  <c r="AE33" i="4" a="1"/>
  <c r="AE33" i="4" s="1"/>
  <c r="AD33" i="4" a="1"/>
  <c r="AD33" i="4" s="1"/>
  <c r="AC33" i="4" a="1"/>
  <c r="AC33" i="4" s="1"/>
  <c r="AB33" i="4" a="1"/>
  <c r="AB33" i="4" s="1"/>
  <c r="AA33" i="4" a="1"/>
  <c r="AA33" i="4" s="1"/>
  <c r="Z33" i="4" a="1"/>
  <c r="Z33" i="4" s="1"/>
  <c r="Y33" i="4" a="1"/>
  <c r="Y33" i="4" s="1"/>
  <c r="X33" i="4" a="1"/>
  <c r="X33" i="4" s="1"/>
  <c r="W33" i="4" a="1"/>
  <c r="W33" i="4" s="1"/>
  <c r="V33" i="4" a="1"/>
  <c r="V33" i="4" s="1"/>
  <c r="U33" i="4" a="1"/>
  <c r="U33" i="4" s="1"/>
  <c r="T33" i="4" a="1"/>
  <c r="T33" i="4" s="1"/>
  <c r="S33" i="4" a="1"/>
  <c r="S33" i="4" s="1"/>
  <c r="R33" i="4" a="1"/>
  <c r="R33" i="4" s="1"/>
  <c r="Q33" i="4" a="1"/>
  <c r="Q33" i="4" s="1"/>
  <c r="P33" i="4" a="1"/>
  <c r="P33" i="4" s="1"/>
  <c r="O33" i="4" a="1"/>
  <c r="O33" i="4" s="1"/>
  <c r="N33" i="4" a="1"/>
  <c r="N33" i="4" s="1"/>
  <c r="M33" i="4" a="1"/>
  <c r="M33" i="4" s="1"/>
  <c r="L33" i="4" a="1"/>
  <c r="L33" i="4" s="1"/>
  <c r="K33" i="4" a="1"/>
  <c r="K33" i="4" s="1"/>
  <c r="J33" i="4" a="1"/>
  <c r="J33" i="4" s="1"/>
  <c r="I33" i="4" a="1"/>
  <c r="I33" i="4" s="1"/>
  <c r="H33" i="4" a="1"/>
  <c r="H33" i="4" s="1"/>
  <c r="G33" i="4" a="1"/>
  <c r="G33" i="4" s="1"/>
  <c r="F33" i="4" a="1"/>
  <c r="F33" i="4" s="1"/>
  <c r="E33" i="4" a="1"/>
  <c r="E33" i="4" s="1"/>
  <c r="D33" i="4" a="1"/>
  <c r="D33" i="4" s="1"/>
  <c r="C33" i="4" a="1"/>
  <c r="C33" i="4" s="1"/>
  <c r="B33" i="4" a="1"/>
  <c r="B33" i="4" s="1"/>
  <c r="A33" i="4" a="1"/>
  <c r="A33" i="4" s="1"/>
  <c r="AF32" i="4" a="1"/>
  <c r="AF32" i="4" s="1"/>
  <c r="AE32" i="4" a="1"/>
  <c r="AE32" i="4" s="1"/>
  <c r="AD32" i="4" a="1"/>
  <c r="AD32" i="4" s="1"/>
  <c r="AC32" i="4" a="1"/>
  <c r="AC32" i="4" s="1"/>
  <c r="AB32" i="4" a="1"/>
  <c r="AB32" i="4" s="1"/>
  <c r="AA32" i="4" a="1"/>
  <c r="AA32" i="4" s="1"/>
  <c r="Z32" i="4" a="1"/>
  <c r="Z32" i="4" s="1"/>
  <c r="Y32" i="4" a="1"/>
  <c r="Y32" i="4" s="1"/>
  <c r="X32" i="4" a="1"/>
  <c r="X32" i="4" s="1"/>
  <c r="W32" i="4" a="1"/>
  <c r="W32" i="4" s="1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Q32" i="4" a="1"/>
  <c r="Q32" i="4" s="1"/>
  <c r="P32" i="4" a="1"/>
  <c r="P32" i="4" s="1"/>
  <c r="O32" i="4" a="1"/>
  <c r="O32" i="4" s="1"/>
  <c r="N32" i="4" a="1"/>
  <c r="N32" i="4" s="1"/>
  <c r="M32" i="4" a="1"/>
  <c r="M32" i="4" s="1"/>
  <c r="L32" i="4" a="1"/>
  <c r="L32" i="4" s="1"/>
  <c r="K32" i="4" a="1"/>
  <c r="K32" i="4" s="1"/>
  <c r="J32" i="4" a="1"/>
  <c r="J32" i="4" s="1"/>
  <c r="I32" i="4" a="1"/>
  <c r="I32" i="4" s="1"/>
  <c r="H32" i="4" a="1"/>
  <c r="H32" i="4" s="1"/>
  <c r="G32" i="4" a="1"/>
  <c r="G32" i="4" s="1"/>
  <c r="F32" i="4" a="1"/>
  <c r="F32" i="4" s="1"/>
  <c r="E32" i="4" a="1"/>
  <c r="E32" i="4" s="1"/>
  <c r="D32" i="4" a="1"/>
  <c r="D32" i="4" s="1"/>
  <c r="C32" i="4" a="1"/>
  <c r="C32" i="4" s="1"/>
  <c r="B32" i="4" a="1"/>
  <c r="B32" i="4" s="1"/>
  <c r="A32" i="4" a="1"/>
  <c r="A32" i="4" s="1"/>
  <c r="AF31" i="4" a="1"/>
  <c r="AF31" i="4" s="1"/>
  <c r="AE31" i="4" a="1"/>
  <c r="AE31" i="4" s="1"/>
  <c r="AD31" i="4" a="1"/>
  <c r="AD31" i="4" s="1"/>
  <c r="AC31" i="4" a="1"/>
  <c r="AC31" i="4" s="1"/>
  <c r="AB31" i="4" a="1"/>
  <c r="AB31" i="4" s="1"/>
  <c r="AA31" i="4" a="1"/>
  <c r="AA31" i="4" s="1"/>
  <c r="Z31" i="4" a="1"/>
  <c r="Z31" i="4" s="1"/>
  <c r="Y31" i="4" a="1"/>
  <c r="Y31" i="4" s="1"/>
  <c r="X31" i="4" a="1"/>
  <c r="X31" i="4" s="1"/>
  <c r="W31" i="4" a="1"/>
  <c r="W31" i="4" s="1"/>
  <c r="V31" i="4" a="1"/>
  <c r="V31" i="4" s="1"/>
  <c r="U31" i="4" a="1"/>
  <c r="U31" i="4" s="1"/>
  <c r="T31" i="4" a="1"/>
  <c r="T31" i="4" s="1"/>
  <c r="S31" i="4" a="1"/>
  <c r="S31" i="4" s="1"/>
  <c r="R31" i="4" a="1"/>
  <c r="R31" i="4" s="1"/>
  <c r="Q31" i="4" a="1"/>
  <c r="Q31" i="4" s="1"/>
  <c r="P31" i="4" a="1"/>
  <c r="P31" i="4" s="1"/>
  <c r="O31" i="4" a="1"/>
  <c r="O31" i="4" s="1"/>
  <c r="N31" i="4" a="1"/>
  <c r="N31" i="4" s="1"/>
  <c r="M31" i="4" a="1"/>
  <c r="M31" i="4" s="1"/>
  <c r="L31" i="4" a="1"/>
  <c r="L31" i="4" s="1"/>
  <c r="K31" i="4" a="1"/>
  <c r="K31" i="4" s="1"/>
  <c r="J31" i="4" a="1"/>
  <c r="J31" i="4" s="1"/>
  <c r="I31" i="4" a="1"/>
  <c r="I31" i="4" s="1"/>
  <c r="H31" i="4" a="1"/>
  <c r="H31" i="4" s="1"/>
  <c r="G31" i="4" a="1"/>
  <c r="G31" i="4" s="1"/>
  <c r="F31" i="4" a="1"/>
  <c r="F31" i="4" s="1"/>
  <c r="E31" i="4" a="1"/>
  <c r="E31" i="4" s="1"/>
  <c r="D31" i="4" a="1"/>
  <c r="D31" i="4" s="1"/>
  <c r="C31" i="4" a="1"/>
  <c r="C31" i="4" s="1"/>
  <c r="B31" i="4" a="1"/>
  <c r="B31" i="4" s="1"/>
  <c r="A31" i="4" a="1"/>
  <c r="A31" i="4" s="1"/>
  <c r="AF30" i="4" a="1"/>
  <c r="AF30" i="4" s="1"/>
  <c r="AE30" i="4" a="1"/>
  <c r="AE30" i="4" s="1"/>
  <c r="AD30" i="4" a="1"/>
  <c r="AD30" i="4" s="1"/>
  <c r="AC30" i="4" a="1"/>
  <c r="AC30" i="4" s="1"/>
  <c r="AB30" i="4" a="1"/>
  <c r="AB30" i="4" s="1"/>
  <c r="AA30" i="4" a="1"/>
  <c r="AA30" i="4" s="1"/>
  <c r="Z30" i="4" a="1"/>
  <c r="Z30" i="4" s="1"/>
  <c r="Y30" i="4" a="1"/>
  <c r="Y30" i="4" s="1"/>
  <c r="X30" i="4" a="1"/>
  <c r="X30" i="4" s="1"/>
  <c r="W30" i="4" a="1"/>
  <c r="W30" i="4" s="1"/>
  <c r="V30" i="4" a="1"/>
  <c r="V30" i="4" s="1"/>
  <c r="U30" i="4" a="1"/>
  <c r="U30" i="4" s="1"/>
  <c r="T30" i="4" a="1"/>
  <c r="T30" i="4" s="1"/>
  <c r="S30" i="4" a="1"/>
  <c r="S30" i="4" s="1"/>
  <c r="R30" i="4" a="1"/>
  <c r="R30" i="4" s="1"/>
  <c r="Q30" i="4" a="1"/>
  <c r="Q30" i="4" s="1"/>
  <c r="P30" i="4" a="1"/>
  <c r="P30" i="4" s="1"/>
  <c r="O30" i="4" a="1"/>
  <c r="O30" i="4" s="1"/>
  <c r="N30" i="4" a="1"/>
  <c r="N30" i="4" s="1"/>
  <c r="M30" i="4" a="1"/>
  <c r="M30" i="4" s="1"/>
  <c r="L30" i="4" a="1"/>
  <c r="L30" i="4" s="1"/>
  <c r="K30" i="4" a="1"/>
  <c r="K30" i="4" s="1"/>
  <c r="J30" i="4" a="1"/>
  <c r="J30" i="4" s="1"/>
  <c r="I30" i="4" a="1"/>
  <c r="I30" i="4" s="1"/>
  <c r="H30" i="4" a="1"/>
  <c r="H30" i="4" s="1"/>
  <c r="G30" i="4" a="1"/>
  <c r="G30" i="4" s="1"/>
  <c r="F30" i="4" a="1"/>
  <c r="F30" i="4" s="1"/>
  <c r="E30" i="4" a="1"/>
  <c r="E30" i="4" s="1"/>
  <c r="D30" i="4" a="1"/>
  <c r="D30" i="4" s="1"/>
  <c r="C30" i="4" a="1"/>
  <c r="C30" i="4" s="1"/>
  <c r="B30" i="4" a="1"/>
  <c r="B30" i="4" s="1"/>
  <c r="A30" i="4" a="1"/>
  <c r="A30" i="4" s="1"/>
  <c r="AF29" i="4" a="1"/>
  <c r="AF29" i="4" s="1"/>
  <c r="AE29" i="4" a="1"/>
  <c r="AE29" i="4" s="1"/>
  <c r="AD29" i="4" a="1"/>
  <c r="AD29" i="4" s="1"/>
  <c r="AC29" i="4" a="1"/>
  <c r="AC29" i="4" s="1"/>
  <c r="AB29" i="4" a="1"/>
  <c r="AB29" i="4" s="1"/>
  <c r="AA29" i="4" a="1"/>
  <c r="AA29" i="4" s="1"/>
  <c r="Z29" i="4" a="1"/>
  <c r="Z29" i="4" s="1"/>
  <c r="Y29" i="4" a="1"/>
  <c r="Y29" i="4" s="1"/>
  <c r="X29" i="4" a="1"/>
  <c r="X29" i="4" s="1"/>
  <c r="W29" i="4" a="1"/>
  <c r="W29" i="4" s="1"/>
  <c r="V29" i="4" a="1"/>
  <c r="V29" i="4" s="1"/>
  <c r="U29" i="4" a="1"/>
  <c r="U29" i="4" s="1"/>
  <c r="T29" i="4" a="1"/>
  <c r="T29" i="4" s="1"/>
  <c r="S29" i="4" a="1"/>
  <c r="S29" i="4" s="1"/>
  <c r="R29" i="4" a="1"/>
  <c r="R29" i="4" s="1"/>
  <c r="Q29" i="4" a="1"/>
  <c r="Q29" i="4" s="1"/>
  <c r="P29" i="4" a="1"/>
  <c r="P29" i="4" s="1"/>
  <c r="O29" i="4" a="1"/>
  <c r="O29" i="4" s="1"/>
  <c r="N29" i="4" a="1"/>
  <c r="N29" i="4" s="1"/>
  <c r="M29" i="4" a="1"/>
  <c r="M29" i="4" s="1"/>
  <c r="L29" i="4" a="1"/>
  <c r="L29" i="4" s="1"/>
  <c r="K29" i="4" a="1"/>
  <c r="K29" i="4" s="1"/>
  <c r="J29" i="4" a="1"/>
  <c r="J29" i="4" s="1"/>
  <c r="I29" i="4" a="1"/>
  <c r="I29" i="4" s="1"/>
  <c r="H29" i="4" a="1"/>
  <c r="H29" i="4" s="1"/>
  <c r="G29" i="4" a="1"/>
  <c r="G29" i="4" s="1"/>
  <c r="F29" i="4" a="1"/>
  <c r="F29" i="4" s="1"/>
  <c r="E29" i="4" a="1"/>
  <c r="E29" i="4" s="1"/>
  <c r="D29" i="4" a="1"/>
  <c r="D29" i="4" s="1"/>
  <c r="C29" i="4" a="1"/>
  <c r="C29" i="4" s="1"/>
  <c r="B29" i="4" a="1"/>
  <c r="B29" i="4" s="1"/>
  <c r="A29" i="4" a="1"/>
  <c r="A29" i="4" s="1"/>
  <c r="AF28" i="4" a="1"/>
  <c r="AF28" i="4" s="1"/>
  <c r="AE28" i="4" a="1"/>
  <c r="AE28" i="4" s="1"/>
  <c r="AD28" i="4" a="1"/>
  <c r="AD28" i="4" s="1"/>
  <c r="AC28" i="4" a="1"/>
  <c r="AC28" i="4" s="1"/>
  <c r="AB28" i="4" a="1"/>
  <c r="AB28" i="4" s="1"/>
  <c r="AA28" i="4" a="1"/>
  <c r="AA28" i="4" s="1"/>
  <c r="Z28" i="4" a="1"/>
  <c r="Z28" i="4" s="1"/>
  <c r="Y28" i="4" a="1"/>
  <c r="Y28" i="4" s="1"/>
  <c r="X28" i="4" a="1"/>
  <c r="X28" i="4" s="1"/>
  <c r="W28" i="4" a="1"/>
  <c r="W28" i="4" s="1"/>
  <c r="V28" i="4" a="1"/>
  <c r="V28" i="4" s="1"/>
  <c r="U28" i="4" a="1"/>
  <c r="U28" i="4" s="1"/>
  <c r="T28" i="4" a="1"/>
  <c r="T28" i="4" s="1"/>
  <c r="S28" i="4" a="1"/>
  <c r="S28" i="4" s="1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F28" i="4" a="1"/>
  <c r="F28" i="4" s="1"/>
  <c r="E28" i="4" a="1"/>
  <c r="E28" i="4" s="1"/>
  <c r="D28" i="4" a="1"/>
  <c r="D28" i="4" s="1"/>
  <c r="C28" i="4" a="1"/>
  <c r="C28" i="4" s="1"/>
  <c r="B28" i="4" a="1"/>
  <c r="B28" i="4" s="1"/>
  <c r="A28" i="4" a="1"/>
  <c r="A28" i="4" s="1"/>
  <c r="AF27" i="4" a="1"/>
  <c r="AF27" i="4" s="1"/>
  <c r="AE27" i="4" a="1"/>
  <c r="AE27" i="4" s="1"/>
  <c r="AD27" i="4" a="1"/>
  <c r="AD27" i="4" s="1"/>
  <c r="AC27" i="4" a="1"/>
  <c r="AC27" i="4" s="1"/>
  <c r="AB27" i="4" a="1"/>
  <c r="AB27" i="4" s="1"/>
  <c r="AA27" i="4" a="1"/>
  <c r="AA27" i="4" s="1"/>
  <c r="Z27" i="4" a="1"/>
  <c r="Z27" i="4" s="1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T27" i="4" a="1"/>
  <c r="T27" i="4" s="1"/>
  <c r="S27" i="4" a="1"/>
  <c r="S27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F27" i="4" a="1"/>
  <c r="F27" i="4" s="1"/>
  <c r="E27" i="4" a="1"/>
  <c r="E27" i="4" s="1"/>
  <c r="D27" i="4" a="1"/>
  <c r="D27" i="4" s="1"/>
  <c r="C27" i="4" a="1"/>
  <c r="C27" i="4" s="1"/>
  <c r="B27" i="4" a="1"/>
  <c r="B27" i="4" s="1"/>
  <c r="A27" i="4" a="1"/>
  <c r="A27" i="4" s="1"/>
  <c r="AF26" i="4" a="1"/>
  <c r="AF26" i="4" s="1"/>
  <c r="AE26" i="4" a="1"/>
  <c r="AE26" i="4" s="1"/>
  <c r="AD26" i="4" a="1"/>
  <c r="AD26" i="4" s="1"/>
  <c r="AC26" i="4" a="1"/>
  <c r="AC26" i="4" s="1"/>
  <c r="AB26" i="4" a="1"/>
  <c r="AB26" i="4" s="1"/>
  <c r="AA26" i="4" a="1"/>
  <c r="AA26" i="4" s="1"/>
  <c r="Z26" i="4" a="1"/>
  <c r="Z26" i="4" s="1"/>
  <c r="Y26" i="4" a="1"/>
  <c r="Y26" i="4" s="1"/>
  <c r="X26" i="4" a="1"/>
  <c r="X26" i="4" s="1"/>
  <c r="W26" i="4" a="1"/>
  <c r="W26" i="4" s="1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F26" i="4" a="1"/>
  <c r="F26" i="4" s="1"/>
  <c r="E26" i="4" a="1"/>
  <c r="E26" i="4" s="1"/>
  <c r="D26" i="4" a="1"/>
  <c r="D26" i="4" s="1"/>
  <c r="C26" i="4" a="1"/>
  <c r="C26" i="4" s="1"/>
  <c r="B26" i="4" a="1"/>
  <c r="B26" i="4" s="1"/>
  <c r="A26" i="4" a="1"/>
  <c r="A26" i="4" s="1"/>
  <c r="AF25" i="4" a="1"/>
  <c r="AF25" i="4" s="1"/>
  <c r="AE25" i="4" a="1"/>
  <c r="AE25" i="4" s="1"/>
  <c r="AD25" i="4" a="1"/>
  <c r="AD25" i="4" s="1"/>
  <c r="AC25" i="4" a="1"/>
  <c r="AC25" i="4" s="1"/>
  <c r="AB25" i="4" a="1"/>
  <c r="AB25" i="4" s="1"/>
  <c r="AA25" i="4" a="1"/>
  <c r="AA25" i="4" s="1"/>
  <c r="Z25" i="4" a="1"/>
  <c r="Z25" i="4" s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T25" i="4" a="1"/>
  <c r="T25" i="4" s="1"/>
  <c r="S25" i="4" a="1"/>
  <c r="S25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E25" i="4" a="1"/>
  <c r="E25" i="4" s="1"/>
  <c r="D25" i="4" a="1"/>
  <c r="D25" i="4" s="1"/>
  <c r="C25" i="4" a="1"/>
  <c r="C25" i="4" s="1"/>
  <c r="B25" i="4" a="1"/>
  <c r="B25" i="4" s="1"/>
  <c r="A25" i="4" a="1"/>
  <c r="A25" i="4" s="1"/>
  <c r="AF24" i="4" a="1"/>
  <c r="AF24" i="4" s="1"/>
  <c r="AE24" i="4" a="1"/>
  <c r="AE24" i="4" s="1"/>
  <c r="AD24" i="4" a="1"/>
  <c r="AD24" i="4" s="1"/>
  <c r="AC24" i="4" a="1"/>
  <c r="AC24" i="4" s="1"/>
  <c r="AB24" i="4" a="1"/>
  <c r="AB24" i="4" s="1"/>
  <c r="AA24" i="4" a="1"/>
  <c r="AA24" i="4" s="1"/>
  <c r="Z24" i="4" a="1"/>
  <c r="Z24" i="4" s="1"/>
  <c r="Y24" i="4" a="1"/>
  <c r="Y24" i="4" s="1"/>
  <c r="X24" i="4" a="1"/>
  <c r="X24" i="4" s="1"/>
  <c r="W24" i="4" a="1"/>
  <c r="W24" i="4" s="1"/>
  <c r="V24" i="4" a="1"/>
  <c r="V24" i="4" s="1"/>
  <c r="U24" i="4" a="1"/>
  <c r="U24" i="4" s="1"/>
  <c r="T24" i="4" a="1"/>
  <c r="T24" i="4" s="1"/>
  <c r="S24" i="4" a="1"/>
  <c r="S24" i="4" s="1"/>
  <c r="R24" i="4" a="1"/>
  <c r="R24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F24" i="4" a="1"/>
  <c r="F24" i="4" s="1"/>
  <c r="E24" i="4" a="1"/>
  <c r="E24" i="4" s="1"/>
  <c r="D24" i="4" a="1"/>
  <c r="D24" i="4" s="1"/>
  <c r="C24" i="4" a="1"/>
  <c r="C24" i="4" s="1"/>
  <c r="B24" i="4" a="1"/>
  <c r="B24" i="4" s="1"/>
  <c r="A24" i="4" a="1"/>
  <c r="A24" i="4" s="1"/>
  <c r="AF23" i="4" a="1"/>
  <c r="AF23" i="4" s="1"/>
  <c r="AE23" i="4" a="1"/>
  <c r="AE23" i="4" s="1"/>
  <c r="AD23" i="4" a="1"/>
  <c r="AD23" i="4" s="1"/>
  <c r="AC23" i="4" a="1"/>
  <c r="AC23" i="4" s="1"/>
  <c r="AB23" i="4" a="1"/>
  <c r="AB23" i="4" s="1"/>
  <c r="AA23" i="4" a="1"/>
  <c r="AA23" i="4" s="1"/>
  <c r="Z23" i="4" a="1"/>
  <c r="Z23" i="4" s="1"/>
  <c r="Y23" i="4" a="1"/>
  <c r="Y23" i="4" s="1"/>
  <c r="X23" i="4" a="1"/>
  <c r="X23" i="4" s="1"/>
  <c r="W23" i="4" a="1"/>
  <c r="W23" i="4" s="1"/>
  <c r="V23" i="4" a="1"/>
  <c r="V23" i="4" s="1"/>
  <c r="U23" i="4" a="1"/>
  <c r="U23" i="4" s="1"/>
  <c r="T23" i="4" a="1"/>
  <c r="T23" i="4" s="1"/>
  <c r="S23" i="4" a="1"/>
  <c r="S23" i="4" s="1"/>
  <c r="R23" i="4" a="1"/>
  <c r="R23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F23" i="4" a="1"/>
  <c r="F23" i="4" s="1"/>
  <c r="E23" i="4" a="1"/>
  <c r="E23" i="4" s="1"/>
  <c r="D23" i="4" a="1"/>
  <c r="D23" i="4" s="1"/>
  <c r="C23" i="4" a="1"/>
  <c r="C23" i="4" s="1"/>
  <c r="B23" i="4" a="1"/>
  <c r="B23" i="4" s="1"/>
  <c r="A23" i="4" a="1"/>
  <c r="A23" i="4" s="1"/>
  <c r="AF22" i="4" a="1"/>
  <c r="AF22" i="4" s="1"/>
  <c r="AE22" i="4" a="1"/>
  <c r="AE22" i="4" s="1"/>
  <c r="AD22" i="4" a="1"/>
  <c r="AD22" i="4" s="1"/>
  <c r="AC22" i="4" a="1"/>
  <c r="AC22" i="4" s="1"/>
  <c r="AB22" i="4" a="1"/>
  <c r="AB22" i="4" s="1"/>
  <c r="AA22" i="4" a="1"/>
  <c r="AA22" i="4" s="1"/>
  <c r="Z22" i="4" a="1"/>
  <c r="Z22" i="4" s="1"/>
  <c r="Y22" i="4" a="1"/>
  <c r="Y22" i="4" s="1"/>
  <c r="X22" i="4" a="1"/>
  <c r="X22" i="4" s="1"/>
  <c r="W22" i="4" a="1"/>
  <c r="W22" i="4" s="1"/>
  <c r="V22" i="4" a="1"/>
  <c r="V22" i="4" s="1"/>
  <c r="U22" i="4" a="1"/>
  <c r="U22" i="4" s="1"/>
  <c r="T22" i="4" a="1"/>
  <c r="T22" i="4" s="1"/>
  <c r="S22" i="4" a="1"/>
  <c r="S22" i="4" s="1"/>
  <c r="R22" i="4" a="1"/>
  <c r="R22" i="4" s="1"/>
  <c r="Q22" i="4" a="1"/>
  <c r="Q22" i="4" s="1"/>
  <c r="P22" i="4" a="1"/>
  <c r="P22" i="4" s="1"/>
  <c r="O22" i="4" a="1"/>
  <c r="O22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I22" i="4" a="1"/>
  <c r="I22" i="4" s="1"/>
  <c r="H22" i="4" a="1"/>
  <c r="H22" i="4" s="1"/>
  <c r="G22" i="4" a="1"/>
  <c r="G22" i="4" s="1"/>
  <c r="F22" i="4" a="1"/>
  <c r="F22" i="4" s="1"/>
  <c r="E22" i="4" a="1"/>
  <c r="E22" i="4" s="1"/>
  <c r="D22" i="4" a="1"/>
  <c r="D22" i="4" s="1"/>
  <c r="C22" i="4" a="1"/>
  <c r="C22" i="4" s="1"/>
  <c r="B22" i="4" a="1"/>
  <c r="B22" i="4" s="1"/>
  <c r="A22" i="4" a="1"/>
  <c r="A22" i="4" s="1"/>
  <c r="AF21" i="4" a="1"/>
  <c r="AF21" i="4" s="1"/>
  <c r="AE21" i="4" a="1"/>
  <c r="AE21" i="4" s="1"/>
  <c r="AD21" i="4" a="1"/>
  <c r="AD21" i="4" s="1"/>
  <c r="AC21" i="4" a="1"/>
  <c r="AC21" i="4" s="1"/>
  <c r="AB21" i="4" a="1"/>
  <c r="AB21" i="4" s="1"/>
  <c r="AA21" i="4" a="1"/>
  <c r="AA21" i="4" s="1"/>
  <c r="Z21" i="4" a="1"/>
  <c r="Z21" i="4" s="1"/>
  <c r="Y21" i="4" a="1"/>
  <c r="Y21" i="4" s="1"/>
  <c r="X21" i="4" a="1"/>
  <c r="X21" i="4" s="1"/>
  <c r="W21" i="4" a="1"/>
  <c r="W21" i="4" s="1"/>
  <c r="V21" i="4" a="1"/>
  <c r="V21" i="4" s="1"/>
  <c r="U21" i="4" a="1"/>
  <c r="U21" i="4" s="1"/>
  <c r="T21" i="4" a="1"/>
  <c r="T21" i="4" s="1"/>
  <c r="S21" i="4" a="1"/>
  <c r="S21" i="4" s="1"/>
  <c r="R21" i="4" a="1"/>
  <c r="R21" i="4" s="1"/>
  <c r="Q21" i="4" a="1"/>
  <c r="Q21" i="4" s="1"/>
  <c r="P21" i="4" a="1"/>
  <c r="P21" i="4" s="1"/>
  <c r="O21" i="4" a="1"/>
  <c r="O21" i="4" s="1"/>
  <c r="N21" i="4" a="1"/>
  <c r="N21" i="4" s="1"/>
  <c r="M21" i="4" a="1"/>
  <c r="M21" i="4" s="1"/>
  <c r="L21" i="4" a="1"/>
  <c r="L21" i="4" s="1"/>
  <c r="K21" i="4" a="1"/>
  <c r="K21" i="4" s="1"/>
  <c r="J21" i="4" a="1"/>
  <c r="J21" i="4" s="1"/>
  <c r="I21" i="4" a="1"/>
  <c r="I21" i="4" s="1"/>
  <c r="H21" i="4" a="1"/>
  <c r="H21" i="4" s="1"/>
  <c r="G21" i="4" a="1"/>
  <c r="G21" i="4" s="1"/>
  <c r="F21" i="4" a="1"/>
  <c r="F21" i="4" s="1"/>
  <c r="E21" i="4" a="1"/>
  <c r="E21" i="4" s="1"/>
  <c r="D21" i="4" a="1"/>
  <c r="D21" i="4" s="1"/>
  <c r="C21" i="4" a="1"/>
  <c r="C21" i="4" s="1"/>
  <c r="B21" i="4" a="1"/>
  <c r="B21" i="4" s="1"/>
  <c r="A21" i="4" a="1"/>
  <c r="A21" i="4" s="1"/>
  <c r="AF20" i="4" a="1"/>
  <c r="AF20" i="4" s="1"/>
  <c r="AE20" i="4" a="1"/>
  <c r="AE20" i="4" s="1"/>
  <c r="AD20" i="4" a="1"/>
  <c r="AD20" i="4" s="1"/>
  <c r="AC20" i="4" a="1"/>
  <c r="AC20" i="4" s="1"/>
  <c r="AB20" i="4" a="1"/>
  <c r="AB20" i="4" s="1"/>
  <c r="AA20" i="4" a="1"/>
  <c r="AA20" i="4" s="1"/>
  <c r="Z20" i="4" a="1"/>
  <c r="Z20" i="4" s="1"/>
  <c r="Y20" i="4" a="1"/>
  <c r="Y20" i="4" s="1"/>
  <c r="X20" i="4" a="1"/>
  <c r="X20" i="4" s="1"/>
  <c r="W20" i="4" a="1"/>
  <c r="W20" i="4" s="1"/>
  <c r="V20" i="4" a="1"/>
  <c r="V20" i="4" s="1"/>
  <c r="U20" i="4" a="1"/>
  <c r="U20" i="4" s="1"/>
  <c r="T20" i="4" a="1"/>
  <c r="T20" i="4" s="1"/>
  <c r="S20" i="4" a="1"/>
  <c r="S20" i="4" s="1"/>
  <c r="R20" i="4" a="1"/>
  <c r="R20" i="4" s="1"/>
  <c r="Q20" i="4" a="1"/>
  <c r="Q20" i="4" s="1"/>
  <c r="P20" i="4" a="1"/>
  <c r="P20" i="4" s="1"/>
  <c r="O20" i="4" a="1"/>
  <c r="O20" i="4" s="1"/>
  <c r="N20" i="4" a="1"/>
  <c r="N20" i="4" s="1"/>
  <c r="M20" i="4" a="1"/>
  <c r="M20" i="4" s="1"/>
  <c r="L20" i="4" a="1"/>
  <c r="L20" i="4" s="1"/>
  <c r="K20" i="4" a="1"/>
  <c r="K20" i="4" s="1"/>
  <c r="J20" i="4" a="1"/>
  <c r="J20" i="4" s="1"/>
  <c r="I20" i="4" a="1"/>
  <c r="I20" i="4" s="1"/>
  <c r="H20" i="4" a="1"/>
  <c r="H20" i="4" s="1"/>
  <c r="G20" i="4" a="1"/>
  <c r="G20" i="4" s="1"/>
  <c r="F20" i="4" a="1"/>
  <c r="F20" i="4" s="1"/>
  <c r="E20" i="4" a="1"/>
  <c r="E20" i="4" s="1"/>
  <c r="D20" i="4" a="1"/>
  <c r="D20" i="4" s="1"/>
  <c r="C20" i="4" a="1"/>
  <c r="C20" i="4" s="1"/>
  <c r="B20" i="4" a="1"/>
  <c r="B20" i="4" s="1"/>
  <c r="A20" i="4" a="1"/>
  <c r="A20" i="4" s="1"/>
  <c r="AF19" i="4" a="1"/>
  <c r="AF19" i="4" s="1"/>
  <c r="AE19" i="4" a="1"/>
  <c r="AE19" i="4" s="1"/>
  <c r="AD19" i="4" a="1"/>
  <c r="AD19" i="4" s="1"/>
  <c r="AC19" i="4" a="1"/>
  <c r="AC19" i="4" s="1"/>
  <c r="AB19" i="4" a="1"/>
  <c r="AB19" i="4" s="1"/>
  <c r="AA19" i="4" a="1"/>
  <c r="AA19" i="4" s="1"/>
  <c r="Z19" i="4" a="1"/>
  <c r="Z19" i="4" s="1"/>
  <c r="Y19" i="4" a="1"/>
  <c r="Y19" i="4" s="1"/>
  <c r="X19" i="4" a="1"/>
  <c r="X19" i="4" s="1"/>
  <c r="W19" i="4" a="1"/>
  <c r="W19" i="4" s="1"/>
  <c r="V19" i="4" a="1"/>
  <c r="V19" i="4" s="1"/>
  <c r="U19" i="4" a="1"/>
  <c r="U19" i="4" s="1"/>
  <c r="T19" i="4" a="1"/>
  <c r="T19" i="4" s="1"/>
  <c r="S19" i="4" a="1"/>
  <c r="S19" i="4" s="1"/>
  <c r="R19" i="4" a="1"/>
  <c r="R19" i="4" s="1"/>
  <c r="Q19" i="4" a="1"/>
  <c r="Q19" i="4" s="1"/>
  <c r="P19" i="4" a="1"/>
  <c r="P19" i="4" s="1"/>
  <c r="O19" i="4" a="1"/>
  <c r="O19" i="4" s="1"/>
  <c r="N19" i="4" a="1"/>
  <c r="N19" i="4" s="1"/>
  <c r="M19" i="4" a="1"/>
  <c r="M19" i="4" s="1"/>
  <c r="L19" i="4" a="1"/>
  <c r="L19" i="4" s="1"/>
  <c r="K19" i="4" a="1"/>
  <c r="K19" i="4" s="1"/>
  <c r="J19" i="4" a="1"/>
  <c r="J19" i="4" s="1"/>
  <c r="I19" i="4" a="1"/>
  <c r="I19" i="4" s="1"/>
  <c r="H19" i="4" a="1"/>
  <c r="H19" i="4" s="1"/>
  <c r="G19" i="4" a="1"/>
  <c r="G19" i="4" s="1"/>
  <c r="F19" i="4" a="1"/>
  <c r="F19" i="4" s="1"/>
  <c r="E19" i="4" a="1"/>
  <c r="E19" i="4" s="1"/>
  <c r="D19" i="4" a="1"/>
  <c r="D19" i="4" s="1"/>
  <c r="C19" i="4" a="1"/>
  <c r="C19" i="4" s="1"/>
  <c r="B19" i="4" a="1"/>
  <c r="B19" i="4" s="1"/>
  <c r="A19" i="4" a="1"/>
  <c r="A19" i="4" s="1"/>
  <c r="AF18" i="4" a="1"/>
  <c r="AF18" i="4" s="1"/>
  <c r="AE18" i="4" a="1"/>
  <c r="AE18" i="4" s="1"/>
  <c r="AD18" i="4" a="1"/>
  <c r="AD18" i="4" s="1"/>
  <c r="AC18" i="4" a="1"/>
  <c r="AC18" i="4" s="1"/>
  <c r="AB18" i="4" a="1"/>
  <c r="AB18" i="4" s="1"/>
  <c r="AA18" i="4" a="1"/>
  <c r="AA18" i="4" s="1"/>
  <c r="Z18" i="4" a="1"/>
  <c r="Z18" i="4" s="1"/>
  <c r="Y18" i="4" a="1"/>
  <c r="Y18" i="4" s="1"/>
  <c r="X18" i="4" a="1"/>
  <c r="X18" i="4" s="1"/>
  <c r="W18" i="4" a="1"/>
  <c r="W18" i="4" s="1"/>
  <c r="V18" i="4" a="1"/>
  <c r="V18" i="4" s="1"/>
  <c r="U18" i="4" a="1"/>
  <c r="U18" i="4" s="1"/>
  <c r="T18" i="4" a="1"/>
  <c r="T18" i="4" s="1"/>
  <c r="S18" i="4" a="1"/>
  <c r="S18" i="4" s="1"/>
  <c r="R18" i="4" a="1"/>
  <c r="R18" i="4" s="1"/>
  <c r="Q18" i="4" a="1"/>
  <c r="Q18" i="4" s="1"/>
  <c r="P18" i="4" a="1"/>
  <c r="P18" i="4" s="1"/>
  <c r="O18" i="4" a="1"/>
  <c r="O18" i="4" s="1"/>
  <c r="N18" i="4" a="1"/>
  <c r="N18" i="4" s="1"/>
  <c r="M18" i="4" a="1"/>
  <c r="M18" i="4" s="1"/>
  <c r="L18" i="4" a="1"/>
  <c r="L18" i="4" s="1"/>
  <c r="K18" i="4" a="1"/>
  <c r="K18" i="4" s="1"/>
  <c r="J18" i="4" a="1"/>
  <c r="J18" i="4" s="1"/>
  <c r="I18" i="4" a="1"/>
  <c r="I18" i="4" s="1"/>
  <c r="H18" i="4" a="1"/>
  <c r="H18" i="4" s="1"/>
  <c r="G18" i="4" a="1"/>
  <c r="G18" i="4" s="1"/>
  <c r="F18" i="4" a="1"/>
  <c r="F18" i="4" s="1"/>
  <c r="E18" i="4" a="1"/>
  <c r="E18" i="4" s="1"/>
  <c r="D18" i="4" a="1"/>
  <c r="D18" i="4" s="1"/>
  <c r="C18" i="4" a="1"/>
  <c r="C18" i="4" s="1"/>
  <c r="B18" i="4" a="1"/>
  <c r="B18" i="4" s="1"/>
  <c r="A18" i="4" a="1"/>
  <c r="A18" i="4" s="1"/>
  <c r="AF17" i="4" a="1"/>
  <c r="AF17" i="4" s="1"/>
  <c r="AE17" i="4" a="1"/>
  <c r="AE17" i="4" s="1"/>
  <c r="AD17" i="4" a="1"/>
  <c r="AD17" i="4" s="1"/>
  <c r="AC17" i="4" a="1"/>
  <c r="AC17" i="4" s="1"/>
  <c r="AB17" i="4" a="1"/>
  <c r="AB17" i="4" s="1"/>
  <c r="AA17" i="4" a="1"/>
  <c r="AA17" i="4" s="1"/>
  <c r="Z17" i="4" a="1"/>
  <c r="Z17" i="4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T17" i="4" a="1"/>
  <c r="T17" i="4" s="1"/>
  <c r="S17" i="4" a="1"/>
  <c r="S17" i="4" s="1"/>
  <c r="R17" i="4" a="1"/>
  <c r="R17" i="4" s="1"/>
  <c r="Q17" i="4" a="1"/>
  <c r="Q17" i="4" s="1"/>
  <c r="P17" i="4" a="1"/>
  <c r="P17" i="4" s="1"/>
  <c r="O17" i="4" a="1"/>
  <c r="O17" i="4" s="1"/>
  <c r="N17" i="4" a="1"/>
  <c r="N17" i="4" s="1"/>
  <c r="M17" i="4" a="1"/>
  <c r="M17" i="4" s="1"/>
  <c r="L17" i="4" a="1"/>
  <c r="L17" i="4" s="1"/>
  <c r="K17" i="4" a="1"/>
  <c r="K17" i="4" s="1"/>
  <c r="J17" i="4" a="1"/>
  <c r="J17" i="4" s="1"/>
  <c r="I17" i="4" a="1"/>
  <c r="I17" i="4" s="1"/>
  <c r="H17" i="4" a="1"/>
  <c r="H17" i="4" s="1"/>
  <c r="G17" i="4" a="1"/>
  <c r="G17" i="4" s="1"/>
  <c r="F17" i="4" a="1"/>
  <c r="F17" i="4" s="1"/>
  <c r="E17" i="4" a="1"/>
  <c r="E17" i="4" s="1"/>
  <c r="D17" i="4" a="1"/>
  <c r="D17" i="4" s="1"/>
  <c r="C17" i="4" a="1"/>
  <c r="C17" i="4" s="1"/>
  <c r="B17" i="4" a="1"/>
  <c r="B17" i="4" s="1"/>
  <c r="A17" i="4" a="1"/>
  <c r="A17" i="4" s="1"/>
  <c r="AF16" i="4" a="1"/>
  <c r="AF16" i="4" s="1"/>
  <c r="AE16" i="4" a="1"/>
  <c r="AE16" i="4" s="1"/>
  <c r="AD16" i="4" a="1"/>
  <c r="AD16" i="4" s="1"/>
  <c r="AC16" i="4" a="1"/>
  <c r="AC16" i="4" s="1"/>
  <c r="AB16" i="4" a="1"/>
  <c r="AB16" i="4" s="1"/>
  <c r="AA16" i="4" a="1"/>
  <c r="AA16" i="4" s="1"/>
  <c r="Z16" i="4" a="1"/>
  <c r="Z16" i="4" s="1"/>
  <c r="Y16" i="4" a="1"/>
  <c r="Y16" i="4" s="1"/>
  <c r="X16" i="4" a="1"/>
  <c r="X16" i="4" s="1"/>
  <c r="W16" i="4" a="1"/>
  <c r="W16" i="4" s="1"/>
  <c r="V16" i="4" a="1"/>
  <c r="V16" i="4" s="1"/>
  <c r="U16" i="4" a="1"/>
  <c r="U16" i="4" s="1"/>
  <c r="T16" i="4" a="1"/>
  <c r="T16" i="4" s="1"/>
  <c r="S16" i="4" a="1"/>
  <c r="S16" i="4" s="1"/>
  <c r="R16" i="4" a="1"/>
  <c r="R16" i="4" s="1"/>
  <c r="Q16" i="4" a="1"/>
  <c r="Q16" i="4" s="1"/>
  <c r="P16" i="4" a="1"/>
  <c r="P16" i="4" s="1"/>
  <c r="O16" i="4" a="1"/>
  <c r="O16" i="4" s="1"/>
  <c r="N16" i="4" a="1"/>
  <c r="N16" i="4" s="1"/>
  <c r="M16" i="4" a="1"/>
  <c r="M16" i="4" s="1"/>
  <c r="L16" i="4" a="1"/>
  <c r="L16" i="4" s="1"/>
  <c r="K16" i="4" a="1"/>
  <c r="K16" i="4" s="1"/>
  <c r="J16" i="4" a="1"/>
  <c r="J16" i="4" s="1"/>
  <c r="I16" i="4" a="1"/>
  <c r="I16" i="4" s="1"/>
  <c r="H16" i="4" a="1"/>
  <c r="H16" i="4" s="1"/>
  <c r="G16" i="4" a="1"/>
  <c r="G16" i="4" s="1"/>
  <c r="F16" i="4" a="1"/>
  <c r="F16" i="4" s="1"/>
  <c r="E16" i="4" a="1"/>
  <c r="E16" i="4" s="1"/>
  <c r="D16" i="4" a="1"/>
  <c r="D16" i="4" s="1"/>
  <c r="C16" i="4" a="1"/>
  <c r="C16" i="4" s="1"/>
  <c r="B16" i="4" a="1"/>
  <c r="B16" i="4" s="1"/>
  <c r="A16" i="4" a="1"/>
  <c r="A16" i="4" s="1"/>
  <c r="AF15" i="4" a="1"/>
  <c r="AF15" i="4" s="1"/>
  <c r="AE15" i="4" a="1"/>
  <c r="AE15" i="4" s="1"/>
  <c r="AD15" i="4" a="1"/>
  <c r="AD15" i="4" s="1"/>
  <c r="AC15" i="4" a="1"/>
  <c r="AC15" i="4" s="1"/>
  <c r="AB15" i="4" a="1"/>
  <c r="AB15" i="4" s="1"/>
  <c r="AA15" i="4" a="1"/>
  <c r="AA15" i="4" s="1"/>
  <c r="Z15" i="4" a="1"/>
  <c r="Z15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T15" i="4" a="1"/>
  <c r="T15" i="4" s="1"/>
  <c r="S15" i="4" a="1"/>
  <c r="S15" i="4" s="1"/>
  <c r="R15" i="4" a="1"/>
  <c r="R15" i="4" s="1"/>
  <c r="Q15" i="4" a="1"/>
  <c r="Q15" i="4" s="1"/>
  <c r="P15" i="4" a="1"/>
  <c r="P15" i="4" s="1"/>
  <c r="O15" i="4" a="1"/>
  <c r="O15" i="4" s="1"/>
  <c r="N15" i="4" a="1"/>
  <c r="N15" i="4" s="1"/>
  <c r="M15" i="4" a="1"/>
  <c r="M15" i="4" s="1"/>
  <c r="L15" i="4" a="1"/>
  <c r="L15" i="4" s="1"/>
  <c r="K15" i="4" a="1"/>
  <c r="K15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E15" i="4" a="1"/>
  <c r="E15" i="4" s="1"/>
  <c r="D15" i="4" a="1"/>
  <c r="D15" i="4" s="1"/>
  <c r="C15" i="4" a="1"/>
  <c r="C15" i="4" s="1"/>
  <c r="B15" i="4" a="1"/>
  <c r="B15" i="4" s="1"/>
  <c r="A15" i="4" a="1"/>
  <c r="A15" i="4" s="1"/>
  <c r="AF14" i="4" a="1"/>
  <c r="AF14" i="4" s="1"/>
  <c r="AE14" i="4" a="1"/>
  <c r="AE14" i="4" s="1"/>
  <c r="AD14" i="4" a="1"/>
  <c r="AD14" i="4" s="1"/>
  <c r="AC14" i="4" a="1"/>
  <c r="AC14" i="4" s="1"/>
  <c r="AB14" i="4" a="1"/>
  <c r="AB14" i="4" s="1"/>
  <c r="AA14" i="4" a="1"/>
  <c r="AA14" i="4" s="1"/>
  <c r="Z14" i="4" a="1"/>
  <c r="Z14" i="4" s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T14" i="4" a="1"/>
  <c r="T14" i="4" s="1"/>
  <c r="S14" i="4" a="1"/>
  <c r="S14" i="4" s="1"/>
  <c r="R14" i="4" a="1"/>
  <c r="R14" i="4" s="1"/>
  <c r="Q14" i="4" a="1"/>
  <c r="Q14" i="4" s="1"/>
  <c r="P14" i="4" a="1"/>
  <c r="P14" i="4" s="1"/>
  <c r="O14" i="4" a="1"/>
  <c r="O14" i="4" s="1"/>
  <c r="N14" i="4" a="1"/>
  <c r="N14" i="4" s="1"/>
  <c r="M14" i="4" a="1"/>
  <c r="M14" i="4" s="1"/>
  <c r="L14" i="4" a="1"/>
  <c r="L14" i="4" s="1"/>
  <c r="K14" i="4" a="1"/>
  <c r="K14" i="4" s="1"/>
  <c r="J14" i="4" a="1"/>
  <c r="J14" i="4" s="1"/>
  <c r="I14" i="4" a="1"/>
  <c r="I14" i="4" s="1"/>
  <c r="H14" i="4" a="1"/>
  <c r="H14" i="4" s="1"/>
  <c r="G14" i="4" a="1"/>
  <c r="G14" i="4" s="1"/>
  <c r="F14" i="4" a="1"/>
  <c r="F14" i="4" s="1"/>
  <c r="E14" i="4" a="1"/>
  <c r="E14" i="4" s="1"/>
  <c r="D14" i="4" a="1"/>
  <c r="D14" i="4" s="1"/>
  <c r="C14" i="4" a="1"/>
  <c r="C14" i="4" s="1"/>
  <c r="B14" i="4" a="1"/>
  <c r="B14" i="4" s="1"/>
  <c r="A14" i="4" a="1"/>
  <c r="A14" i="4" s="1"/>
  <c r="AF13" i="4" a="1"/>
  <c r="AF13" i="4" s="1"/>
  <c r="AE13" i="4" a="1"/>
  <c r="AE13" i="4" s="1"/>
  <c r="AD13" i="4" a="1"/>
  <c r="AD13" i="4" s="1"/>
  <c r="AC13" i="4" a="1"/>
  <c r="AC13" i="4" s="1"/>
  <c r="AB13" i="4" a="1"/>
  <c r="AB13" i="4" s="1"/>
  <c r="AA13" i="4" a="1"/>
  <c r="AA13" i="4" s="1"/>
  <c r="Z13" i="4" a="1"/>
  <c r="Z13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T13" i="4" a="1"/>
  <c r="T13" i="4" s="1"/>
  <c r="S13" i="4" a="1"/>
  <c r="S13" i="4" s="1"/>
  <c r="R13" i="4" a="1"/>
  <c r="R13" i="4" s="1"/>
  <c r="Q13" i="4" a="1"/>
  <c r="Q13" i="4" s="1"/>
  <c r="P13" i="4" a="1"/>
  <c r="P13" i="4" s="1"/>
  <c r="O13" i="4" a="1"/>
  <c r="O13" i="4" s="1"/>
  <c r="N13" i="4" a="1"/>
  <c r="N13" i="4" s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F13" i="4" a="1"/>
  <c r="F13" i="4" s="1"/>
  <c r="E13" i="4" a="1"/>
  <c r="E13" i="4" s="1"/>
  <c r="D13" i="4" a="1"/>
  <c r="D13" i="4" s="1"/>
  <c r="C13" i="4" a="1"/>
  <c r="C13" i="4" s="1"/>
  <c r="B13" i="4" a="1"/>
  <c r="B13" i="4" s="1"/>
  <c r="A13" i="4" a="1"/>
  <c r="A13" i="4" s="1"/>
  <c r="AF12" i="4" a="1"/>
  <c r="AF12" i="4" s="1"/>
  <c r="AE12" i="4" a="1"/>
  <c r="AE12" i="4" s="1"/>
  <c r="AD12" i="4" a="1"/>
  <c r="AD12" i="4" s="1"/>
  <c r="AC12" i="4" a="1"/>
  <c r="AC12" i="4" s="1"/>
  <c r="AB12" i="4" a="1"/>
  <c r="AB12" i="4" s="1"/>
  <c r="AA12" i="4" a="1"/>
  <c r="AA12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Q12" i="4" a="1"/>
  <c r="Q12" i="4" s="1"/>
  <c r="P12" i="4" a="1"/>
  <c r="P12" i="4" s="1"/>
  <c r="O12" i="4" a="1"/>
  <c r="O12" i="4" s="1"/>
  <c r="N12" i="4" a="1"/>
  <c r="N12" i="4" s="1"/>
  <c r="M12" i="4" a="1"/>
  <c r="M12" i="4" s="1"/>
  <c r="L12" i="4" a="1"/>
  <c r="L12" i="4" s="1"/>
  <c r="K12" i="4" a="1"/>
  <c r="K12" i="4" s="1"/>
  <c r="J12" i="4" a="1"/>
  <c r="J12" i="4" s="1"/>
  <c r="I12" i="4" a="1"/>
  <c r="I12" i="4" s="1"/>
  <c r="H12" i="4" a="1"/>
  <c r="H12" i="4" s="1"/>
  <c r="G12" i="4" a="1"/>
  <c r="G12" i="4" s="1"/>
  <c r="F12" i="4" a="1"/>
  <c r="F12" i="4" s="1"/>
  <c r="E12" i="4" a="1"/>
  <c r="E12" i="4" s="1"/>
  <c r="D12" i="4" a="1"/>
  <c r="D12" i="4" s="1"/>
  <c r="C12" i="4" a="1"/>
  <c r="C12" i="4" s="1"/>
  <c r="B12" i="4" a="1"/>
  <c r="B12" i="4" s="1"/>
  <c r="A12" i="4" a="1"/>
  <c r="A12" i="4" s="1"/>
  <c r="AE11" i="4" a="1"/>
  <c r="AE11" i="4" s="1"/>
  <c r="AD11" i="4" a="1"/>
  <c r="AD11" i="4" s="1"/>
  <c r="AC11" i="4" a="1"/>
  <c r="AC11" i="4" s="1"/>
  <c r="AB11" i="4" a="1"/>
  <c r="AB11" i="4" s="1"/>
  <c r="AA11" i="4" a="1"/>
  <c r="AA11" i="4" s="1"/>
  <c r="Z11" i="4" a="1"/>
  <c r="Z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 a="1"/>
  <c r="T11" i="4" s="1"/>
  <c r="S11" i="4" a="1"/>
  <c r="S11" i="4" s="1"/>
  <c r="R11" i="4" a="1"/>
  <c r="R11" i="4" s="1"/>
  <c r="Q11" i="4" a="1"/>
  <c r="Q11" i="4" s="1"/>
  <c r="P11" i="4" a="1"/>
  <c r="P11" i="4" s="1"/>
  <c r="O11" i="4" a="1"/>
  <c r="O11" i="4" s="1"/>
  <c r="N11" i="4" a="1"/>
  <c r="N11" i="4" s="1"/>
  <c r="M11" i="4" a="1"/>
  <c r="M11" i="4" s="1"/>
  <c r="L11" i="4" a="1"/>
  <c r="L11" i="4" s="1"/>
  <c r="K11" i="4" a="1"/>
  <c r="K11" i="4" s="1"/>
  <c r="J11" i="4" a="1"/>
  <c r="J11" i="4" s="1"/>
  <c r="I11" i="4" a="1"/>
  <c r="I11" i="4" s="1"/>
  <c r="H11" i="4" a="1"/>
  <c r="H11" i="4" s="1"/>
  <c r="G11" i="4" a="1"/>
  <c r="G11" i="4" s="1"/>
  <c r="F11" i="4" a="1"/>
  <c r="F11" i="4" s="1"/>
  <c r="E11" i="4" a="1"/>
  <c r="E11" i="4" s="1"/>
  <c r="D11" i="4" a="1"/>
  <c r="D11" i="4" s="1"/>
  <c r="C11" i="4" a="1"/>
  <c r="C11" i="4" s="1"/>
  <c r="B11" i="4" a="1"/>
  <c r="B11" i="4" s="1"/>
  <c r="A11" i="4" a="1"/>
  <c r="A11" i="4" s="1"/>
  <c r="AF10" i="4" a="1"/>
  <c r="AF10" i="4" s="1"/>
  <c r="AE10" i="4" a="1"/>
  <c r="AE10" i="4" s="1"/>
  <c r="AD10" i="4" a="1"/>
  <c r="AD10" i="4" s="1"/>
  <c r="AC10" i="4" a="1"/>
  <c r="AC10" i="4" s="1"/>
  <c r="AB10" i="4" a="1"/>
  <c r="AB10" i="4" s="1"/>
  <c r="AA10" i="4" a="1"/>
  <c r="AA10" i="4" s="1"/>
  <c r="Z10" i="4" a="1"/>
  <c r="Z10" i="4" s="1"/>
  <c r="Y10" i="4" a="1"/>
  <c r="Y10" i="4" s="1"/>
  <c r="X10" i="4" a="1"/>
  <c r="X10" i="4" s="1"/>
  <c r="W10" i="4" a="1"/>
  <c r="W10" i="4" s="1"/>
  <c r="V10" i="4" a="1"/>
  <c r="V10" i="4" s="1"/>
  <c r="U10" i="4" a="1"/>
  <c r="U10" i="4" s="1"/>
  <c r="T10" i="4" a="1"/>
  <c r="T10" i="4" s="1"/>
  <c r="S10" i="4" a="1"/>
  <c r="S10" i="4" s="1"/>
  <c r="R10" i="4" a="1"/>
  <c r="R10" i="4" s="1"/>
  <c r="Q10" i="4" a="1"/>
  <c r="Q10" i="4" s="1"/>
  <c r="P10" i="4" a="1"/>
  <c r="P10" i="4" s="1"/>
  <c r="O10" i="4" a="1"/>
  <c r="O10" i="4" s="1"/>
  <c r="N10" i="4" a="1"/>
  <c r="N10" i="4" s="1"/>
  <c r="M10" i="4" a="1"/>
  <c r="M10" i="4" s="1"/>
  <c r="L10" i="4" a="1"/>
  <c r="L10" i="4" s="1"/>
  <c r="K10" i="4" a="1"/>
  <c r="K10" i="4" s="1"/>
  <c r="J10" i="4" a="1"/>
  <c r="J10" i="4" s="1"/>
  <c r="I10" i="4" a="1"/>
  <c r="I10" i="4" s="1"/>
  <c r="H10" i="4" a="1"/>
  <c r="H10" i="4" s="1"/>
  <c r="G10" i="4" a="1"/>
  <c r="G10" i="4" s="1"/>
  <c r="F10" i="4" a="1"/>
  <c r="F10" i="4" s="1"/>
  <c r="E10" i="4" a="1"/>
  <c r="E10" i="4" s="1"/>
  <c r="D10" i="4" a="1"/>
  <c r="D10" i="4" s="1"/>
  <c r="C10" i="4" a="1"/>
  <c r="C10" i="4" s="1"/>
  <c r="B10" i="4" a="1"/>
  <c r="B10" i="4" s="1"/>
  <c r="A10" i="4" a="1"/>
  <c r="A10" i="4" s="1"/>
  <c r="AE9" i="4" a="1"/>
  <c r="AE9" i="4" s="1"/>
  <c r="AD9" i="4" a="1"/>
  <c r="AD9" i="4" s="1"/>
  <c r="AC9" i="4" a="1"/>
  <c r="AC9" i="4" s="1"/>
  <c r="AB9" i="4" a="1"/>
  <c r="AB9" i="4" s="1"/>
  <c r="AA9" i="4" a="1"/>
  <c r="AA9" i="4" s="1"/>
  <c r="Z9" i="4" a="1"/>
  <c r="Z9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T9" i="4" a="1"/>
  <c r="T9" i="4" s="1"/>
  <c r="S9" i="4" a="1"/>
  <c r="S9" i="4" s="1"/>
  <c r="R9" i="4" a="1"/>
  <c r="R9" i="4" s="1"/>
  <c r="Q9" i="4" a="1"/>
  <c r="Q9" i="4" s="1"/>
  <c r="P9" i="4" a="1"/>
  <c r="P9" i="4" s="1"/>
  <c r="O9" i="4" a="1"/>
  <c r="O9" i="4" s="1"/>
  <c r="N9" i="4" a="1"/>
  <c r="N9" i="4" s="1"/>
  <c r="M9" i="4" a="1"/>
  <c r="M9" i="4" s="1"/>
  <c r="L9" i="4" a="1"/>
  <c r="L9" i="4" s="1"/>
  <c r="K9" i="4" a="1"/>
  <c r="K9" i="4" s="1"/>
  <c r="J9" i="4" a="1"/>
  <c r="J9" i="4" s="1"/>
  <c r="I9" i="4" a="1"/>
  <c r="I9" i="4" s="1"/>
  <c r="H9" i="4" a="1"/>
  <c r="H9" i="4" s="1"/>
  <c r="G9" i="4" a="1"/>
  <c r="G9" i="4" s="1"/>
  <c r="F9" i="4" a="1"/>
  <c r="F9" i="4" s="1"/>
  <c r="E9" i="4" a="1"/>
  <c r="E9" i="4" s="1"/>
  <c r="D9" i="4" a="1"/>
  <c r="D9" i="4" s="1"/>
  <c r="C9" i="4" a="1"/>
  <c r="C9" i="4" s="1"/>
  <c r="B9" i="4" a="1"/>
  <c r="B9" i="4" s="1"/>
  <c r="A9" i="4" a="1"/>
  <c r="A9" i="4" s="1"/>
  <c r="AE8" i="4" a="1"/>
  <c r="AE8" i="4" s="1"/>
  <c r="AD8" i="4" a="1"/>
  <c r="AD8" i="4" s="1"/>
  <c r="AC8" i="4" a="1"/>
  <c r="AC8" i="4" s="1"/>
  <c r="AB8" i="4" a="1"/>
  <c r="AB8" i="4" s="1"/>
  <c r="AA8" i="4" a="1"/>
  <c r="AA8" i="4" s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 a="1"/>
  <c r="R8" i="4" s="1"/>
  <c r="Q8" i="4" a="1"/>
  <c r="Q8" i="4" s="1"/>
  <c r="P8" i="4" a="1"/>
  <c r="P8" i="4" s="1"/>
  <c r="O8" i="4" a="1"/>
  <c r="O8" i="4" s="1"/>
  <c r="N8" i="4" a="1"/>
  <c r="N8" i="4" s="1"/>
  <c r="M8" i="4" a="1"/>
  <c r="M8" i="4" s="1"/>
  <c r="L8" i="4" a="1"/>
  <c r="L8" i="4" s="1"/>
  <c r="K8" i="4" a="1"/>
  <c r="K8" i="4" s="1"/>
  <c r="J8" i="4" a="1"/>
  <c r="J8" i="4" s="1"/>
  <c r="I8" i="4" a="1"/>
  <c r="I8" i="4" s="1"/>
  <c r="H8" i="4" a="1"/>
  <c r="H8" i="4" s="1"/>
  <c r="G8" i="4" a="1"/>
  <c r="G8" i="4" s="1"/>
  <c r="F8" i="4" a="1"/>
  <c r="F8" i="4" s="1"/>
  <c r="E8" i="4" a="1"/>
  <c r="E8" i="4" s="1"/>
  <c r="D8" i="4" a="1"/>
  <c r="D8" i="4" s="1"/>
  <c r="C8" i="4" a="1"/>
  <c r="C8" i="4" s="1"/>
  <c r="B8" i="4" a="1"/>
  <c r="B8" i="4" s="1"/>
  <c r="A8" i="4" a="1"/>
  <c r="A8" i="4" s="1"/>
  <c r="AF7" i="4" a="1"/>
  <c r="AF7" i="4" s="1"/>
  <c r="AE7" i="4" a="1"/>
  <c r="AE7" i="4" s="1"/>
  <c r="AD7" i="4" a="1"/>
  <c r="AD7" i="4" s="1"/>
  <c r="AC7" i="4" a="1"/>
  <c r="AC7" i="4" s="1"/>
  <c r="AB7" i="4" a="1"/>
  <c r="AB7" i="4" s="1"/>
  <c r="AA7" i="4" a="1"/>
  <c r="AA7" i="4" s="1"/>
  <c r="Z7" i="4" a="1"/>
  <c r="Z7" i="4" s="1"/>
  <c r="Y7" i="4" a="1"/>
  <c r="Y7" i="4" s="1"/>
  <c r="X7" i="4" a="1"/>
  <c r="X7" i="4" s="1"/>
  <c r="W7" i="4" a="1"/>
  <c r="W7" i="4" s="1"/>
  <c r="V7" i="4" a="1"/>
  <c r="V7" i="4" s="1"/>
  <c r="U7" i="4" a="1"/>
  <c r="U7" i="4" s="1"/>
  <c r="T7" i="4" a="1"/>
  <c r="T7" i="4" s="1"/>
  <c r="S7" i="4" a="1"/>
  <c r="S7" i="4" s="1"/>
  <c r="R7" i="4" a="1"/>
  <c r="R7" i="4" s="1"/>
  <c r="Q7" i="4" a="1"/>
  <c r="Q7" i="4" s="1"/>
  <c r="P7" i="4" a="1"/>
  <c r="P7" i="4" s="1"/>
  <c r="O7" i="4" a="1"/>
  <c r="O7" i="4" s="1"/>
  <c r="N7" i="4" a="1"/>
  <c r="N7" i="4" s="1"/>
  <c r="M7" i="4" a="1"/>
  <c r="M7" i="4" s="1"/>
  <c r="L7" i="4" a="1"/>
  <c r="L7" i="4" s="1"/>
  <c r="K7" i="4" a="1"/>
  <c r="K7" i="4" s="1"/>
  <c r="J7" i="4" a="1"/>
  <c r="J7" i="4" s="1"/>
  <c r="I7" i="4" a="1"/>
  <c r="I7" i="4" s="1"/>
  <c r="H7" i="4" a="1"/>
  <c r="H7" i="4" s="1"/>
  <c r="G7" i="4" a="1"/>
  <c r="G7" i="4" s="1"/>
  <c r="F7" i="4" a="1"/>
  <c r="F7" i="4" s="1"/>
  <c r="E7" i="4" a="1"/>
  <c r="E7" i="4" s="1"/>
  <c r="D7" i="4" a="1"/>
  <c r="D7" i="4" s="1"/>
  <c r="C7" i="4" a="1"/>
  <c r="C7" i="4" s="1"/>
  <c r="B7" i="4" a="1"/>
  <c r="B7" i="4" s="1"/>
  <c r="A7" i="4" a="1"/>
  <c r="A7" i="4" s="1"/>
  <c r="AE6" i="4" a="1"/>
  <c r="AE6" i="4"/>
  <c r="AD6" i="4" a="1"/>
  <c r="AD6" i="4" s="1"/>
  <c r="AC6" i="4" a="1"/>
  <c r="AC6" i="4" s="1"/>
  <c r="AB6" i="4" a="1"/>
  <c r="AB6" i="4" s="1"/>
  <c r="AA6" i="4" a="1"/>
  <c r="AA6" i="4" s="1"/>
  <c r="Z6" i="4" a="1"/>
  <c r="Z6" i="4" s="1"/>
  <c r="Y6" i="4" a="1"/>
  <c r="Y6" i="4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/>
  <c r="R6" i="4" a="1"/>
  <c r="R6" i="4" s="1"/>
  <c r="Q6" i="4" a="1"/>
  <c r="Q6" i="4" s="1"/>
  <c r="P6" i="4" a="1"/>
  <c r="P6" i="4"/>
  <c r="O6" i="4" a="1"/>
  <c r="O6" i="4"/>
  <c r="N6" i="4" a="1"/>
  <c r="N6" i="4" s="1"/>
  <c r="M6" i="4" a="1"/>
  <c r="M6" i="4" s="1"/>
  <c r="L6" i="4" a="1"/>
  <c r="L6" i="4" s="1"/>
  <c r="K6" i="4" a="1"/>
  <c r="K6" i="4" s="1"/>
  <c r="J6" i="4" a="1"/>
  <c r="J6" i="4" s="1"/>
  <c r="I6" i="4" a="1"/>
  <c r="I6" i="4" s="1"/>
  <c r="H6" i="4" a="1"/>
  <c r="H6" i="4"/>
  <c r="G6" i="4" a="1"/>
  <c r="G6" i="4" s="1"/>
  <c r="F6" i="4" a="1"/>
  <c r="F6" i="4" s="1"/>
  <c r="E6" i="4" a="1"/>
  <c r="E6" i="4"/>
  <c r="D6" i="4" a="1"/>
  <c r="D6" i="4"/>
  <c r="C6" i="4" a="1"/>
  <c r="C6" i="4" s="1"/>
  <c r="B6" i="4" a="1"/>
  <c r="B6" i="4" s="1"/>
  <c r="A6" i="4" a="1"/>
  <c r="A6" i="4" s="1"/>
  <c r="AF5" i="4" a="1"/>
  <c r="AF5" i="4" s="1"/>
  <c r="AE5" i="4" a="1"/>
  <c r="AE5" i="4"/>
  <c r="AD5" i="4" a="1"/>
  <c r="AD5" i="4" s="1"/>
  <c r="AC5" i="4" a="1"/>
  <c r="AC5" i="4" s="1"/>
  <c r="AB5" i="4" a="1"/>
  <c r="AB5" i="4" s="1"/>
  <c r="AA5" i="4" a="1"/>
  <c r="AA5" i="4"/>
  <c r="Z5" i="4" a="1"/>
  <c r="Z5" i="4" s="1"/>
  <c r="Y5" i="4" a="1"/>
  <c r="Y5" i="4"/>
  <c r="X5" i="4" a="1"/>
  <c r="X5" i="4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Q5" i="4" a="1"/>
  <c r="Q5" i="4"/>
  <c r="P5" i="4" a="1"/>
  <c r="P5" i="4" s="1"/>
  <c r="O5" i="4" a="1"/>
  <c r="O5" i="4"/>
  <c r="N5" i="4" a="1"/>
  <c r="N5" i="4" s="1"/>
  <c r="M5" i="4" a="1"/>
  <c r="M5" i="4"/>
  <c r="L5" i="4" a="1"/>
  <c r="L5" i="4" s="1"/>
  <c r="K5" i="4" a="1"/>
  <c r="K5" i="4" s="1"/>
  <c r="J5" i="4" a="1"/>
  <c r="J5" i="4" s="1"/>
  <c r="I5" i="4" a="1"/>
  <c r="I5" i="4" s="1"/>
  <c r="H5" i="4" a="1"/>
  <c r="H5" i="4"/>
  <c r="G5" i="4" a="1"/>
  <c r="G5" i="4" s="1"/>
  <c r="F5" i="4" a="1"/>
  <c r="F5" i="4" s="1"/>
  <c r="E5" i="4" a="1"/>
  <c r="E5" i="4" s="1"/>
  <c r="D5" i="4" a="1"/>
  <c r="D5" i="4"/>
  <c r="C5" i="4" a="1"/>
  <c r="C5" i="4" s="1"/>
  <c r="B5" i="4" a="1"/>
  <c r="B5" i="4" s="1"/>
  <c r="A5" i="4" a="1"/>
  <c r="A5" i="4" s="1"/>
  <c r="AE4" i="4" a="1"/>
  <c r="AE4" i="4" s="1"/>
  <c r="AD4" i="4" a="1"/>
  <c r="AD4" i="4" s="1"/>
  <c r="AC4" i="4" a="1"/>
  <c r="AC4" i="4" s="1"/>
  <c r="AB4" i="4" a="1"/>
  <c r="AB4" i="4" s="1"/>
  <c r="AA4" i="4" a="1"/>
  <c r="AA4" i="4"/>
  <c r="Z4" i="4" a="1"/>
  <c r="Z4" i="4" s="1"/>
  <c r="Y4" i="4" a="1"/>
  <c r="Y4" i="4" s="1"/>
  <c r="X4" i="4" a="1"/>
  <c r="X4" i="4"/>
  <c r="W4" i="4" a="1"/>
  <c r="W4" i="4"/>
  <c r="V4" i="4" a="1"/>
  <c r="V4" i="4" s="1"/>
  <c r="U4" i="4" a="1"/>
  <c r="U4" i="4" s="1"/>
  <c r="T4" i="4" a="1"/>
  <c r="T4" i="4" s="1"/>
  <c r="S4" i="4" a="1"/>
  <c r="S4" i="4" s="1"/>
  <c r="R4" i="4" a="1"/>
  <c r="R4" i="4" s="1"/>
  <c r="Q4" i="4" a="1"/>
  <c r="Q4" i="4" s="1"/>
  <c r="P4" i="4" a="1"/>
  <c r="P4" i="4"/>
  <c r="O4" i="4" a="1"/>
  <c r="O4" i="4"/>
  <c r="N4" i="4" a="1"/>
  <c r="N4" i="4" s="1"/>
  <c r="M4" i="4" a="1"/>
  <c r="M4" i="4" s="1"/>
  <c r="L4" i="4" a="1"/>
  <c r="L4" i="4"/>
  <c r="K4" i="4" a="1"/>
  <c r="K4" i="4" s="1"/>
  <c r="J4" i="4" a="1"/>
  <c r="J4" i="4" s="1"/>
  <c r="I4" i="4" a="1"/>
  <c r="I4" i="4" s="1"/>
  <c r="H4" i="4" a="1"/>
  <c r="H4" i="4" s="1"/>
  <c r="G4" i="4" a="1"/>
  <c r="G4" i="4" s="1"/>
  <c r="F4" i="4" a="1"/>
  <c r="F4" i="4"/>
  <c r="E4" i="4" a="1"/>
  <c r="E4" i="4" s="1"/>
  <c r="D4" i="4" a="1"/>
  <c r="D4" i="4"/>
  <c r="C4" i="4" a="1"/>
  <c r="C4" i="4" s="1"/>
  <c r="B4" i="4" a="1"/>
  <c r="B4" i="4" s="1"/>
  <c r="A4" i="4" a="1"/>
  <c r="A4" i="4" s="1"/>
  <c r="AB805" i="3"/>
  <c r="W805" i="3"/>
  <c r="U805" i="3"/>
  <c r="R805" i="3"/>
  <c r="AG802" i="3"/>
  <c r="AF802" i="3"/>
  <c r="AB799" i="3"/>
  <c r="W799" i="3"/>
  <c r="U799" i="3"/>
  <c r="R799" i="3"/>
  <c r="I799" i="3"/>
  <c r="W796" i="3"/>
  <c r="U796" i="3"/>
  <c r="R796" i="3"/>
  <c r="I796" i="3"/>
  <c r="V794" i="3"/>
  <c r="X794" i="3" s="1"/>
  <c r="S794" i="3"/>
  <c r="J794" i="3"/>
  <c r="Y793" i="3"/>
  <c r="V793" i="3"/>
  <c r="X793" i="3" s="1"/>
  <c r="S793" i="3"/>
  <c r="J793" i="3"/>
  <c r="Y792" i="3"/>
  <c r="V792" i="3"/>
  <c r="X792" i="3" s="1"/>
  <c r="S792" i="3"/>
  <c r="J792" i="3"/>
  <c r="Y791" i="3"/>
  <c r="X791" i="3"/>
  <c r="V791" i="3"/>
  <c r="S791" i="3"/>
  <c r="J791" i="3"/>
  <c r="Y790" i="3"/>
  <c r="X790" i="3"/>
  <c r="V790" i="3"/>
  <c r="S790" i="3"/>
  <c r="J790" i="3"/>
  <c r="Y789" i="3"/>
  <c r="V789" i="3"/>
  <c r="X789" i="3" s="1"/>
  <c r="S789" i="3"/>
  <c r="J789" i="3"/>
  <c r="Y788" i="3"/>
  <c r="V788" i="3"/>
  <c r="X788" i="3" s="1"/>
  <c r="S788" i="3"/>
  <c r="J788" i="3"/>
  <c r="Y787" i="3"/>
  <c r="V787" i="3"/>
  <c r="X787" i="3" s="1"/>
  <c r="S787" i="3"/>
  <c r="J787" i="3"/>
  <c r="Y786" i="3"/>
  <c r="V786" i="3"/>
  <c r="X786" i="3" s="1"/>
  <c r="S786" i="3"/>
  <c r="J786" i="3"/>
  <c r="AB782" i="3"/>
  <c r="J782" i="3"/>
  <c r="U779" i="3"/>
  <c r="R779" i="3"/>
  <c r="I779" i="3"/>
  <c r="Y777" i="3"/>
  <c r="V777" i="3"/>
  <c r="X777" i="3" s="1"/>
  <c r="S777" i="3"/>
  <c r="J777" i="3"/>
  <c r="Y776" i="3"/>
  <c r="X776" i="3"/>
  <c r="V776" i="3"/>
  <c r="S776" i="3"/>
  <c r="J776" i="3"/>
  <c r="Y775" i="3"/>
  <c r="X775" i="3"/>
  <c r="V775" i="3"/>
  <c r="S775" i="3"/>
  <c r="J775" i="3"/>
  <c r="Y774" i="3"/>
  <c r="X774" i="3"/>
  <c r="V774" i="3"/>
  <c r="S774" i="3"/>
  <c r="J774" i="3"/>
  <c r="Y773" i="3"/>
  <c r="V773" i="3"/>
  <c r="X773" i="3" s="1"/>
  <c r="S773" i="3"/>
  <c r="J773" i="3"/>
  <c r="Y772" i="3"/>
  <c r="V772" i="3"/>
  <c r="X772" i="3" s="1"/>
  <c r="S772" i="3"/>
  <c r="J772" i="3"/>
  <c r="U767" i="3"/>
  <c r="R767" i="3"/>
  <c r="I767" i="3"/>
  <c r="Y765" i="3"/>
  <c r="X765" i="3"/>
  <c r="V765" i="3"/>
  <c r="S765" i="3"/>
  <c r="J765" i="3"/>
  <c r="Y764" i="3"/>
  <c r="X764" i="3"/>
  <c r="V764" i="3"/>
  <c r="S764" i="3"/>
  <c r="J764" i="3"/>
  <c r="Y763" i="3"/>
  <c r="X763" i="3"/>
  <c r="V763" i="3"/>
  <c r="S763" i="3"/>
  <c r="J763" i="3"/>
  <c r="Y762" i="3"/>
  <c r="V762" i="3"/>
  <c r="X762" i="3" s="1"/>
  <c r="S762" i="3"/>
  <c r="J762" i="3"/>
  <c r="Y761" i="3"/>
  <c r="V761" i="3"/>
  <c r="X761" i="3" s="1"/>
  <c r="S761" i="3"/>
  <c r="J761" i="3"/>
  <c r="Y760" i="3"/>
  <c r="V760" i="3"/>
  <c r="X760" i="3" s="1"/>
  <c r="S760" i="3"/>
  <c r="J760" i="3"/>
  <c r="Y759" i="3"/>
  <c r="V759" i="3"/>
  <c r="X759" i="3" s="1"/>
  <c r="S759" i="3"/>
  <c r="J759" i="3"/>
  <c r="Y758" i="3"/>
  <c r="V758" i="3"/>
  <c r="X758" i="3" s="1"/>
  <c r="S758" i="3"/>
  <c r="J758" i="3"/>
  <c r="V757" i="3"/>
  <c r="X757" i="3" s="1"/>
  <c r="S757" i="3"/>
  <c r="J757" i="3"/>
  <c r="U752" i="3"/>
  <c r="R752" i="3"/>
  <c r="I752" i="3"/>
  <c r="Y750" i="3"/>
  <c r="V750" i="3"/>
  <c r="X750" i="3" s="1"/>
  <c r="S750" i="3"/>
  <c r="J750" i="3"/>
  <c r="Y749" i="3"/>
  <c r="X749" i="3"/>
  <c r="V749" i="3"/>
  <c r="S749" i="3"/>
  <c r="J749" i="3"/>
  <c r="X744" i="3"/>
  <c r="V744" i="3"/>
  <c r="S744" i="3"/>
  <c r="J744" i="3"/>
  <c r="X739" i="3"/>
  <c r="V739" i="3"/>
  <c r="S739" i="3"/>
  <c r="J739" i="3"/>
  <c r="W734" i="3"/>
  <c r="U734" i="3"/>
  <c r="R734" i="3"/>
  <c r="I734" i="3"/>
  <c r="X732" i="3"/>
  <c r="V732" i="3"/>
  <c r="S732" i="3"/>
  <c r="J732" i="3"/>
  <c r="Y731" i="3"/>
  <c r="V731" i="3"/>
  <c r="X731" i="3" s="1"/>
  <c r="S731" i="3"/>
  <c r="J731" i="3"/>
  <c r="Y730" i="3"/>
  <c r="V730" i="3"/>
  <c r="X730" i="3" s="1"/>
  <c r="S730" i="3"/>
  <c r="J730" i="3"/>
  <c r="Y729" i="3"/>
  <c r="X729" i="3"/>
  <c r="V729" i="3"/>
  <c r="S729" i="3"/>
  <c r="J729" i="3"/>
  <c r="Y728" i="3"/>
  <c r="X728" i="3"/>
  <c r="V728" i="3"/>
  <c r="S728" i="3"/>
  <c r="J728" i="3"/>
  <c r="Y727" i="3"/>
  <c r="V727" i="3"/>
  <c r="X727" i="3" s="1"/>
  <c r="S727" i="3"/>
  <c r="J727" i="3"/>
  <c r="Y726" i="3"/>
  <c r="V726" i="3"/>
  <c r="X726" i="3" s="1"/>
  <c r="S726" i="3"/>
  <c r="J726" i="3"/>
  <c r="Y725" i="3"/>
  <c r="V725" i="3"/>
  <c r="X725" i="3" s="1"/>
  <c r="S725" i="3"/>
  <c r="J725" i="3"/>
  <c r="Y720" i="3"/>
  <c r="X720" i="3"/>
  <c r="V720" i="3"/>
  <c r="S720" i="3"/>
  <c r="J720" i="3"/>
  <c r="AB715" i="3"/>
  <c r="U713" i="3"/>
  <c r="T712" i="3"/>
  <c r="V712" i="3" s="1"/>
  <c r="X712" i="3" s="1"/>
  <c r="S712" i="3"/>
  <c r="J712" i="3"/>
  <c r="U708" i="3"/>
  <c r="T708" i="3"/>
  <c r="R708" i="3"/>
  <c r="I708" i="3"/>
  <c r="V706" i="3"/>
  <c r="X706" i="3" s="1"/>
  <c r="S706" i="3"/>
  <c r="J706" i="3"/>
  <c r="V705" i="3"/>
  <c r="X705" i="3" s="1"/>
  <c r="S705" i="3"/>
  <c r="J705" i="3"/>
  <c r="V704" i="3"/>
  <c r="X704" i="3" s="1"/>
  <c r="S704" i="3"/>
  <c r="J704" i="3"/>
  <c r="V703" i="3"/>
  <c r="X703" i="3" s="1"/>
  <c r="S703" i="3"/>
  <c r="J703" i="3"/>
  <c r="Y702" i="3"/>
  <c r="X702" i="3"/>
  <c r="V702" i="3"/>
  <c r="S702" i="3"/>
  <c r="J702" i="3"/>
  <c r="U698" i="3"/>
  <c r="T698" i="3"/>
  <c r="R698" i="3"/>
  <c r="I698" i="3"/>
  <c r="Y696" i="3"/>
  <c r="V696" i="3"/>
  <c r="X696" i="3" s="1"/>
  <c r="S696" i="3"/>
  <c r="J696" i="3"/>
  <c r="Y695" i="3"/>
  <c r="V695" i="3"/>
  <c r="X695" i="3" s="1"/>
  <c r="S695" i="3"/>
  <c r="J695" i="3"/>
  <c r="Y694" i="3"/>
  <c r="X694" i="3"/>
  <c r="V694" i="3"/>
  <c r="S694" i="3"/>
  <c r="J694" i="3"/>
  <c r="Y693" i="3"/>
  <c r="X693" i="3"/>
  <c r="V693" i="3"/>
  <c r="S693" i="3"/>
  <c r="J693" i="3"/>
  <c r="Y692" i="3"/>
  <c r="X692" i="3"/>
  <c r="V692" i="3"/>
  <c r="S692" i="3"/>
  <c r="J692" i="3"/>
  <c r="Y691" i="3"/>
  <c r="X691" i="3"/>
  <c r="V691" i="3"/>
  <c r="S691" i="3"/>
  <c r="J691" i="3"/>
  <c r="Y690" i="3"/>
  <c r="V690" i="3"/>
  <c r="X690" i="3" s="1"/>
  <c r="S690" i="3"/>
  <c r="J690" i="3"/>
  <c r="Y689" i="3"/>
  <c r="X689" i="3"/>
  <c r="V689" i="3"/>
  <c r="S689" i="3"/>
  <c r="J689" i="3"/>
  <c r="Y688" i="3"/>
  <c r="V688" i="3"/>
  <c r="X688" i="3" s="1"/>
  <c r="S688" i="3"/>
  <c r="J688" i="3"/>
  <c r="Y687" i="3"/>
  <c r="X687" i="3"/>
  <c r="V687" i="3"/>
  <c r="S687" i="3"/>
  <c r="J687" i="3"/>
  <c r="V686" i="3"/>
  <c r="X686" i="3" s="1"/>
  <c r="S686" i="3"/>
  <c r="J686" i="3"/>
  <c r="Y685" i="3"/>
  <c r="V685" i="3"/>
  <c r="X685" i="3" s="1"/>
  <c r="S685" i="3"/>
  <c r="J685" i="3"/>
  <c r="V684" i="3"/>
  <c r="W698" i="3" s="1"/>
  <c r="S684" i="3"/>
  <c r="J684" i="3"/>
  <c r="U680" i="3"/>
  <c r="T680" i="3"/>
  <c r="R680" i="3"/>
  <c r="I680" i="3"/>
  <c r="V678" i="3"/>
  <c r="X678" i="3" s="1"/>
  <c r="S678" i="3"/>
  <c r="J678" i="3"/>
  <c r="X677" i="3"/>
  <c r="V677" i="3"/>
  <c r="S677" i="3"/>
  <c r="J677" i="3"/>
  <c r="Y676" i="3"/>
  <c r="X676" i="3"/>
  <c r="V676" i="3"/>
  <c r="S676" i="3"/>
  <c r="J676" i="3"/>
  <c r="Y675" i="3"/>
  <c r="V675" i="3"/>
  <c r="X675" i="3" s="1"/>
  <c r="S675" i="3"/>
  <c r="J675" i="3"/>
  <c r="Y674" i="3"/>
  <c r="V674" i="3"/>
  <c r="X674" i="3" s="1"/>
  <c r="S674" i="3"/>
  <c r="J674" i="3"/>
  <c r="Y673" i="3"/>
  <c r="V673" i="3"/>
  <c r="X673" i="3" s="1"/>
  <c r="S673" i="3"/>
  <c r="J673" i="3"/>
  <c r="Y672" i="3"/>
  <c r="V672" i="3"/>
  <c r="X672" i="3" s="1"/>
  <c r="S672" i="3"/>
  <c r="J672" i="3"/>
  <c r="Y671" i="3"/>
  <c r="V671" i="3"/>
  <c r="X671" i="3" s="1"/>
  <c r="S671" i="3"/>
  <c r="J671" i="3"/>
  <c r="Y670" i="3"/>
  <c r="V670" i="3"/>
  <c r="X670" i="3" s="1"/>
  <c r="S670" i="3"/>
  <c r="J670" i="3"/>
  <c r="Y669" i="3"/>
  <c r="X669" i="3"/>
  <c r="V669" i="3"/>
  <c r="S669" i="3"/>
  <c r="J669" i="3"/>
  <c r="Y668" i="3"/>
  <c r="V668" i="3"/>
  <c r="X668" i="3" s="1"/>
  <c r="S668" i="3"/>
  <c r="J668" i="3"/>
  <c r="Y667" i="3"/>
  <c r="X667" i="3"/>
  <c r="V667" i="3"/>
  <c r="S667" i="3"/>
  <c r="J667" i="3"/>
  <c r="Y666" i="3"/>
  <c r="X666" i="3"/>
  <c r="V666" i="3"/>
  <c r="S666" i="3"/>
  <c r="J666" i="3"/>
  <c r="Y665" i="3"/>
  <c r="X665" i="3"/>
  <c r="V665" i="3"/>
  <c r="S665" i="3"/>
  <c r="J665" i="3"/>
  <c r="Y664" i="3"/>
  <c r="V664" i="3"/>
  <c r="X664" i="3" s="1"/>
  <c r="S664" i="3"/>
  <c r="J664" i="3"/>
  <c r="Y663" i="3"/>
  <c r="V663" i="3"/>
  <c r="X663" i="3" s="1"/>
  <c r="S663" i="3"/>
  <c r="J663" i="3"/>
  <c r="Y662" i="3"/>
  <c r="X662" i="3"/>
  <c r="V662" i="3"/>
  <c r="S662" i="3"/>
  <c r="J662" i="3"/>
  <c r="Y661" i="3"/>
  <c r="X661" i="3"/>
  <c r="V661" i="3"/>
  <c r="S661" i="3"/>
  <c r="J661" i="3"/>
  <c r="Y660" i="3"/>
  <c r="X660" i="3"/>
  <c r="V660" i="3"/>
  <c r="S660" i="3"/>
  <c r="J660" i="3"/>
  <c r="Y659" i="3"/>
  <c r="V659" i="3"/>
  <c r="X659" i="3" s="1"/>
  <c r="S659" i="3"/>
  <c r="J659" i="3"/>
  <c r="Y658" i="3"/>
  <c r="V658" i="3"/>
  <c r="X658" i="3" s="1"/>
  <c r="S658" i="3"/>
  <c r="J658" i="3"/>
  <c r="Y657" i="3"/>
  <c r="V657" i="3"/>
  <c r="X657" i="3" s="1"/>
  <c r="S657" i="3"/>
  <c r="J657" i="3"/>
  <c r="Y656" i="3"/>
  <c r="V656" i="3"/>
  <c r="X656" i="3" s="1"/>
  <c r="S656" i="3"/>
  <c r="J656" i="3"/>
  <c r="Y655" i="3"/>
  <c r="V655" i="3"/>
  <c r="X655" i="3" s="1"/>
  <c r="S655" i="3"/>
  <c r="J655" i="3"/>
  <c r="Y654" i="3"/>
  <c r="V654" i="3"/>
  <c r="X654" i="3" s="1"/>
  <c r="S654" i="3"/>
  <c r="J654" i="3"/>
  <c r="Y653" i="3"/>
  <c r="X653" i="3"/>
  <c r="V653" i="3"/>
  <c r="S653" i="3"/>
  <c r="J653" i="3"/>
  <c r="Y652" i="3"/>
  <c r="V652" i="3"/>
  <c r="X652" i="3" s="1"/>
  <c r="S652" i="3"/>
  <c r="J652" i="3"/>
  <c r="Y651" i="3"/>
  <c r="V651" i="3"/>
  <c r="X651" i="3" s="1"/>
  <c r="S651" i="3"/>
  <c r="J651" i="3"/>
  <c r="Y650" i="3"/>
  <c r="V650" i="3"/>
  <c r="X650" i="3" s="1"/>
  <c r="S650" i="3"/>
  <c r="J650" i="3"/>
  <c r="Y649" i="3"/>
  <c r="X649" i="3"/>
  <c r="V649" i="3"/>
  <c r="S649" i="3"/>
  <c r="J649" i="3"/>
  <c r="Y648" i="3"/>
  <c r="V648" i="3"/>
  <c r="X648" i="3" s="1"/>
  <c r="S648" i="3"/>
  <c r="J648" i="3"/>
  <c r="Y647" i="3"/>
  <c r="V647" i="3"/>
  <c r="X647" i="3" s="1"/>
  <c r="S647" i="3"/>
  <c r="J647" i="3"/>
  <c r="Y646" i="3"/>
  <c r="S646" i="3"/>
  <c r="J646" i="3"/>
  <c r="Y645" i="3"/>
  <c r="V645" i="3"/>
  <c r="S645" i="3"/>
  <c r="J645" i="3"/>
  <c r="R642" i="3"/>
  <c r="V640" i="3"/>
  <c r="X640" i="3" s="1"/>
  <c r="T640" i="3"/>
  <c r="U642" i="3" s="1"/>
  <c r="S640" i="3"/>
  <c r="J640" i="3"/>
  <c r="U636" i="3"/>
  <c r="T636" i="3"/>
  <c r="R636" i="3"/>
  <c r="I636" i="3"/>
  <c r="Y634" i="3"/>
  <c r="V634" i="3"/>
  <c r="X634" i="3" s="1"/>
  <c r="S634" i="3"/>
  <c r="J634" i="3"/>
  <c r="Y633" i="3"/>
  <c r="X633" i="3"/>
  <c r="V633" i="3"/>
  <c r="W636" i="3" s="1"/>
  <c r="S633" i="3"/>
  <c r="J633" i="3"/>
  <c r="U628" i="3"/>
  <c r="T628" i="3"/>
  <c r="R628" i="3"/>
  <c r="I628" i="3"/>
  <c r="Y626" i="3"/>
  <c r="X626" i="3"/>
  <c r="V626" i="3"/>
  <c r="S626" i="3"/>
  <c r="J626" i="3"/>
  <c r="Y625" i="3"/>
  <c r="V625" i="3"/>
  <c r="X625" i="3" s="1"/>
  <c r="S625" i="3"/>
  <c r="J625" i="3"/>
  <c r="Y624" i="3"/>
  <c r="X624" i="3"/>
  <c r="V624" i="3"/>
  <c r="W628" i="3" s="1"/>
  <c r="S624" i="3"/>
  <c r="J624" i="3"/>
  <c r="R621" i="3"/>
  <c r="I621" i="3"/>
  <c r="Y619" i="3"/>
  <c r="T619" i="3"/>
  <c r="U621" i="3" s="1"/>
  <c r="S619" i="3"/>
  <c r="J619" i="3"/>
  <c r="U615" i="3"/>
  <c r="T615" i="3"/>
  <c r="R615" i="3"/>
  <c r="I615" i="3"/>
  <c r="Y613" i="3"/>
  <c r="X613" i="3"/>
  <c r="V613" i="3"/>
  <c r="S613" i="3"/>
  <c r="J613" i="3"/>
  <c r="Y612" i="3"/>
  <c r="X612" i="3"/>
  <c r="V612" i="3"/>
  <c r="S612" i="3"/>
  <c r="J612" i="3"/>
  <c r="Y611" i="3"/>
  <c r="X611" i="3"/>
  <c r="V611" i="3"/>
  <c r="S611" i="3"/>
  <c r="J611" i="3"/>
  <c r="Y610" i="3"/>
  <c r="V610" i="3"/>
  <c r="X610" i="3" s="1"/>
  <c r="S610" i="3"/>
  <c r="J610" i="3"/>
  <c r="Y609" i="3"/>
  <c r="V609" i="3"/>
  <c r="X609" i="3" s="1"/>
  <c r="S609" i="3"/>
  <c r="J609" i="3"/>
  <c r="Y608" i="3"/>
  <c r="V608" i="3"/>
  <c r="X608" i="3" s="1"/>
  <c r="S608" i="3"/>
  <c r="J608" i="3"/>
  <c r="Y607" i="3"/>
  <c r="V607" i="3"/>
  <c r="X607" i="3" s="1"/>
  <c r="S607" i="3"/>
  <c r="J607" i="3"/>
  <c r="Y606" i="3"/>
  <c r="V606" i="3"/>
  <c r="X606" i="3" s="1"/>
  <c r="S606" i="3"/>
  <c r="J606" i="3"/>
  <c r="Y605" i="3"/>
  <c r="V605" i="3"/>
  <c r="X605" i="3" s="1"/>
  <c r="S605" i="3"/>
  <c r="J605" i="3"/>
  <c r="Y604" i="3"/>
  <c r="V604" i="3"/>
  <c r="X604" i="3" s="1"/>
  <c r="S604" i="3"/>
  <c r="J604" i="3"/>
  <c r="Y603" i="3"/>
  <c r="X603" i="3"/>
  <c r="V603" i="3"/>
  <c r="S603" i="3"/>
  <c r="J603" i="3"/>
  <c r="W598" i="3"/>
  <c r="U598" i="3"/>
  <c r="T598" i="3"/>
  <c r="R598" i="3"/>
  <c r="I598" i="3"/>
  <c r="Y596" i="3"/>
  <c r="X596" i="3"/>
  <c r="V596" i="3"/>
  <c r="S596" i="3"/>
  <c r="J596" i="3"/>
  <c r="Y595" i="3"/>
  <c r="X595" i="3"/>
  <c r="V595" i="3"/>
  <c r="S595" i="3"/>
  <c r="J595" i="3"/>
  <c r="U591" i="3"/>
  <c r="T591" i="3"/>
  <c r="R591" i="3"/>
  <c r="I591" i="3"/>
  <c r="Y589" i="3"/>
  <c r="V589" i="3"/>
  <c r="X589" i="3" s="1"/>
  <c r="S589" i="3"/>
  <c r="J589" i="3"/>
  <c r="Y588" i="3"/>
  <c r="V588" i="3"/>
  <c r="X588" i="3" s="1"/>
  <c r="S588" i="3"/>
  <c r="J588" i="3"/>
  <c r="Y587" i="3"/>
  <c r="X587" i="3"/>
  <c r="V587" i="3"/>
  <c r="S587" i="3"/>
  <c r="J587" i="3"/>
  <c r="Y586" i="3"/>
  <c r="X586" i="3"/>
  <c r="V586" i="3"/>
  <c r="S586" i="3"/>
  <c r="J586" i="3"/>
  <c r="Y585" i="3"/>
  <c r="X585" i="3"/>
  <c r="V585" i="3"/>
  <c r="S585" i="3"/>
  <c r="J585" i="3"/>
  <c r="Y584" i="3"/>
  <c r="V584" i="3"/>
  <c r="X584" i="3" s="1"/>
  <c r="S584" i="3"/>
  <c r="J584" i="3"/>
  <c r="Y583" i="3"/>
  <c r="V583" i="3"/>
  <c r="X583" i="3" s="1"/>
  <c r="S583" i="3"/>
  <c r="J583" i="3"/>
  <c r="Y582" i="3"/>
  <c r="X582" i="3"/>
  <c r="V582" i="3"/>
  <c r="W591" i="3" s="1"/>
  <c r="S582" i="3"/>
  <c r="J582" i="3"/>
  <c r="Y581" i="3"/>
  <c r="V581" i="3"/>
  <c r="X581" i="3" s="1"/>
  <c r="S581" i="3"/>
  <c r="J581" i="3"/>
  <c r="Y580" i="3"/>
  <c r="X580" i="3"/>
  <c r="V580" i="3"/>
  <c r="S580" i="3"/>
  <c r="J580" i="3"/>
  <c r="V576" i="3"/>
  <c r="X576" i="3" s="1"/>
  <c r="T576" i="3"/>
  <c r="Y576" i="3" s="1"/>
  <c r="S576" i="3"/>
  <c r="J576" i="3"/>
  <c r="U572" i="3"/>
  <c r="T572" i="3"/>
  <c r="R572" i="3"/>
  <c r="I572" i="3"/>
  <c r="Y570" i="3"/>
  <c r="X570" i="3"/>
  <c r="V570" i="3"/>
  <c r="S570" i="3"/>
  <c r="J570" i="3"/>
  <c r="Y569" i="3"/>
  <c r="V569" i="3"/>
  <c r="W572" i="3" s="1"/>
  <c r="S569" i="3"/>
  <c r="J569" i="3"/>
  <c r="U565" i="3"/>
  <c r="T565" i="3"/>
  <c r="R565" i="3"/>
  <c r="I565" i="3"/>
  <c r="Y563" i="3"/>
  <c r="V563" i="3"/>
  <c r="X563" i="3" s="1"/>
  <c r="S563" i="3"/>
  <c r="J563" i="3"/>
  <c r="Y562" i="3"/>
  <c r="V562" i="3"/>
  <c r="X562" i="3" s="1"/>
  <c r="S562" i="3"/>
  <c r="J562" i="3"/>
  <c r="Y561" i="3"/>
  <c r="V561" i="3"/>
  <c r="X561" i="3" s="1"/>
  <c r="S561" i="3"/>
  <c r="J561" i="3"/>
  <c r="Y560" i="3"/>
  <c r="V560" i="3"/>
  <c r="X560" i="3" s="1"/>
  <c r="S560" i="3"/>
  <c r="J560" i="3"/>
  <c r="Y559" i="3"/>
  <c r="V559" i="3"/>
  <c r="X559" i="3" s="1"/>
  <c r="S559" i="3"/>
  <c r="J559" i="3"/>
  <c r="Y558" i="3"/>
  <c r="V558" i="3"/>
  <c r="X558" i="3" s="1"/>
  <c r="S558" i="3"/>
  <c r="J558" i="3"/>
  <c r="Y557" i="3"/>
  <c r="V557" i="3"/>
  <c r="X557" i="3" s="1"/>
  <c r="S557" i="3"/>
  <c r="J557" i="3"/>
  <c r="Y556" i="3"/>
  <c r="X556" i="3"/>
  <c r="V556" i="3"/>
  <c r="S556" i="3"/>
  <c r="J556" i="3"/>
  <c r="Y555" i="3"/>
  <c r="X555" i="3"/>
  <c r="V555" i="3"/>
  <c r="S555" i="3"/>
  <c r="J555" i="3"/>
  <c r="Y554" i="3"/>
  <c r="X554" i="3"/>
  <c r="V554" i="3"/>
  <c r="S554" i="3"/>
  <c r="J554" i="3"/>
  <c r="Y553" i="3"/>
  <c r="X553" i="3"/>
  <c r="V553" i="3"/>
  <c r="S553" i="3"/>
  <c r="J553" i="3"/>
  <c r="Y552" i="3"/>
  <c r="X552" i="3"/>
  <c r="V552" i="3"/>
  <c r="S552" i="3"/>
  <c r="J552" i="3"/>
  <c r="Y551" i="3"/>
  <c r="V551" i="3"/>
  <c r="X551" i="3" s="1"/>
  <c r="S551" i="3"/>
  <c r="J551" i="3"/>
  <c r="W547" i="3"/>
  <c r="U547" i="3"/>
  <c r="T547" i="3"/>
  <c r="R547" i="3"/>
  <c r="I547" i="3"/>
  <c r="Y545" i="3"/>
  <c r="X545" i="3"/>
  <c r="V545" i="3"/>
  <c r="S545" i="3"/>
  <c r="J545" i="3"/>
  <c r="Y544" i="3"/>
  <c r="X544" i="3"/>
  <c r="V544" i="3"/>
  <c r="S544" i="3"/>
  <c r="J544" i="3"/>
  <c r="Y543" i="3"/>
  <c r="X543" i="3"/>
  <c r="V543" i="3"/>
  <c r="S543" i="3"/>
  <c r="J543" i="3"/>
  <c r="Y542" i="3"/>
  <c r="V542" i="3"/>
  <c r="X542" i="3" s="1"/>
  <c r="S542" i="3"/>
  <c r="J542" i="3"/>
  <c r="U538" i="3"/>
  <c r="T538" i="3"/>
  <c r="R538" i="3"/>
  <c r="I538" i="3"/>
  <c r="Y536" i="3"/>
  <c r="V536" i="3"/>
  <c r="X536" i="3" s="1"/>
  <c r="S536" i="3"/>
  <c r="J536" i="3"/>
  <c r="Y535" i="3"/>
  <c r="V535" i="3"/>
  <c r="X535" i="3" s="1"/>
  <c r="S535" i="3"/>
  <c r="J535" i="3"/>
  <c r="Y534" i="3"/>
  <c r="X534" i="3"/>
  <c r="V534" i="3"/>
  <c r="S534" i="3"/>
  <c r="J534" i="3"/>
  <c r="Y533" i="3"/>
  <c r="V533" i="3"/>
  <c r="X533" i="3" s="1"/>
  <c r="S533" i="3"/>
  <c r="J533" i="3"/>
  <c r="Y532" i="3"/>
  <c r="X532" i="3"/>
  <c r="V532" i="3"/>
  <c r="S532" i="3"/>
  <c r="J532" i="3"/>
  <c r="Y531" i="3"/>
  <c r="V531" i="3"/>
  <c r="X531" i="3" s="1"/>
  <c r="S531" i="3"/>
  <c r="J531" i="3"/>
  <c r="Y530" i="3"/>
  <c r="V530" i="3"/>
  <c r="X530" i="3" s="1"/>
  <c r="S530" i="3"/>
  <c r="J530" i="3"/>
  <c r="Y529" i="3"/>
  <c r="V529" i="3"/>
  <c r="X529" i="3" s="1"/>
  <c r="S529" i="3"/>
  <c r="J529" i="3"/>
  <c r="Y528" i="3"/>
  <c r="X528" i="3"/>
  <c r="V528" i="3"/>
  <c r="S528" i="3"/>
  <c r="J528" i="3"/>
  <c r="U524" i="3"/>
  <c r="T524" i="3"/>
  <c r="R524" i="3"/>
  <c r="I524" i="3"/>
  <c r="V523" i="3"/>
  <c r="X523" i="3" s="1"/>
  <c r="Y522" i="3"/>
  <c r="X522" i="3"/>
  <c r="V522" i="3"/>
  <c r="S522" i="3"/>
  <c r="J522" i="3"/>
  <c r="Y521" i="3"/>
  <c r="V521" i="3"/>
  <c r="X521" i="3" s="1"/>
  <c r="S521" i="3"/>
  <c r="J521" i="3"/>
  <c r="Y520" i="3"/>
  <c r="V520" i="3"/>
  <c r="X520" i="3" s="1"/>
  <c r="S520" i="3"/>
  <c r="J520" i="3"/>
  <c r="Y519" i="3"/>
  <c r="V519" i="3"/>
  <c r="X519" i="3" s="1"/>
  <c r="S519" i="3"/>
  <c r="J519" i="3"/>
  <c r="Y518" i="3"/>
  <c r="X518" i="3"/>
  <c r="V518" i="3"/>
  <c r="S518" i="3"/>
  <c r="J518" i="3"/>
  <c r="Y517" i="3"/>
  <c r="V517" i="3"/>
  <c r="X517" i="3" s="1"/>
  <c r="S517" i="3"/>
  <c r="J517" i="3"/>
  <c r="U513" i="3"/>
  <c r="T513" i="3"/>
  <c r="R513" i="3"/>
  <c r="I513" i="3"/>
  <c r="X512" i="3"/>
  <c r="V512" i="3"/>
  <c r="Y511" i="3"/>
  <c r="X511" i="3"/>
  <c r="V511" i="3"/>
  <c r="S511" i="3"/>
  <c r="J511" i="3"/>
  <c r="Y510" i="3"/>
  <c r="X510" i="3"/>
  <c r="V510" i="3"/>
  <c r="S510" i="3"/>
  <c r="J510" i="3"/>
  <c r="Y509" i="3"/>
  <c r="X509" i="3"/>
  <c r="V509" i="3"/>
  <c r="S509" i="3"/>
  <c r="J509" i="3"/>
  <c r="Y508" i="3"/>
  <c r="X508" i="3"/>
  <c r="V508" i="3"/>
  <c r="S508" i="3"/>
  <c r="J508" i="3"/>
  <c r="Y507" i="3"/>
  <c r="V507" i="3"/>
  <c r="X507" i="3" s="1"/>
  <c r="S507" i="3"/>
  <c r="J507" i="3"/>
  <c r="Y506" i="3"/>
  <c r="X506" i="3"/>
  <c r="V506" i="3"/>
  <c r="S506" i="3"/>
  <c r="J506" i="3"/>
  <c r="Y505" i="3"/>
  <c r="X505" i="3"/>
  <c r="V505" i="3"/>
  <c r="S505" i="3"/>
  <c r="J505" i="3"/>
  <c r="Y504" i="3"/>
  <c r="X504" i="3"/>
  <c r="V504" i="3"/>
  <c r="S504" i="3"/>
  <c r="J504" i="3"/>
  <c r="Y503" i="3"/>
  <c r="X503" i="3"/>
  <c r="V503" i="3"/>
  <c r="S503" i="3"/>
  <c r="J503" i="3"/>
  <c r="Y502" i="3"/>
  <c r="V502" i="3"/>
  <c r="X502" i="3" s="1"/>
  <c r="S502" i="3"/>
  <c r="J502" i="3"/>
  <c r="Y501" i="3"/>
  <c r="V501" i="3"/>
  <c r="X501" i="3" s="1"/>
  <c r="S501" i="3"/>
  <c r="J501" i="3"/>
  <c r="Y500" i="3"/>
  <c r="V500" i="3"/>
  <c r="X500" i="3" s="1"/>
  <c r="S500" i="3"/>
  <c r="J500" i="3"/>
  <c r="Y499" i="3"/>
  <c r="V499" i="3"/>
  <c r="X499" i="3" s="1"/>
  <c r="S499" i="3"/>
  <c r="J499" i="3"/>
  <c r="Y498" i="3"/>
  <c r="V498" i="3"/>
  <c r="X498" i="3" s="1"/>
  <c r="S498" i="3"/>
  <c r="J498" i="3"/>
  <c r="U494" i="3"/>
  <c r="T494" i="3"/>
  <c r="R494" i="3"/>
  <c r="I494" i="3"/>
  <c r="Y492" i="3"/>
  <c r="X492" i="3"/>
  <c r="V492" i="3"/>
  <c r="S492" i="3"/>
  <c r="J492" i="3"/>
  <c r="Y491" i="3"/>
  <c r="V491" i="3"/>
  <c r="X491" i="3" s="1"/>
  <c r="S491" i="3"/>
  <c r="J491" i="3"/>
  <c r="Y490" i="3"/>
  <c r="V490" i="3"/>
  <c r="X490" i="3" s="1"/>
  <c r="S490" i="3"/>
  <c r="J490" i="3"/>
  <c r="Y489" i="3"/>
  <c r="X489" i="3"/>
  <c r="V489" i="3"/>
  <c r="S489" i="3"/>
  <c r="J489" i="3"/>
  <c r="Y488" i="3"/>
  <c r="X488" i="3"/>
  <c r="V488" i="3"/>
  <c r="S488" i="3"/>
  <c r="J488" i="3"/>
  <c r="Y487" i="3"/>
  <c r="V487" i="3"/>
  <c r="X487" i="3" s="1"/>
  <c r="S487" i="3"/>
  <c r="J487" i="3"/>
  <c r="Y486" i="3"/>
  <c r="V486" i="3"/>
  <c r="X486" i="3" s="1"/>
  <c r="S486" i="3"/>
  <c r="J486" i="3"/>
  <c r="Y485" i="3"/>
  <c r="X485" i="3"/>
  <c r="V485" i="3"/>
  <c r="S485" i="3"/>
  <c r="J485" i="3"/>
  <c r="Y484" i="3"/>
  <c r="X484" i="3"/>
  <c r="V484" i="3"/>
  <c r="S484" i="3"/>
  <c r="J484" i="3"/>
  <c r="Y483" i="3"/>
  <c r="X483" i="3"/>
  <c r="V483" i="3"/>
  <c r="S483" i="3"/>
  <c r="J483" i="3"/>
  <c r="Y482" i="3"/>
  <c r="V482" i="3"/>
  <c r="X482" i="3" s="1"/>
  <c r="S482" i="3"/>
  <c r="J482" i="3"/>
  <c r="Y481" i="3"/>
  <c r="V481" i="3"/>
  <c r="X481" i="3" s="1"/>
  <c r="S481" i="3"/>
  <c r="J481" i="3"/>
  <c r="Y480" i="3"/>
  <c r="V480" i="3"/>
  <c r="X480" i="3" s="1"/>
  <c r="S480" i="3"/>
  <c r="J480" i="3"/>
  <c r="U476" i="3"/>
  <c r="T476" i="3"/>
  <c r="R476" i="3"/>
  <c r="I476" i="3"/>
  <c r="Y474" i="3"/>
  <c r="V474" i="3"/>
  <c r="X474" i="3" s="1"/>
  <c r="S474" i="3"/>
  <c r="J474" i="3"/>
  <c r="Y473" i="3"/>
  <c r="V473" i="3"/>
  <c r="X473" i="3" s="1"/>
  <c r="S473" i="3"/>
  <c r="J473" i="3"/>
  <c r="Y472" i="3"/>
  <c r="X472" i="3"/>
  <c r="V472" i="3"/>
  <c r="S472" i="3"/>
  <c r="J472" i="3"/>
  <c r="Y471" i="3"/>
  <c r="X471" i="3"/>
  <c r="V471" i="3"/>
  <c r="S471" i="3"/>
  <c r="J471" i="3"/>
  <c r="Y470" i="3"/>
  <c r="V470" i="3"/>
  <c r="X470" i="3" s="1"/>
  <c r="S470" i="3"/>
  <c r="J470" i="3"/>
  <c r="Y469" i="3"/>
  <c r="X469" i="3"/>
  <c r="V469" i="3"/>
  <c r="S469" i="3"/>
  <c r="J469" i="3"/>
  <c r="Y468" i="3"/>
  <c r="X468" i="3"/>
  <c r="V468" i="3"/>
  <c r="S468" i="3"/>
  <c r="J468" i="3"/>
  <c r="Y467" i="3"/>
  <c r="V467" i="3"/>
  <c r="X467" i="3" s="1"/>
  <c r="S467" i="3"/>
  <c r="J467" i="3"/>
  <c r="Y466" i="3"/>
  <c r="X466" i="3"/>
  <c r="V466" i="3"/>
  <c r="S466" i="3"/>
  <c r="J466" i="3"/>
  <c r="Y465" i="3"/>
  <c r="V465" i="3"/>
  <c r="X465" i="3" s="1"/>
  <c r="S465" i="3"/>
  <c r="J465" i="3"/>
  <c r="Y464" i="3"/>
  <c r="X464" i="3"/>
  <c r="V464" i="3"/>
  <c r="S464" i="3"/>
  <c r="J464" i="3"/>
  <c r="Y463" i="3"/>
  <c r="X463" i="3"/>
  <c r="V463" i="3"/>
  <c r="W476" i="3" s="1"/>
  <c r="S463" i="3"/>
  <c r="J463" i="3"/>
  <c r="U459" i="3"/>
  <c r="T459" i="3"/>
  <c r="R459" i="3"/>
  <c r="I459" i="3"/>
  <c r="Y457" i="3"/>
  <c r="X457" i="3"/>
  <c r="V457" i="3"/>
  <c r="S457" i="3"/>
  <c r="J457" i="3"/>
  <c r="Y456" i="3"/>
  <c r="V456" i="3"/>
  <c r="X456" i="3" s="1"/>
  <c r="S456" i="3"/>
  <c r="J456" i="3"/>
  <c r="Y455" i="3"/>
  <c r="V455" i="3"/>
  <c r="X455" i="3" s="1"/>
  <c r="S455" i="3"/>
  <c r="J455" i="3"/>
  <c r="Y454" i="3"/>
  <c r="V454" i="3"/>
  <c r="X454" i="3" s="1"/>
  <c r="S454" i="3"/>
  <c r="J454" i="3"/>
  <c r="Y453" i="3"/>
  <c r="X453" i="3"/>
  <c r="V453" i="3"/>
  <c r="S453" i="3"/>
  <c r="J453" i="3"/>
  <c r="Y452" i="3"/>
  <c r="X452" i="3"/>
  <c r="V452" i="3"/>
  <c r="S452" i="3"/>
  <c r="J452" i="3"/>
  <c r="Y451" i="3"/>
  <c r="V451" i="3"/>
  <c r="S451" i="3"/>
  <c r="J451" i="3"/>
  <c r="U447" i="3"/>
  <c r="T447" i="3"/>
  <c r="R447" i="3"/>
  <c r="I447" i="3"/>
  <c r="V446" i="3"/>
  <c r="X446" i="3" s="1"/>
  <c r="Y445" i="3"/>
  <c r="V445" i="3"/>
  <c r="X445" i="3" s="1"/>
  <c r="S445" i="3"/>
  <c r="J445" i="3"/>
  <c r="Y444" i="3"/>
  <c r="V444" i="3"/>
  <c r="X444" i="3" s="1"/>
  <c r="S444" i="3"/>
  <c r="J444" i="3"/>
  <c r="Y443" i="3"/>
  <c r="V443" i="3"/>
  <c r="X443" i="3" s="1"/>
  <c r="S443" i="3"/>
  <c r="J443" i="3"/>
  <c r="Y442" i="3"/>
  <c r="X442" i="3"/>
  <c r="V442" i="3"/>
  <c r="S442" i="3"/>
  <c r="J442" i="3"/>
  <c r="Y441" i="3"/>
  <c r="X441" i="3"/>
  <c r="V441" i="3"/>
  <c r="S441" i="3"/>
  <c r="J441" i="3"/>
  <c r="Y440" i="3"/>
  <c r="X440" i="3"/>
  <c r="V440" i="3"/>
  <c r="S440" i="3"/>
  <c r="J440" i="3"/>
  <c r="U436" i="3"/>
  <c r="T436" i="3"/>
  <c r="R436" i="3"/>
  <c r="I436" i="3"/>
  <c r="Y434" i="3"/>
  <c r="X434" i="3"/>
  <c r="V434" i="3"/>
  <c r="S434" i="3"/>
  <c r="J434" i="3"/>
  <c r="Y433" i="3"/>
  <c r="V433" i="3"/>
  <c r="X433" i="3" s="1"/>
  <c r="S433" i="3"/>
  <c r="J433" i="3"/>
  <c r="Y432" i="3"/>
  <c r="X432" i="3"/>
  <c r="V432" i="3"/>
  <c r="S432" i="3"/>
  <c r="J432" i="3"/>
  <c r="Y431" i="3"/>
  <c r="X431" i="3"/>
  <c r="V431" i="3"/>
  <c r="S431" i="3"/>
  <c r="J431" i="3"/>
  <c r="Y430" i="3"/>
  <c r="X430" i="3"/>
  <c r="V430" i="3"/>
  <c r="S430" i="3"/>
  <c r="J430" i="3"/>
  <c r="Y429" i="3"/>
  <c r="X429" i="3"/>
  <c r="V429" i="3"/>
  <c r="W436" i="3" s="1"/>
  <c r="S429" i="3"/>
  <c r="J429" i="3"/>
  <c r="U425" i="3"/>
  <c r="T425" i="3"/>
  <c r="R425" i="3"/>
  <c r="I425" i="3"/>
  <c r="Y423" i="3"/>
  <c r="X423" i="3"/>
  <c r="V423" i="3"/>
  <c r="S423" i="3"/>
  <c r="J423" i="3"/>
  <c r="Y422" i="3"/>
  <c r="X422" i="3"/>
  <c r="V422" i="3"/>
  <c r="S422" i="3"/>
  <c r="J422" i="3"/>
  <c r="Y421" i="3"/>
  <c r="V421" i="3"/>
  <c r="X421" i="3" s="1"/>
  <c r="S421" i="3"/>
  <c r="J421" i="3"/>
  <c r="Y420" i="3"/>
  <c r="V420" i="3"/>
  <c r="X420" i="3" s="1"/>
  <c r="S420" i="3"/>
  <c r="J420" i="3"/>
  <c r="Y419" i="3"/>
  <c r="X419" i="3"/>
  <c r="V419" i="3"/>
  <c r="S419" i="3"/>
  <c r="J419" i="3"/>
  <c r="Y418" i="3"/>
  <c r="X418" i="3"/>
  <c r="V418" i="3"/>
  <c r="S418" i="3"/>
  <c r="J418" i="3"/>
  <c r="Y417" i="3"/>
  <c r="X417" i="3"/>
  <c r="V417" i="3"/>
  <c r="S417" i="3"/>
  <c r="J417" i="3"/>
  <c r="Y416" i="3"/>
  <c r="X416" i="3"/>
  <c r="V416" i="3"/>
  <c r="S416" i="3"/>
  <c r="J416" i="3"/>
  <c r="Y415" i="3"/>
  <c r="V415" i="3"/>
  <c r="X415" i="3" s="1"/>
  <c r="S415" i="3"/>
  <c r="J415" i="3"/>
  <c r="Y414" i="3"/>
  <c r="V414" i="3"/>
  <c r="X414" i="3" s="1"/>
  <c r="S414" i="3"/>
  <c r="J414" i="3"/>
  <c r="Y413" i="3"/>
  <c r="V413" i="3"/>
  <c r="S413" i="3"/>
  <c r="J413" i="3"/>
  <c r="U409" i="3"/>
  <c r="T409" i="3"/>
  <c r="R409" i="3"/>
  <c r="I409" i="3"/>
  <c r="Y407" i="3"/>
  <c r="X407" i="3"/>
  <c r="V407" i="3"/>
  <c r="S407" i="3"/>
  <c r="J407" i="3"/>
  <c r="Y406" i="3"/>
  <c r="X406" i="3"/>
  <c r="V406" i="3"/>
  <c r="S406" i="3"/>
  <c r="J406" i="3"/>
  <c r="Y405" i="3"/>
  <c r="V405" i="3"/>
  <c r="X405" i="3" s="1"/>
  <c r="S405" i="3"/>
  <c r="J405" i="3"/>
  <c r="Y404" i="3"/>
  <c r="V404" i="3"/>
  <c r="X404" i="3" s="1"/>
  <c r="S404" i="3"/>
  <c r="J404" i="3"/>
  <c r="Y403" i="3"/>
  <c r="V403" i="3"/>
  <c r="X403" i="3" s="1"/>
  <c r="S403" i="3"/>
  <c r="J403" i="3"/>
  <c r="Y402" i="3"/>
  <c r="V402" i="3"/>
  <c r="X402" i="3" s="1"/>
  <c r="S402" i="3"/>
  <c r="J402" i="3"/>
  <c r="Y401" i="3"/>
  <c r="V401" i="3"/>
  <c r="X401" i="3" s="1"/>
  <c r="S401" i="3"/>
  <c r="J401" i="3"/>
  <c r="U397" i="3"/>
  <c r="T397" i="3"/>
  <c r="R397" i="3"/>
  <c r="I397" i="3"/>
  <c r="Y395" i="3"/>
  <c r="V395" i="3"/>
  <c r="X395" i="3" s="1"/>
  <c r="S395" i="3"/>
  <c r="J395" i="3"/>
  <c r="Y394" i="3"/>
  <c r="X394" i="3"/>
  <c r="V394" i="3"/>
  <c r="S394" i="3"/>
  <c r="J394" i="3"/>
  <c r="Y393" i="3"/>
  <c r="X393" i="3"/>
  <c r="V393" i="3"/>
  <c r="W397" i="3" s="1"/>
  <c r="S393" i="3"/>
  <c r="J393" i="3"/>
  <c r="Y392" i="3"/>
  <c r="X392" i="3"/>
  <c r="V392" i="3"/>
  <c r="S392" i="3"/>
  <c r="J392" i="3"/>
  <c r="Y391" i="3"/>
  <c r="X391" i="3"/>
  <c r="V391" i="3"/>
  <c r="S391" i="3"/>
  <c r="J391" i="3"/>
  <c r="W387" i="3"/>
  <c r="U387" i="3"/>
  <c r="I387" i="3"/>
  <c r="Y385" i="3"/>
  <c r="X385" i="3"/>
  <c r="V385" i="3"/>
  <c r="T385" i="3"/>
  <c r="S385" i="3"/>
  <c r="J385" i="3"/>
  <c r="W381" i="3"/>
  <c r="U381" i="3"/>
  <c r="T381" i="3"/>
  <c r="R381" i="3"/>
  <c r="I381" i="3"/>
  <c r="V379" i="3"/>
  <c r="X379" i="3" s="1"/>
  <c r="S379" i="3"/>
  <c r="J379" i="3"/>
  <c r="Y378" i="3"/>
  <c r="X378" i="3"/>
  <c r="V378" i="3"/>
  <c r="S378" i="3"/>
  <c r="J378" i="3"/>
  <c r="U374" i="3"/>
  <c r="T374" i="3"/>
  <c r="R374" i="3"/>
  <c r="I374" i="3"/>
  <c r="V372" i="3"/>
  <c r="X372" i="3" s="1"/>
  <c r="S372" i="3"/>
  <c r="J372" i="3"/>
  <c r="X371" i="3"/>
  <c r="V371" i="3"/>
  <c r="S371" i="3"/>
  <c r="J371" i="3"/>
  <c r="V370" i="3"/>
  <c r="X370" i="3" s="1"/>
  <c r="S370" i="3"/>
  <c r="J370" i="3"/>
  <c r="X369" i="3"/>
  <c r="V369" i="3"/>
  <c r="S369" i="3"/>
  <c r="J369" i="3"/>
  <c r="V368" i="3"/>
  <c r="X368" i="3" s="1"/>
  <c r="S368" i="3"/>
  <c r="J368" i="3"/>
  <c r="X367" i="3"/>
  <c r="V367" i="3"/>
  <c r="S367" i="3"/>
  <c r="J367" i="3"/>
  <c r="V366" i="3"/>
  <c r="W374" i="3" s="1"/>
  <c r="S366" i="3"/>
  <c r="J366" i="3"/>
  <c r="X365" i="3"/>
  <c r="V365" i="3"/>
  <c r="S365" i="3"/>
  <c r="J365" i="3"/>
  <c r="Y364" i="3"/>
  <c r="X364" i="3"/>
  <c r="V364" i="3"/>
  <c r="S364" i="3"/>
  <c r="J364" i="3"/>
  <c r="T360" i="3"/>
  <c r="Y360" i="3" s="1"/>
  <c r="S360" i="3"/>
  <c r="J360" i="3"/>
  <c r="Y356" i="3"/>
  <c r="T356" i="3"/>
  <c r="V356" i="3" s="1"/>
  <c r="X356" i="3" s="1"/>
  <c r="S356" i="3"/>
  <c r="J356" i="3"/>
  <c r="U352" i="3"/>
  <c r="T352" i="3"/>
  <c r="R352" i="3"/>
  <c r="I352" i="3"/>
  <c r="V350" i="3"/>
  <c r="X350" i="3" s="1"/>
  <c r="S350" i="3"/>
  <c r="J350" i="3"/>
  <c r="V349" i="3"/>
  <c r="X349" i="3" s="1"/>
  <c r="S349" i="3"/>
  <c r="J349" i="3"/>
  <c r="V348" i="3"/>
  <c r="X348" i="3" s="1"/>
  <c r="S348" i="3"/>
  <c r="J348" i="3"/>
  <c r="Y347" i="3"/>
  <c r="V347" i="3"/>
  <c r="X347" i="3" s="1"/>
  <c r="S347" i="3"/>
  <c r="J347" i="3"/>
  <c r="W341" i="3"/>
  <c r="U341" i="3"/>
  <c r="T341" i="3"/>
  <c r="R341" i="3"/>
  <c r="I341" i="3"/>
  <c r="X339" i="3"/>
  <c r="V339" i="3"/>
  <c r="S339" i="3"/>
  <c r="J339" i="3"/>
  <c r="V338" i="3"/>
  <c r="X338" i="3" s="1"/>
  <c r="S338" i="3"/>
  <c r="J338" i="3"/>
  <c r="X337" i="3"/>
  <c r="V337" i="3"/>
  <c r="S337" i="3"/>
  <c r="J337" i="3"/>
  <c r="Y336" i="3"/>
  <c r="X336" i="3"/>
  <c r="V336" i="3"/>
  <c r="S336" i="3"/>
  <c r="J336" i="3"/>
  <c r="U332" i="3"/>
  <c r="T332" i="3"/>
  <c r="R332" i="3"/>
  <c r="I332" i="3"/>
  <c r="V330" i="3"/>
  <c r="X330" i="3" s="1"/>
  <c r="S330" i="3"/>
  <c r="J330" i="3"/>
  <c r="Y329" i="3"/>
  <c r="V329" i="3"/>
  <c r="X329" i="3" s="1"/>
  <c r="S329" i="3"/>
  <c r="J329" i="3"/>
  <c r="W325" i="3"/>
  <c r="U325" i="3"/>
  <c r="T325" i="3"/>
  <c r="R325" i="3"/>
  <c r="I325" i="3"/>
  <c r="Y323" i="3"/>
  <c r="X323" i="3"/>
  <c r="V323" i="3"/>
  <c r="S323" i="3"/>
  <c r="J323" i="3"/>
  <c r="Y322" i="3"/>
  <c r="X322" i="3"/>
  <c r="V322" i="3"/>
  <c r="S322" i="3"/>
  <c r="J322" i="3"/>
  <c r="U318" i="3"/>
  <c r="T318" i="3"/>
  <c r="R318" i="3"/>
  <c r="I318" i="3"/>
  <c r="X316" i="3"/>
  <c r="V316" i="3"/>
  <c r="S316" i="3"/>
  <c r="J316" i="3"/>
  <c r="Y315" i="3"/>
  <c r="X315" i="3"/>
  <c r="V315" i="3"/>
  <c r="S315" i="3"/>
  <c r="J315" i="3"/>
  <c r="Y314" i="3"/>
  <c r="X314" i="3"/>
  <c r="V314" i="3"/>
  <c r="S314" i="3"/>
  <c r="J314" i="3"/>
  <c r="Y313" i="3"/>
  <c r="V313" i="3"/>
  <c r="X313" i="3" s="1"/>
  <c r="S313" i="3"/>
  <c r="J313" i="3"/>
  <c r="Y312" i="3"/>
  <c r="V312" i="3"/>
  <c r="X312" i="3" s="1"/>
  <c r="S312" i="3"/>
  <c r="J312" i="3"/>
  <c r="Y311" i="3"/>
  <c r="V311" i="3"/>
  <c r="X311" i="3" s="1"/>
  <c r="S311" i="3"/>
  <c r="J311" i="3"/>
  <c r="Y310" i="3"/>
  <c r="V310" i="3"/>
  <c r="X310" i="3" s="1"/>
  <c r="S310" i="3"/>
  <c r="J310" i="3"/>
  <c r="Y309" i="3"/>
  <c r="V309" i="3"/>
  <c r="X309" i="3" s="1"/>
  <c r="S309" i="3"/>
  <c r="J309" i="3"/>
  <c r="Y308" i="3"/>
  <c r="V308" i="3"/>
  <c r="X308" i="3" s="1"/>
  <c r="S308" i="3"/>
  <c r="J308" i="3"/>
  <c r="V307" i="3"/>
  <c r="X307" i="3" s="1"/>
  <c r="S307" i="3"/>
  <c r="J307" i="3"/>
  <c r="Y306" i="3"/>
  <c r="X306" i="3"/>
  <c r="V306" i="3"/>
  <c r="S306" i="3"/>
  <c r="J306" i="3"/>
  <c r="W303" i="3"/>
  <c r="U303" i="3"/>
  <c r="I303" i="3"/>
  <c r="V301" i="3"/>
  <c r="X301" i="3" s="1"/>
  <c r="T301" i="3"/>
  <c r="S301" i="3"/>
  <c r="J301" i="3"/>
  <c r="X297" i="3"/>
  <c r="V297" i="3"/>
  <c r="T297" i="3"/>
  <c r="S297" i="3"/>
  <c r="J297" i="3"/>
  <c r="I294" i="3"/>
  <c r="T292" i="3"/>
  <c r="U294" i="3" s="1"/>
  <c r="S292" i="3"/>
  <c r="J292" i="3"/>
  <c r="U288" i="3"/>
  <c r="T288" i="3"/>
  <c r="R288" i="3"/>
  <c r="I288" i="3"/>
  <c r="X286" i="3"/>
  <c r="V286" i="3"/>
  <c r="S286" i="3"/>
  <c r="J286" i="3"/>
  <c r="Y285" i="3"/>
  <c r="V285" i="3"/>
  <c r="W288" i="3" s="1"/>
  <c r="S285" i="3"/>
  <c r="J285" i="3"/>
  <c r="Y281" i="3"/>
  <c r="V281" i="3"/>
  <c r="X281" i="3" s="1"/>
  <c r="T281" i="3"/>
  <c r="S281" i="3"/>
  <c r="J281" i="3"/>
  <c r="U277" i="3"/>
  <c r="T277" i="3"/>
  <c r="R277" i="3"/>
  <c r="I277" i="3"/>
  <c r="Y275" i="3"/>
  <c r="V275" i="3"/>
  <c r="X275" i="3" s="1"/>
  <c r="S275" i="3"/>
  <c r="J275" i="3"/>
  <c r="Y274" i="3"/>
  <c r="V274" i="3"/>
  <c r="X274" i="3" s="1"/>
  <c r="S274" i="3"/>
  <c r="J274" i="3"/>
  <c r="Y273" i="3"/>
  <c r="V273" i="3"/>
  <c r="X273" i="3" s="1"/>
  <c r="S273" i="3"/>
  <c r="J273" i="3"/>
  <c r="Y272" i="3"/>
  <c r="V272" i="3"/>
  <c r="X272" i="3" s="1"/>
  <c r="S272" i="3"/>
  <c r="J272" i="3"/>
  <c r="Y271" i="3"/>
  <c r="X271" i="3"/>
  <c r="V271" i="3"/>
  <c r="S271" i="3"/>
  <c r="J271" i="3"/>
  <c r="Y270" i="3"/>
  <c r="V270" i="3"/>
  <c r="X270" i="3" s="1"/>
  <c r="S270" i="3"/>
  <c r="J270" i="3"/>
  <c r="Y269" i="3"/>
  <c r="X269" i="3"/>
  <c r="V269" i="3"/>
  <c r="S269" i="3"/>
  <c r="J269" i="3"/>
  <c r="Y268" i="3"/>
  <c r="V268" i="3"/>
  <c r="X268" i="3" s="1"/>
  <c r="S268" i="3"/>
  <c r="J268" i="3"/>
  <c r="Y267" i="3"/>
  <c r="V267" i="3"/>
  <c r="X267" i="3" s="1"/>
  <c r="S267" i="3"/>
  <c r="J267" i="3"/>
  <c r="Y266" i="3"/>
  <c r="V266" i="3"/>
  <c r="X266" i="3" s="1"/>
  <c r="S266" i="3"/>
  <c r="J266" i="3"/>
  <c r="Y265" i="3"/>
  <c r="V265" i="3"/>
  <c r="X265" i="3" s="1"/>
  <c r="S265" i="3"/>
  <c r="J265" i="3"/>
  <c r="Y264" i="3"/>
  <c r="V264" i="3"/>
  <c r="X264" i="3" s="1"/>
  <c r="S264" i="3"/>
  <c r="J264" i="3"/>
  <c r="Y263" i="3"/>
  <c r="V263" i="3"/>
  <c r="X263" i="3" s="1"/>
  <c r="S263" i="3"/>
  <c r="J263" i="3"/>
  <c r="Y262" i="3"/>
  <c r="V262" i="3"/>
  <c r="X262" i="3" s="1"/>
  <c r="S262" i="3"/>
  <c r="J262" i="3"/>
  <c r="W258" i="3"/>
  <c r="U258" i="3"/>
  <c r="T258" i="3"/>
  <c r="R258" i="3"/>
  <c r="I258" i="3"/>
  <c r="Y256" i="3"/>
  <c r="V256" i="3"/>
  <c r="X256" i="3" s="1"/>
  <c r="S256" i="3"/>
  <c r="J256" i="3"/>
  <c r="Y255" i="3"/>
  <c r="X255" i="3"/>
  <c r="V255" i="3"/>
  <c r="S255" i="3"/>
  <c r="J255" i="3"/>
  <c r="Y254" i="3"/>
  <c r="X254" i="3"/>
  <c r="V254" i="3"/>
  <c r="S254" i="3"/>
  <c r="J254" i="3"/>
  <c r="Y253" i="3"/>
  <c r="V253" i="3"/>
  <c r="X253" i="3" s="1"/>
  <c r="S253" i="3"/>
  <c r="J253" i="3"/>
  <c r="Y252" i="3"/>
  <c r="V252" i="3"/>
  <c r="X252" i="3" s="1"/>
  <c r="S252" i="3"/>
  <c r="J252" i="3"/>
  <c r="Y251" i="3"/>
  <c r="V251" i="3"/>
  <c r="X251" i="3" s="1"/>
  <c r="S251" i="3"/>
  <c r="J251" i="3"/>
  <c r="U247" i="3"/>
  <c r="T247" i="3"/>
  <c r="R247" i="3"/>
  <c r="I247" i="3"/>
  <c r="Y245" i="3"/>
  <c r="X245" i="3"/>
  <c r="V245" i="3"/>
  <c r="S245" i="3"/>
  <c r="J245" i="3"/>
  <c r="Y244" i="3"/>
  <c r="V244" i="3"/>
  <c r="X244" i="3" s="1"/>
  <c r="S244" i="3"/>
  <c r="J244" i="3"/>
  <c r="Y243" i="3"/>
  <c r="V243" i="3"/>
  <c r="X243" i="3" s="1"/>
  <c r="S243" i="3"/>
  <c r="J243" i="3"/>
  <c r="Y242" i="3"/>
  <c r="V242" i="3"/>
  <c r="X242" i="3" s="1"/>
  <c r="S242" i="3"/>
  <c r="J242" i="3"/>
  <c r="Y241" i="3"/>
  <c r="V241" i="3"/>
  <c r="X241" i="3" s="1"/>
  <c r="S241" i="3"/>
  <c r="J241" i="3"/>
  <c r="Y240" i="3"/>
  <c r="V240" i="3"/>
  <c r="X240" i="3" s="1"/>
  <c r="S240" i="3"/>
  <c r="J240" i="3"/>
  <c r="Y239" i="3"/>
  <c r="X239" i="3"/>
  <c r="V239" i="3"/>
  <c r="S239" i="3"/>
  <c r="J239" i="3"/>
  <c r="Y238" i="3"/>
  <c r="X238" i="3"/>
  <c r="V238" i="3"/>
  <c r="W247" i="3" s="1"/>
  <c r="S238" i="3"/>
  <c r="J238" i="3"/>
  <c r="Y237" i="3"/>
  <c r="X237" i="3"/>
  <c r="V237" i="3"/>
  <c r="S237" i="3"/>
  <c r="J237" i="3"/>
  <c r="U233" i="3"/>
  <c r="T233" i="3"/>
  <c r="R233" i="3"/>
  <c r="I233" i="3"/>
  <c r="Y231" i="3"/>
  <c r="V231" i="3"/>
  <c r="X231" i="3" s="1"/>
  <c r="S231" i="3"/>
  <c r="J231" i="3"/>
  <c r="Y230" i="3"/>
  <c r="X230" i="3"/>
  <c r="V230" i="3"/>
  <c r="S230" i="3"/>
  <c r="J230" i="3"/>
  <c r="Y229" i="3"/>
  <c r="X229" i="3"/>
  <c r="V229" i="3"/>
  <c r="S229" i="3"/>
  <c r="J229" i="3"/>
  <c r="Y228" i="3"/>
  <c r="V228" i="3"/>
  <c r="X228" i="3" s="1"/>
  <c r="S228" i="3"/>
  <c r="J228" i="3"/>
  <c r="Y227" i="3"/>
  <c r="V227" i="3"/>
  <c r="X227" i="3" s="1"/>
  <c r="S227" i="3"/>
  <c r="J227" i="3"/>
  <c r="Y226" i="3"/>
  <c r="V226" i="3"/>
  <c r="X226" i="3" s="1"/>
  <c r="S226" i="3"/>
  <c r="J226" i="3"/>
  <c r="Y225" i="3"/>
  <c r="X225" i="3"/>
  <c r="V225" i="3"/>
  <c r="S225" i="3"/>
  <c r="J225" i="3"/>
  <c r="U221" i="3"/>
  <c r="T221" i="3"/>
  <c r="R221" i="3"/>
  <c r="I221" i="3"/>
  <c r="V219" i="3"/>
  <c r="X219" i="3" s="1"/>
  <c r="S219" i="3"/>
  <c r="J219" i="3"/>
  <c r="Y218" i="3"/>
  <c r="X218" i="3"/>
  <c r="V218" i="3"/>
  <c r="S218" i="3"/>
  <c r="J218" i="3"/>
  <c r="W214" i="3"/>
  <c r="U214" i="3"/>
  <c r="I214" i="3"/>
  <c r="T213" i="3"/>
  <c r="V213" i="3" s="1"/>
  <c r="X213" i="3" s="1"/>
  <c r="S213" i="3"/>
  <c r="J213" i="3"/>
  <c r="U209" i="3"/>
  <c r="T209" i="3"/>
  <c r="R209" i="3"/>
  <c r="I209" i="3"/>
  <c r="Y207" i="3"/>
  <c r="V207" i="3"/>
  <c r="X207" i="3" s="1"/>
  <c r="S207" i="3"/>
  <c r="J207" i="3"/>
  <c r="Y206" i="3"/>
  <c r="V206" i="3"/>
  <c r="X206" i="3" s="1"/>
  <c r="S206" i="3"/>
  <c r="J206" i="3"/>
  <c r="Y205" i="3"/>
  <c r="V205" i="3"/>
  <c r="X205" i="3" s="1"/>
  <c r="S205" i="3"/>
  <c r="J205" i="3"/>
  <c r="U201" i="3"/>
  <c r="T201" i="3"/>
  <c r="R201" i="3"/>
  <c r="I201" i="3"/>
  <c r="Y199" i="3"/>
  <c r="V199" i="3"/>
  <c r="X199" i="3" s="1"/>
  <c r="S199" i="3"/>
  <c r="J199" i="3"/>
  <c r="Y198" i="3"/>
  <c r="V198" i="3"/>
  <c r="X198" i="3" s="1"/>
  <c r="S198" i="3"/>
  <c r="J198" i="3"/>
  <c r="Y197" i="3"/>
  <c r="X197" i="3"/>
  <c r="V197" i="3"/>
  <c r="S197" i="3"/>
  <c r="J197" i="3"/>
  <c r="Y196" i="3"/>
  <c r="X196" i="3"/>
  <c r="V196" i="3"/>
  <c r="S196" i="3"/>
  <c r="J196" i="3"/>
  <c r="Y195" i="3"/>
  <c r="V195" i="3"/>
  <c r="X195" i="3" s="1"/>
  <c r="S195" i="3"/>
  <c r="J195" i="3"/>
  <c r="U191" i="3"/>
  <c r="T191" i="3"/>
  <c r="R191" i="3"/>
  <c r="I191" i="3"/>
  <c r="Y189" i="3"/>
  <c r="V189" i="3"/>
  <c r="X189" i="3" s="1"/>
  <c r="S189" i="3"/>
  <c r="J189" i="3"/>
  <c r="Y188" i="3"/>
  <c r="X188" i="3"/>
  <c r="V188" i="3"/>
  <c r="S188" i="3"/>
  <c r="J188" i="3"/>
  <c r="Y187" i="3"/>
  <c r="X187" i="3"/>
  <c r="V187" i="3"/>
  <c r="S187" i="3"/>
  <c r="J187" i="3"/>
  <c r="Y186" i="3"/>
  <c r="V186" i="3"/>
  <c r="X186" i="3" s="1"/>
  <c r="S186" i="3"/>
  <c r="J186" i="3"/>
  <c r="U182" i="3"/>
  <c r="T182" i="3"/>
  <c r="R182" i="3"/>
  <c r="I182" i="3"/>
  <c r="Y180" i="3"/>
  <c r="V180" i="3"/>
  <c r="X180" i="3" s="1"/>
  <c r="S180" i="3"/>
  <c r="J180" i="3"/>
  <c r="Y179" i="3"/>
  <c r="V179" i="3"/>
  <c r="X179" i="3" s="1"/>
  <c r="S179" i="3"/>
  <c r="J179" i="3"/>
  <c r="Y178" i="3"/>
  <c r="X178" i="3"/>
  <c r="V178" i="3"/>
  <c r="S178" i="3"/>
  <c r="J178" i="3"/>
  <c r="Y177" i="3"/>
  <c r="V177" i="3"/>
  <c r="X177" i="3" s="1"/>
  <c r="S177" i="3"/>
  <c r="J177" i="3"/>
  <c r="Y176" i="3"/>
  <c r="X176" i="3"/>
  <c r="V176" i="3"/>
  <c r="S176" i="3"/>
  <c r="J176" i="3"/>
  <c r="Y175" i="3"/>
  <c r="V175" i="3"/>
  <c r="W182" i="3" s="1"/>
  <c r="S175" i="3"/>
  <c r="J175" i="3"/>
  <c r="U171" i="3"/>
  <c r="T171" i="3"/>
  <c r="R171" i="3"/>
  <c r="I171" i="3"/>
  <c r="Y169" i="3"/>
  <c r="X169" i="3"/>
  <c r="V169" i="3"/>
  <c r="S169" i="3"/>
  <c r="J169" i="3"/>
  <c r="Y168" i="3"/>
  <c r="V168" i="3"/>
  <c r="X168" i="3" s="1"/>
  <c r="S168" i="3"/>
  <c r="J168" i="3"/>
  <c r="Y167" i="3"/>
  <c r="V167" i="3"/>
  <c r="S167" i="3"/>
  <c r="J167" i="3"/>
  <c r="U163" i="3"/>
  <c r="T163" i="3"/>
  <c r="R163" i="3"/>
  <c r="I163" i="3"/>
  <c r="Y161" i="3"/>
  <c r="X161" i="3"/>
  <c r="V161" i="3"/>
  <c r="S161" i="3"/>
  <c r="J161" i="3"/>
  <c r="Y160" i="3"/>
  <c r="X160" i="3"/>
  <c r="V160" i="3"/>
  <c r="S160" i="3"/>
  <c r="J160" i="3"/>
  <c r="Y159" i="3"/>
  <c r="V159" i="3"/>
  <c r="X159" i="3" s="1"/>
  <c r="S159" i="3"/>
  <c r="J159" i="3"/>
  <c r="Y158" i="3"/>
  <c r="V158" i="3"/>
  <c r="X158" i="3" s="1"/>
  <c r="S158" i="3"/>
  <c r="J158" i="3"/>
  <c r="Y157" i="3"/>
  <c r="V157" i="3"/>
  <c r="W163" i="3" s="1"/>
  <c r="S157" i="3"/>
  <c r="J157" i="3"/>
  <c r="Y156" i="3"/>
  <c r="V156" i="3"/>
  <c r="X156" i="3" s="1"/>
  <c r="S156" i="3"/>
  <c r="J156" i="3"/>
  <c r="T152" i="3"/>
  <c r="V152" i="3" s="1"/>
  <c r="X152" i="3" s="1"/>
  <c r="S152" i="3"/>
  <c r="J152" i="3"/>
  <c r="W148" i="3"/>
  <c r="U148" i="3"/>
  <c r="T148" i="3"/>
  <c r="R148" i="3"/>
  <c r="I148" i="3"/>
  <c r="Y146" i="3"/>
  <c r="X146" i="3"/>
  <c r="V146" i="3"/>
  <c r="S146" i="3"/>
  <c r="J146" i="3"/>
  <c r="Y145" i="3"/>
  <c r="V145" i="3"/>
  <c r="X145" i="3" s="1"/>
  <c r="S145" i="3"/>
  <c r="J145" i="3"/>
  <c r="Y144" i="3"/>
  <c r="V144" i="3"/>
  <c r="X144" i="3" s="1"/>
  <c r="S144" i="3"/>
  <c r="J144" i="3"/>
  <c r="Y143" i="3"/>
  <c r="V143" i="3"/>
  <c r="X143" i="3" s="1"/>
  <c r="S143" i="3"/>
  <c r="J143" i="3"/>
  <c r="Y142" i="3"/>
  <c r="X142" i="3"/>
  <c r="V142" i="3"/>
  <c r="S142" i="3"/>
  <c r="J142" i="3"/>
  <c r="U138" i="3"/>
  <c r="T138" i="3"/>
  <c r="R138" i="3"/>
  <c r="I138" i="3"/>
  <c r="Y136" i="3"/>
  <c r="X136" i="3"/>
  <c r="V136" i="3"/>
  <c r="S136" i="3"/>
  <c r="J136" i="3"/>
  <c r="Y135" i="3"/>
  <c r="V135" i="3"/>
  <c r="W138" i="3" s="1"/>
  <c r="S135" i="3"/>
  <c r="J135" i="3"/>
  <c r="U131" i="3"/>
  <c r="T131" i="3"/>
  <c r="R131" i="3"/>
  <c r="I131" i="3"/>
  <c r="J715" i="3" s="1"/>
  <c r="Y129" i="3"/>
  <c r="V129" i="3"/>
  <c r="X129" i="3" s="1"/>
  <c r="S129" i="3"/>
  <c r="J129" i="3"/>
  <c r="Y128" i="3"/>
  <c r="X128" i="3"/>
  <c r="V128" i="3"/>
  <c r="S128" i="3"/>
  <c r="J128" i="3"/>
  <c r="Y127" i="3"/>
  <c r="X127" i="3"/>
  <c r="V127" i="3"/>
  <c r="S127" i="3"/>
  <c r="J127" i="3"/>
  <c r="Y126" i="3"/>
  <c r="X126" i="3"/>
  <c r="V126" i="3"/>
  <c r="S126" i="3"/>
  <c r="J126" i="3"/>
  <c r="Y125" i="3"/>
  <c r="V125" i="3"/>
  <c r="S125" i="3"/>
  <c r="J125" i="3"/>
  <c r="U121" i="3"/>
  <c r="T121" i="3"/>
  <c r="R121" i="3"/>
  <c r="I121" i="3"/>
  <c r="Y119" i="3"/>
  <c r="X119" i="3"/>
  <c r="V119" i="3"/>
  <c r="S119" i="3"/>
  <c r="J119" i="3"/>
  <c r="Y118" i="3"/>
  <c r="X118" i="3"/>
  <c r="V118" i="3"/>
  <c r="S118" i="3"/>
  <c r="J118" i="3"/>
  <c r="Y117" i="3"/>
  <c r="V117" i="3"/>
  <c r="X117" i="3" s="1"/>
  <c r="S117" i="3"/>
  <c r="J117" i="3"/>
  <c r="Y116" i="3"/>
  <c r="V116" i="3"/>
  <c r="X116" i="3" s="1"/>
  <c r="S116" i="3"/>
  <c r="J116" i="3"/>
  <c r="Y115" i="3"/>
  <c r="X115" i="3"/>
  <c r="V115" i="3"/>
  <c r="S115" i="3"/>
  <c r="J115" i="3"/>
  <c r="Y114" i="3"/>
  <c r="X114" i="3"/>
  <c r="V114" i="3"/>
  <c r="S114" i="3"/>
  <c r="J114" i="3"/>
  <c r="Y113" i="3"/>
  <c r="X113" i="3"/>
  <c r="V113" i="3"/>
  <c r="S113" i="3"/>
  <c r="J113" i="3"/>
  <c r="Y112" i="3"/>
  <c r="V112" i="3"/>
  <c r="X112" i="3" s="1"/>
  <c r="S112" i="3"/>
  <c r="J112" i="3"/>
  <c r="Y111" i="3"/>
  <c r="V111" i="3"/>
  <c r="X111" i="3" s="1"/>
  <c r="S111" i="3"/>
  <c r="J111" i="3"/>
  <c r="Y110" i="3"/>
  <c r="V110" i="3"/>
  <c r="S110" i="3"/>
  <c r="J110" i="3"/>
  <c r="U106" i="3"/>
  <c r="T106" i="3"/>
  <c r="R106" i="3"/>
  <c r="I106" i="3"/>
  <c r="Y104" i="3"/>
  <c r="V104" i="3"/>
  <c r="X104" i="3" s="1"/>
  <c r="S104" i="3"/>
  <c r="J104" i="3"/>
  <c r="Y103" i="3"/>
  <c r="V103" i="3"/>
  <c r="W106" i="3" s="1"/>
  <c r="S103" i="3"/>
  <c r="J103" i="3"/>
  <c r="Y102" i="3"/>
  <c r="X102" i="3"/>
  <c r="V102" i="3"/>
  <c r="S102" i="3"/>
  <c r="J102" i="3"/>
  <c r="Y101" i="3"/>
  <c r="X101" i="3"/>
  <c r="V101" i="3"/>
  <c r="S101" i="3"/>
  <c r="J101" i="3"/>
  <c r="R97" i="3"/>
  <c r="I97" i="3"/>
  <c r="Y96" i="3"/>
  <c r="T96" i="3"/>
  <c r="S96" i="3"/>
  <c r="J96" i="3"/>
  <c r="U92" i="3"/>
  <c r="T92" i="3"/>
  <c r="R92" i="3"/>
  <c r="I92" i="3"/>
  <c r="X90" i="3"/>
  <c r="V90" i="3"/>
  <c r="S90" i="3"/>
  <c r="J90" i="3"/>
  <c r="Y89" i="3"/>
  <c r="V89" i="3"/>
  <c r="X89" i="3" s="1"/>
  <c r="S89" i="3"/>
  <c r="J89" i="3"/>
  <c r="Y88" i="3"/>
  <c r="V88" i="3"/>
  <c r="X88" i="3" s="1"/>
  <c r="S88" i="3"/>
  <c r="J88" i="3"/>
  <c r="Y87" i="3"/>
  <c r="V87" i="3"/>
  <c r="X87" i="3" s="1"/>
  <c r="S87" i="3"/>
  <c r="J87" i="3"/>
  <c r="Y86" i="3"/>
  <c r="X86" i="3"/>
  <c r="V86" i="3"/>
  <c r="S86" i="3"/>
  <c r="J86" i="3"/>
  <c r="Y85" i="3"/>
  <c r="V85" i="3"/>
  <c r="X85" i="3" s="1"/>
  <c r="S85" i="3"/>
  <c r="J85" i="3"/>
  <c r="Y84" i="3"/>
  <c r="V84" i="3"/>
  <c r="W92" i="3" s="1"/>
  <c r="S84" i="3"/>
  <c r="J84" i="3"/>
  <c r="U80" i="3"/>
  <c r="T80" i="3"/>
  <c r="R80" i="3"/>
  <c r="I80" i="3"/>
  <c r="X78" i="3"/>
  <c r="V78" i="3"/>
  <c r="S78" i="3"/>
  <c r="J78" i="3"/>
  <c r="V77" i="3"/>
  <c r="X77" i="3" s="1"/>
  <c r="S77" i="3"/>
  <c r="J77" i="3"/>
  <c r="Y76" i="3"/>
  <c r="X76" i="3"/>
  <c r="V76" i="3"/>
  <c r="S76" i="3"/>
  <c r="J76" i="3"/>
  <c r="Y75" i="3"/>
  <c r="V75" i="3"/>
  <c r="X75" i="3" s="1"/>
  <c r="S75" i="3"/>
  <c r="J75" i="3"/>
  <c r="Y74" i="3"/>
  <c r="X74" i="3"/>
  <c r="V74" i="3"/>
  <c r="S74" i="3"/>
  <c r="J74" i="3"/>
  <c r="Y73" i="3"/>
  <c r="X73" i="3"/>
  <c r="V73" i="3"/>
  <c r="S73" i="3"/>
  <c r="J73" i="3"/>
  <c r="Y72" i="3"/>
  <c r="V72" i="3"/>
  <c r="X72" i="3" s="1"/>
  <c r="S72" i="3"/>
  <c r="J72" i="3"/>
  <c r="Y71" i="3"/>
  <c r="V71" i="3"/>
  <c r="X71" i="3" s="1"/>
  <c r="S71" i="3"/>
  <c r="J71" i="3"/>
  <c r="Y70" i="3"/>
  <c r="V70" i="3"/>
  <c r="X70" i="3" s="1"/>
  <c r="S70" i="3"/>
  <c r="J70" i="3"/>
  <c r="Y69" i="3"/>
  <c r="X69" i="3"/>
  <c r="V69" i="3"/>
  <c r="S69" i="3"/>
  <c r="J69" i="3"/>
  <c r="Y68" i="3"/>
  <c r="X68" i="3"/>
  <c r="V68" i="3"/>
  <c r="S68" i="3"/>
  <c r="J68" i="3"/>
  <c r="Y67" i="3"/>
  <c r="V67" i="3"/>
  <c r="X67" i="3" s="1"/>
  <c r="S67" i="3"/>
  <c r="J67" i="3"/>
  <c r="Y66" i="3"/>
  <c r="V66" i="3"/>
  <c r="X66" i="3" s="1"/>
  <c r="S66" i="3"/>
  <c r="J66" i="3"/>
  <c r="Y65" i="3"/>
  <c r="X65" i="3"/>
  <c r="V65" i="3"/>
  <c r="S65" i="3"/>
  <c r="J65" i="3"/>
  <c r="Y64" i="3"/>
  <c r="V64" i="3"/>
  <c r="X64" i="3" s="1"/>
  <c r="S64" i="3"/>
  <c r="J64" i="3"/>
  <c r="Y63" i="3"/>
  <c r="V63" i="3"/>
  <c r="X63" i="3" s="1"/>
  <c r="S63" i="3"/>
  <c r="J63" i="3"/>
  <c r="Y62" i="3"/>
  <c r="X62" i="3"/>
  <c r="V62" i="3"/>
  <c r="S62" i="3"/>
  <c r="J62" i="3"/>
  <c r="U58" i="3"/>
  <c r="T58" i="3"/>
  <c r="R58" i="3"/>
  <c r="I58" i="3"/>
  <c r="X56" i="3"/>
  <c r="V56" i="3"/>
  <c r="S56" i="3"/>
  <c r="J56" i="3"/>
  <c r="Y55" i="3"/>
  <c r="X55" i="3"/>
  <c r="V55" i="3"/>
  <c r="S55" i="3"/>
  <c r="J55" i="3"/>
  <c r="Y54" i="3"/>
  <c r="X54" i="3"/>
  <c r="V54" i="3"/>
  <c r="S54" i="3"/>
  <c r="J54" i="3"/>
  <c r="Y53" i="3"/>
  <c r="V53" i="3"/>
  <c r="X53" i="3" s="1"/>
  <c r="S53" i="3"/>
  <c r="J53" i="3"/>
  <c r="Y52" i="3"/>
  <c r="V52" i="3"/>
  <c r="X52" i="3" s="1"/>
  <c r="S52" i="3"/>
  <c r="J52" i="3"/>
  <c r="Y51" i="3"/>
  <c r="V51" i="3"/>
  <c r="S51" i="3"/>
  <c r="J51" i="3"/>
  <c r="R48" i="3"/>
  <c r="I48" i="3"/>
  <c r="Y47" i="3"/>
  <c r="T47" i="3"/>
  <c r="S47" i="3"/>
  <c r="J47" i="3"/>
  <c r="U43" i="3"/>
  <c r="T43" i="3"/>
  <c r="R43" i="3"/>
  <c r="I43" i="3"/>
  <c r="Y41" i="3"/>
  <c r="X41" i="3"/>
  <c r="V41" i="3"/>
  <c r="S41" i="3"/>
  <c r="J41" i="3"/>
  <c r="Y40" i="3"/>
  <c r="X40" i="3"/>
  <c r="V40" i="3"/>
  <c r="S40" i="3"/>
  <c r="J40" i="3"/>
  <c r="Y39" i="3"/>
  <c r="V39" i="3"/>
  <c r="X39" i="3" s="1"/>
  <c r="S39" i="3"/>
  <c r="J39" i="3"/>
  <c r="Y38" i="3"/>
  <c r="V38" i="3"/>
  <c r="W43" i="3" s="1"/>
  <c r="S38" i="3"/>
  <c r="J38" i="3"/>
  <c r="U34" i="3"/>
  <c r="T34" i="3"/>
  <c r="R34" i="3"/>
  <c r="I34" i="3"/>
  <c r="Y32" i="3"/>
  <c r="V32" i="3"/>
  <c r="X32" i="3" s="1"/>
  <c r="S32" i="3"/>
  <c r="J32" i="3"/>
  <c r="Y31" i="3"/>
  <c r="V31" i="3"/>
  <c r="X31" i="3" s="1"/>
  <c r="S31" i="3"/>
  <c r="J31" i="3"/>
  <c r="Y30" i="3"/>
  <c r="V30" i="3"/>
  <c r="X30" i="3" s="1"/>
  <c r="S30" i="3"/>
  <c r="J30" i="3"/>
  <c r="Y29" i="3"/>
  <c r="X29" i="3"/>
  <c r="V29" i="3"/>
  <c r="S29" i="3"/>
  <c r="J29" i="3"/>
  <c r="U25" i="3"/>
  <c r="T25" i="3"/>
  <c r="R25" i="3"/>
  <c r="R715" i="3" s="1"/>
  <c r="I25" i="3"/>
  <c r="Y23" i="3"/>
  <c r="X23" i="3"/>
  <c r="V23" i="3"/>
  <c r="S23" i="3"/>
  <c r="J23" i="3"/>
  <c r="Y22" i="3"/>
  <c r="X22" i="3"/>
  <c r="V22" i="3"/>
  <c r="S22" i="3"/>
  <c r="J22" i="3"/>
  <c r="Y21" i="3"/>
  <c r="V21" i="3"/>
  <c r="X21" i="3" s="1"/>
  <c r="S21" i="3"/>
  <c r="J21" i="3"/>
  <c r="Y20" i="3"/>
  <c r="V20" i="3"/>
  <c r="X20" i="3" s="1"/>
  <c r="S20" i="3"/>
  <c r="J20" i="3"/>
  <c r="Y19" i="3"/>
  <c r="V19" i="3"/>
  <c r="X19" i="3" s="1"/>
  <c r="S19" i="3"/>
  <c r="J19" i="3"/>
  <c r="Y18" i="3"/>
  <c r="V18" i="3"/>
  <c r="X18" i="3" s="1"/>
  <c r="S18" i="3"/>
  <c r="J18" i="3"/>
  <c r="Y17" i="3"/>
  <c r="X17" i="3"/>
  <c r="V17" i="3"/>
  <c r="S17" i="3"/>
  <c r="J17" i="3"/>
  <c r="Y16" i="3"/>
  <c r="X16" i="3"/>
  <c r="V16" i="3"/>
  <c r="S16" i="3"/>
  <c r="J16" i="3"/>
  <c r="Y15" i="3"/>
  <c r="V15" i="3"/>
  <c r="X15" i="3" s="1"/>
  <c r="S15" i="3"/>
  <c r="J15" i="3"/>
  <c r="Y14" i="3"/>
  <c r="V14" i="3"/>
  <c r="X14" i="3" s="1"/>
  <c r="S14" i="3"/>
  <c r="J14" i="3"/>
  <c r="Y13" i="3"/>
  <c r="X13" i="3"/>
  <c r="V13" i="3"/>
  <c r="S13" i="3"/>
  <c r="J13" i="3"/>
  <c r="Y12" i="3"/>
  <c r="V12" i="3"/>
  <c r="X12" i="3" s="1"/>
  <c r="S12" i="3"/>
  <c r="J12" i="3"/>
  <c r="Y11" i="3"/>
  <c r="V11" i="3"/>
  <c r="X11" i="3" s="1"/>
  <c r="S11" i="3"/>
  <c r="J11" i="3"/>
  <c r="I8" i="3"/>
  <c r="Y7" i="3"/>
  <c r="V7" i="3"/>
  <c r="X7" i="3" s="1"/>
  <c r="T7" i="3"/>
  <c r="S7" i="3"/>
  <c r="J7" i="3"/>
  <c r="D393" i="2"/>
  <c r="D392" i="2"/>
  <c r="D391" i="2"/>
  <c r="D384" i="2"/>
  <c r="D379" i="2"/>
  <c r="D378" i="2"/>
  <c r="D377" i="2"/>
  <c r="D372" i="2"/>
  <c r="D367" i="2"/>
  <c r="D362" i="2"/>
  <c r="D357" i="2"/>
  <c r="D387" i="2" s="1"/>
  <c r="C387" i="2" s="1"/>
  <c r="D352" i="2"/>
  <c r="D344" i="2"/>
  <c r="D340" i="2"/>
  <c r="D336" i="2"/>
  <c r="D335" i="2"/>
  <c r="D334" i="2"/>
  <c r="D333" i="2"/>
  <c r="D332" i="2"/>
  <c r="D331" i="2"/>
  <c r="D330" i="2"/>
  <c r="D326" i="2"/>
  <c r="D325" i="2"/>
  <c r="D324" i="2"/>
  <c r="D323" i="2"/>
  <c r="D322" i="2"/>
  <c r="D321" i="2"/>
  <c r="D320" i="2"/>
  <c r="D319" i="2"/>
  <c r="D318" i="2"/>
  <c r="D313" i="2"/>
  <c r="C309" i="2"/>
  <c r="D307" i="2"/>
  <c r="D306" i="2"/>
  <c r="C301" i="2"/>
  <c r="D299" i="2"/>
  <c r="D298" i="2"/>
  <c r="D297" i="2"/>
  <c r="C294" i="2"/>
  <c r="D292" i="2"/>
  <c r="D288" i="2"/>
  <c r="D287" i="2"/>
  <c r="D286" i="2"/>
  <c r="D285" i="2"/>
  <c r="D284" i="2"/>
  <c r="D279" i="2"/>
  <c r="D275" i="2"/>
  <c r="D271" i="2"/>
  <c r="D267" i="2"/>
  <c r="D263" i="2"/>
  <c r="D262" i="2"/>
  <c r="D261" i="2"/>
  <c r="D260" i="2"/>
  <c r="D256" i="2"/>
  <c r="D252" i="2"/>
  <c r="D251" i="2"/>
  <c r="D247" i="2"/>
  <c r="D243" i="2"/>
  <c r="D242" i="2"/>
  <c r="D238" i="2"/>
  <c r="D237" i="2"/>
  <c r="D236" i="2"/>
  <c r="D235" i="2"/>
  <c r="D234" i="2"/>
  <c r="D230" i="2"/>
  <c r="D229" i="2"/>
  <c r="D228" i="2"/>
  <c r="D227" i="2"/>
  <c r="D223" i="2"/>
  <c r="D222" i="2"/>
  <c r="D218" i="2"/>
  <c r="D214" i="2"/>
  <c r="D210" i="2"/>
  <c r="D209" i="2"/>
  <c r="D208" i="2"/>
  <c r="D204" i="2"/>
  <c r="D203" i="2"/>
  <c r="D199" i="2"/>
  <c r="C195" i="2"/>
  <c r="D193" i="2"/>
  <c r="D189" i="2"/>
  <c r="D185" i="2"/>
  <c r="D184" i="2"/>
  <c r="D180" i="2"/>
  <c r="D176" i="2"/>
  <c r="D172" i="2"/>
  <c r="D168" i="2"/>
  <c r="D164" i="2"/>
  <c r="D160" i="2"/>
  <c r="D156" i="2"/>
  <c r="D155" i="2"/>
  <c r="D154" i="2"/>
  <c r="C151" i="2"/>
  <c r="D149" i="2"/>
  <c r="D145" i="2"/>
  <c r="C142" i="2"/>
  <c r="D140" i="2"/>
  <c r="C136" i="2"/>
  <c r="D134" i="2"/>
  <c r="D133" i="2"/>
  <c r="D129" i="2"/>
  <c r="D125" i="2"/>
  <c r="D124" i="2"/>
  <c r="D123" i="2"/>
  <c r="D122" i="2"/>
  <c r="D118" i="2"/>
  <c r="D114" i="2"/>
  <c r="D110" i="2"/>
  <c r="D109" i="2"/>
  <c r="D105" i="2"/>
  <c r="C101" i="2"/>
  <c r="D100" i="2"/>
  <c r="D96" i="2"/>
  <c r="D95" i="2"/>
  <c r="D91" i="2"/>
  <c r="D90" i="2"/>
  <c r="D86" i="2"/>
  <c r="D82" i="2"/>
  <c r="D78" i="2"/>
  <c r="D77" i="2"/>
  <c r="D73" i="2"/>
  <c r="D69" i="2"/>
  <c r="D65" i="2"/>
  <c r="D61" i="2"/>
  <c r="D57" i="2"/>
  <c r="D53" i="2"/>
  <c r="D52" i="2"/>
  <c r="D51" i="2"/>
  <c r="D47" i="2"/>
  <c r="C43" i="2"/>
  <c r="D42" i="2"/>
  <c r="D38" i="2"/>
  <c r="D34" i="2"/>
  <c r="D33" i="2"/>
  <c r="D32" i="2"/>
  <c r="C28" i="2"/>
  <c r="D26" i="2"/>
  <c r="C23" i="2"/>
  <c r="D22" i="2"/>
  <c r="D18" i="2"/>
  <c r="D14" i="2"/>
  <c r="C10" i="2"/>
  <c r="D8" i="2"/>
  <c r="C5" i="2"/>
  <c r="D4" i="2"/>
  <c r="D347" i="2" s="1"/>
  <c r="C347" i="2" s="1"/>
  <c r="X396" i="1"/>
  <c r="W396" i="1"/>
  <c r="U396" i="1"/>
  <c r="R396" i="1"/>
  <c r="I396" i="1"/>
  <c r="X395" i="1"/>
  <c r="W395" i="1"/>
  <c r="U395" i="1"/>
  <c r="R395" i="1"/>
  <c r="I395" i="1"/>
  <c r="X394" i="1"/>
  <c r="W394" i="1"/>
  <c r="U394" i="1"/>
  <c r="R394" i="1"/>
  <c r="I394" i="1"/>
  <c r="AA390" i="1"/>
  <c r="X387" i="1"/>
  <c r="W387" i="1"/>
  <c r="U387" i="1"/>
  <c r="R387" i="1"/>
  <c r="I387" i="1"/>
  <c r="X382" i="1"/>
  <c r="W382" i="1"/>
  <c r="U382" i="1"/>
  <c r="R382" i="1"/>
  <c r="I382" i="1"/>
  <c r="X381" i="1"/>
  <c r="W381" i="1"/>
  <c r="U381" i="1"/>
  <c r="R381" i="1"/>
  <c r="I381" i="1"/>
  <c r="W380" i="1"/>
  <c r="U380" i="1"/>
  <c r="R380" i="1"/>
  <c r="I380" i="1"/>
  <c r="X375" i="1"/>
  <c r="W375" i="1"/>
  <c r="U375" i="1"/>
  <c r="R375" i="1"/>
  <c r="I375" i="1"/>
  <c r="W370" i="1"/>
  <c r="U370" i="1"/>
  <c r="T390" i="1" s="1"/>
  <c r="R370" i="1"/>
  <c r="I370" i="1"/>
  <c r="W365" i="1"/>
  <c r="U365" i="1"/>
  <c r="R365" i="1"/>
  <c r="I365" i="1"/>
  <c r="X360" i="1"/>
  <c r="W360" i="1"/>
  <c r="U360" i="1"/>
  <c r="R360" i="1"/>
  <c r="I360" i="1"/>
  <c r="X355" i="1"/>
  <c r="W355" i="1"/>
  <c r="U355" i="1"/>
  <c r="R355" i="1"/>
  <c r="R390" i="1" s="1"/>
  <c r="Q390" i="1" s="1"/>
  <c r="I355" i="1"/>
  <c r="I390" i="1" s="1"/>
  <c r="H390" i="1" s="1"/>
  <c r="AA350" i="1"/>
  <c r="V348" i="1"/>
  <c r="T348" i="1"/>
  <c r="W347" i="1"/>
  <c r="U347" i="1"/>
  <c r="S347" i="1"/>
  <c r="R347" i="1"/>
  <c r="I347" i="1"/>
  <c r="X343" i="1"/>
  <c r="W343" i="1"/>
  <c r="U343" i="1"/>
  <c r="R343" i="1"/>
  <c r="I343" i="1"/>
  <c r="X339" i="1"/>
  <c r="W339" i="1"/>
  <c r="U339" i="1"/>
  <c r="R339" i="1"/>
  <c r="I339" i="1"/>
  <c r="X338" i="1"/>
  <c r="W338" i="1"/>
  <c r="U338" i="1"/>
  <c r="R338" i="1"/>
  <c r="I338" i="1"/>
  <c r="X337" i="1"/>
  <c r="W337" i="1"/>
  <c r="U337" i="1"/>
  <c r="R337" i="1"/>
  <c r="I337" i="1"/>
  <c r="X336" i="1"/>
  <c r="W336" i="1"/>
  <c r="U336" i="1"/>
  <c r="R336" i="1"/>
  <c r="I336" i="1"/>
  <c r="W335" i="1"/>
  <c r="U335" i="1"/>
  <c r="R335" i="1"/>
  <c r="I335" i="1"/>
  <c r="X334" i="1"/>
  <c r="W334" i="1"/>
  <c r="U334" i="1"/>
  <c r="R334" i="1"/>
  <c r="I334" i="1"/>
  <c r="W333" i="1"/>
  <c r="U333" i="1"/>
  <c r="R333" i="1"/>
  <c r="I333" i="1"/>
  <c r="X329" i="1"/>
  <c r="W329" i="1"/>
  <c r="U329" i="1"/>
  <c r="R329" i="1"/>
  <c r="I329" i="1"/>
  <c r="X328" i="1"/>
  <c r="W328" i="1"/>
  <c r="U328" i="1"/>
  <c r="R328" i="1"/>
  <c r="I328" i="1"/>
  <c r="X327" i="1"/>
  <c r="W327" i="1"/>
  <c r="U327" i="1"/>
  <c r="R327" i="1"/>
  <c r="I327" i="1"/>
  <c r="X326" i="1"/>
  <c r="W326" i="1"/>
  <c r="U326" i="1"/>
  <c r="R326" i="1"/>
  <c r="I326" i="1"/>
  <c r="X325" i="1"/>
  <c r="W325" i="1"/>
  <c r="U325" i="1"/>
  <c r="R325" i="1"/>
  <c r="I325" i="1"/>
  <c r="X324" i="1"/>
  <c r="W324" i="1"/>
  <c r="U324" i="1"/>
  <c r="R324" i="1"/>
  <c r="I324" i="1"/>
  <c r="X323" i="1"/>
  <c r="W323" i="1"/>
  <c r="U323" i="1"/>
  <c r="R323" i="1"/>
  <c r="I323" i="1"/>
  <c r="X322" i="1"/>
  <c r="R322" i="1"/>
  <c r="I322" i="1"/>
  <c r="X321" i="1"/>
  <c r="W321" i="1"/>
  <c r="U321" i="1"/>
  <c r="R321" i="1"/>
  <c r="I321" i="1"/>
  <c r="V318" i="1"/>
  <c r="T318" i="1"/>
  <c r="Q318" i="1"/>
  <c r="X316" i="1"/>
  <c r="W316" i="1"/>
  <c r="U316" i="1"/>
  <c r="R316" i="1"/>
  <c r="S316" i="1" s="1"/>
  <c r="I316" i="1"/>
  <c r="V312" i="1"/>
  <c r="T312" i="1"/>
  <c r="Q312" i="1"/>
  <c r="H312" i="1"/>
  <c r="X310" i="1"/>
  <c r="W310" i="1"/>
  <c r="U310" i="1"/>
  <c r="R310" i="1"/>
  <c r="S312" i="1" s="1"/>
  <c r="I310" i="1"/>
  <c r="X309" i="1"/>
  <c r="W309" i="1"/>
  <c r="U309" i="1"/>
  <c r="R309" i="1"/>
  <c r="I309" i="1"/>
  <c r="V304" i="1"/>
  <c r="T304" i="1"/>
  <c r="Q304" i="1"/>
  <c r="H304" i="1"/>
  <c r="X302" i="1"/>
  <c r="W302" i="1"/>
  <c r="U302" i="1"/>
  <c r="R302" i="1"/>
  <c r="I302" i="1"/>
  <c r="X301" i="1"/>
  <c r="W301" i="1"/>
  <c r="U301" i="1"/>
  <c r="R301" i="1"/>
  <c r="I301" i="1"/>
  <c r="X300" i="1"/>
  <c r="W300" i="1"/>
  <c r="U300" i="1"/>
  <c r="R300" i="1"/>
  <c r="S304" i="1" s="1"/>
  <c r="I300" i="1"/>
  <c r="V297" i="1"/>
  <c r="T297" i="1"/>
  <c r="Q297" i="1"/>
  <c r="H297" i="1"/>
  <c r="X295" i="1"/>
  <c r="W295" i="1"/>
  <c r="U295" i="1"/>
  <c r="S295" i="1"/>
  <c r="R295" i="1"/>
  <c r="I295" i="1"/>
  <c r="X291" i="1"/>
  <c r="W291" i="1"/>
  <c r="U291" i="1"/>
  <c r="R291" i="1"/>
  <c r="I291" i="1"/>
  <c r="X290" i="1"/>
  <c r="W290" i="1"/>
  <c r="U290" i="1"/>
  <c r="R290" i="1"/>
  <c r="I290" i="1"/>
  <c r="X289" i="1"/>
  <c r="W289" i="1"/>
  <c r="U289" i="1"/>
  <c r="R289" i="1"/>
  <c r="I289" i="1"/>
  <c r="X288" i="1"/>
  <c r="W288" i="1"/>
  <c r="U288" i="1"/>
  <c r="R288" i="1"/>
  <c r="I288" i="1"/>
  <c r="X287" i="1"/>
  <c r="W287" i="1"/>
  <c r="U287" i="1"/>
  <c r="R287" i="1"/>
  <c r="I287" i="1"/>
  <c r="X282" i="1"/>
  <c r="W282" i="1"/>
  <c r="U282" i="1"/>
  <c r="R282" i="1"/>
  <c r="I282" i="1"/>
  <c r="X278" i="1"/>
  <c r="W278" i="1"/>
  <c r="U278" i="1"/>
  <c r="R278" i="1"/>
  <c r="I278" i="1"/>
  <c r="X274" i="1"/>
  <c r="W274" i="1"/>
  <c r="U274" i="1"/>
  <c r="S274" i="1"/>
  <c r="R274" i="1"/>
  <c r="I274" i="1"/>
  <c r="X270" i="1"/>
  <c r="W270" i="1"/>
  <c r="U270" i="1"/>
  <c r="R270" i="1"/>
  <c r="I270" i="1"/>
  <c r="X266" i="1"/>
  <c r="W266" i="1"/>
  <c r="U266" i="1"/>
  <c r="R266" i="1"/>
  <c r="I266" i="1"/>
  <c r="X265" i="1"/>
  <c r="W265" i="1"/>
  <c r="U265" i="1"/>
  <c r="R265" i="1"/>
  <c r="I265" i="1"/>
  <c r="X264" i="1"/>
  <c r="W264" i="1"/>
  <c r="U264" i="1"/>
  <c r="R264" i="1"/>
  <c r="I264" i="1"/>
  <c r="X263" i="1"/>
  <c r="W263" i="1"/>
  <c r="U263" i="1"/>
  <c r="R263" i="1"/>
  <c r="I263" i="1"/>
  <c r="X259" i="1"/>
  <c r="W259" i="1"/>
  <c r="U259" i="1"/>
  <c r="R259" i="1"/>
  <c r="I259" i="1"/>
  <c r="X255" i="1"/>
  <c r="W255" i="1"/>
  <c r="U255" i="1"/>
  <c r="R255" i="1"/>
  <c r="I255" i="1"/>
  <c r="X254" i="1"/>
  <c r="W254" i="1"/>
  <c r="U254" i="1"/>
  <c r="R254" i="1"/>
  <c r="I254" i="1"/>
  <c r="X250" i="1"/>
  <c r="W250" i="1"/>
  <c r="U250" i="1"/>
  <c r="R250" i="1"/>
  <c r="I250" i="1"/>
  <c r="X246" i="1"/>
  <c r="W246" i="1"/>
  <c r="U246" i="1"/>
  <c r="R246" i="1"/>
  <c r="I246" i="1"/>
  <c r="X245" i="1"/>
  <c r="W245" i="1"/>
  <c r="U245" i="1"/>
  <c r="R245" i="1"/>
  <c r="I245" i="1"/>
  <c r="X241" i="1"/>
  <c r="W241" i="1"/>
  <c r="U241" i="1"/>
  <c r="R241" i="1"/>
  <c r="I241" i="1"/>
  <c r="X240" i="1"/>
  <c r="W240" i="1"/>
  <c r="U240" i="1"/>
  <c r="R240" i="1"/>
  <c r="I240" i="1"/>
  <c r="X239" i="1"/>
  <c r="W239" i="1"/>
  <c r="U239" i="1"/>
  <c r="R239" i="1"/>
  <c r="I239" i="1"/>
  <c r="X238" i="1"/>
  <c r="W238" i="1"/>
  <c r="U238" i="1"/>
  <c r="R238" i="1"/>
  <c r="I238" i="1"/>
  <c r="X237" i="1"/>
  <c r="W237" i="1"/>
  <c r="U237" i="1"/>
  <c r="R237" i="1"/>
  <c r="I237" i="1"/>
  <c r="X233" i="1"/>
  <c r="W233" i="1"/>
  <c r="U233" i="1"/>
  <c r="R233" i="1"/>
  <c r="I233" i="1"/>
  <c r="X232" i="1"/>
  <c r="W232" i="1"/>
  <c r="U232" i="1"/>
  <c r="R232" i="1"/>
  <c r="I232" i="1"/>
  <c r="X231" i="1"/>
  <c r="W231" i="1"/>
  <c r="U231" i="1"/>
  <c r="R231" i="1"/>
  <c r="I231" i="1"/>
  <c r="X230" i="1"/>
  <c r="W230" i="1"/>
  <c r="U230" i="1"/>
  <c r="R230" i="1"/>
  <c r="I230" i="1"/>
  <c r="X226" i="1"/>
  <c r="W226" i="1"/>
  <c r="U226" i="1"/>
  <c r="R226" i="1"/>
  <c r="I226" i="1"/>
  <c r="X225" i="1"/>
  <c r="W225" i="1"/>
  <c r="U225" i="1"/>
  <c r="R225" i="1"/>
  <c r="I225" i="1"/>
  <c r="X221" i="1"/>
  <c r="W221" i="1"/>
  <c r="U221" i="1"/>
  <c r="R221" i="1"/>
  <c r="I221" i="1"/>
  <c r="X217" i="1"/>
  <c r="W217" i="1"/>
  <c r="U217" i="1"/>
  <c r="R217" i="1"/>
  <c r="I217" i="1"/>
  <c r="X213" i="1"/>
  <c r="W213" i="1"/>
  <c r="U213" i="1"/>
  <c r="R213" i="1"/>
  <c r="I213" i="1"/>
  <c r="X212" i="1"/>
  <c r="W212" i="1"/>
  <c r="U212" i="1"/>
  <c r="R212" i="1"/>
  <c r="I212" i="1"/>
  <c r="X211" i="1"/>
  <c r="W211" i="1"/>
  <c r="U211" i="1"/>
  <c r="R211" i="1"/>
  <c r="I211" i="1"/>
  <c r="X207" i="1"/>
  <c r="W207" i="1"/>
  <c r="U207" i="1"/>
  <c r="R207" i="1"/>
  <c r="I207" i="1"/>
  <c r="X206" i="1"/>
  <c r="W206" i="1"/>
  <c r="U206" i="1"/>
  <c r="R206" i="1"/>
  <c r="I206" i="1"/>
  <c r="X202" i="1"/>
  <c r="W202" i="1"/>
  <c r="U202" i="1"/>
  <c r="R202" i="1"/>
  <c r="I202" i="1"/>
  <c r="V198" i="1"/>
  <c r="T198" i="1"/>
  <c r="H198" i="1"/>
  <c r="X196" i="1"/>
  <c r="W196" i="1"/>
  <c r="U196" i="1"/>
  <c r="S196" i="1"/>
  <c r="R196" i="1"/>
  <c r="I196" i="1"/>
  <c r="X192" i="1"/>
  <c r="W192" i="1"/>
  <c r="U192" i="1"/>
  <c r="R192" i="1"/>
  <c r="I192" i="1"/>
  <c r="W188" i="1"/>
  <c r="U188" i="1"/>
  <c r="R188" i="1"/>
  <c r="I188" i="1"/>
  <c r="X187" i="1"/>
  <c r="W187" i="1"/>
  <c r="U187" i="1"/>
  <c r="R187" i="1"/>
  <c r="I187" i="1"/>
  <c r="X183" i="1"/>
  <c r="W183" i="1"/>
  <c r="U183" i="1"/>
  <c r="R183" i="1"/>
  <c r="S183" i="1" s="1"/>
  <c r="I183" i="1"/>
  <c r="X179" i="1"/>
  <c r="W179" i="1"/>
  <c r="U179" i="1"/>
  <c r="R179" i="1"/>
  <c r="S179" i="1" s="1"/>
  <c r="I179" i="1"/>
  <c r="X175" i="1"/>
  <c r="W175" i="1"/>
  <c r="U175" i="1"/>
  <c r="R175" i="1"/>
  <c r="I175" i="1"/>
  <c r="X171" i="1"/>
  <c r="W171" i="1"/>
  <c r="U171" i="1"/>
  <c r="R171" i="1"/>
  <c r="I171" i="1"/>
  <c r="X167" i="1"/>
  <c r="W167" i="1"/>
  <c r="U167" i="1"/>
  <c r="R167" i="1"/>
  <c r="I167" i="1"/>
  <c r="X163" i="1"/>
  <c r="W163" i="1"/>
  <c r="U163" i="1"/>
  <c r="R163" i="1"/>
  <c r="I163" i="1"/>
  <c r="X159" i="1"/>
  <c r="W159" i="1"/>
  <c r="U159" i="1"/>
  <c r="R159" i="1"/>
  <c r="I159" i="1"/>
  <c r="W158" i="1"/>
  <c r="U158" i="1"/>
  <c r="R158" i="1"/>
  <c r="I158" i="1"/>
  <c r="X157" i="1"/>
  <c r="W157" i="1"/>
  <c r="U157" i="1"/>
  <c r="R157" i="1"/>
  <c r="I157" i="1"/>
  <c r="V154" i="1"/>
  <c r="T154" i="1"/>
  <c r="H154" i="1"/>
  <c r="W152" i="1"/>
  <c r="U152" i="1"/>
  <c r="S152" i="1"/>
  <c r="R152" i="1"/>
  <c r="I152" i="1"/>
  <c r="W148" i="1"/>
  <c r="U148" i="1"/>
  <c r="S148" i="1"/>
  <c r="R148" i="1"/>
  <c r="I148" i="1"/>
  <c r="V145" i="1"/>
  <c r="T145" i="1"/>
  <c r="H145" i="1"/>
  <c r="W143" i="1"/>
  <c r="U143" i="1"/>
  <c r="S143" i="1"/>
  <c r="R143" i="1"/>
  <c r="I143" i="1"/>
  <c r="V139" i="1"/>
  <c r="T139" i="1"/>
  <c r="Q139" i="1"/>
  <c r="H139" i="1"/>
  <c r="W137" i="1"/>
  <c r="U137" i="1"/>
  <c r="R137" i="1"/>
  <c r="I137" i="1"/>
  <c r="X136" i="1"/>
  <c r="W136" i="1"/>
  <c r="U136" i="1"/>
  <c r="R136" i="1"/>
  <c r="S139" i="1" s="1"/>
  <c r="I136" i="1"/>
  <c r="X132" i="1"/>
  <c r="W132" i="1"/>
  <c r="U132" i="1"/>
  <c r="R132" i="1"/>
  <c r="S132" i="1" s="1"/>
  <c r="I132" i="1"/>
  <c r="X128" i="1"/>
  <c r="W128" i="1"/>
  <c r="U128" i="1"/>
  <c r="R128" i="1"/>
  <c r="I128" i="1"/>
  <c r="X127" i="1"/>
  <c r="W127" i="1"/>
  <c r="U127" i="1"/>
  <c r="R127" i="1"/>
  <c r="I127" i="1"/>
  <c r="X126" i="1"/>
  <c r="W126" i="1"/>
  <c r="U126" i="1"/>
  <c r="R126" i="1"/>
  <c r="I126" i="1"/>
  <c r="X125" i="1"/>
  <c r="W125" i="1"/>
  <c r="U125" i="1"/>
  <c r="R125" i="1"/>
  <c r="I125" i="1"/>
  <c r="X121" i="1"/>
  <c r="W121" i="1"/>
  <c r="U121" i="1"/>
  <c r="R121" i="1"/>
  <c r="I121" i="1"/>
  <c r="X117" i="1"/>
  <c r="W117" i="1"/>
  <c r="U117" i="1"/>
  <c r="R117" i="1"/>
  <c r="I117" i="1"/>
  <c r="X113" i="1"/>
  <c r="W113" i="1"/>
  <c r="U113" i="1"/>
  <c r="R113" i="1"/>
  <c r="I113" i="1"/>
  <c r="X112" i="1"/>
  <c r="W112" i="1"/>
  <c r="U112" i="1"/>
  <c r="R112" i="1"/>
  <c r="I112" i="1"/>
  <c r="X108" i="1"/>
  <c r="W108" i="1"/>
  <c r="U108" i="1"/>
  <c r="R108" i="1"/>
  <c r="I108" i="1"/>
  <c r="V104" i="1"/>
  <c r="T104" i="1"/>
  <c r="H104" i="1"/>
  <c r="X103" i="1"/>
  <c r="W103" i="1"/>
  <c r="U103" i="1"/>
  <c r="R103" i="1"/>
  <c r="S103" i="1" s="1"/>
  <c r="I103" i="1"/>
  <c r="X99" i="1"/>
  <c r="W99" i="1"/>
  <c r="U99" i="1"/>
  <c r="R99" i="1"/>
  <c r="I99" i="1"/>
  <c r="X98" i="1"/>
  <c r="W98" i="1"/>
  <c r="U98" i="1"/>
  <c r="R98" i="1"/>
  <c r="I98" i="1"/>
  <c r="X94" i="1"/>
  <c r="W94" i="1"/>
  <c r="U94" i="1"/>
  <c r="R94" i="1"/>
  <c r="I94" i="1"/>
  <c r="X93" i="1"/>
  <c r="W93" i="1"/>
  <c r="U93" i="1"/>
  <c r="R93" i="1"/>
  <c r="I93" i="1"/>
  <c r="X89" i="1"/>
  <c r="W89" i="1"/>
  <c r="U89" i="1"/>
  <c r="R89" i="1"/>
  <c r="I89" i="1"/>
  <c r="X85" i="1"/>
  <c r="W85" i="1"/>
  <c r="U85" i="1"/>
  <c r="R85" i="1"/>
  <c r="I85" i="1"/>
  <c r="X81" i="1"/>
  <c r="W81" i="1"/>
  <c r="U81" i="1"/>
  <c r="R81" i="1"/>
  <c r="I81" i="1"/>
  <c r="X80" i="1"/>
  <c r="W80" i="1"/>
  <c r="U80" i="1"/>
  <c r="R80" i="1"/>
  <c r="I80" i="1"/>
  <c r="X76" i="1"/>
  <c r="W76" i="1"/>
  <c r="U76" i="1"/>
  <c r="R76" i="1"/>
  <c r="I76" i="1"/>
  <c r="X72" i="1"/>
  <c r="W72" i="1"/>
  <c r="U72" i="1"/>
  <c r="S72" i="1"/>
  <c r="R72" i="1"/>
  <c r="I72" i="1"/>
  <c r="X68" i="1"/>
  <c r="W68" i="1"/>
  <c r="U68" i="1"/>
  <c r="R68" i="1"/>
  <c r="I68" i="1"/>
  <c r="X64" i="1"/>
  <c r="W64" i="1"/>
  <c r="U64" i="1"/>
  <c r="R64" i="1"/>
  <c r="I64" i="1"/>
  <c r="X60" i="1"/>
  <c r="W60" i="1"/>
  <c r="U60" i="1"/>
  <c r="R60" i="1"/>
  <c r="I60" i="1"/>
  <c r="X56" i="1"/>
  <c r="W56" i="1"/>
  <c r="U56" i="1"/>
  <c r="R56" i="1"/>
  <c r="I56" i="1"/>
  <c r="X55" i="1"/>
  <c r="W55" i="1"/>
  <c r="U55" i="1"/>
  <c r="R55" i="1"/>
  <c r="I55" i="1"/>
  <c r="X54" i="1"/>
  <c r="W54" i="1"/>
  <c r="U54" i="1"/>
  <c r="R54" i="1"/>
  <c r="I54" i="1"/>
  <c r="X50" i="1"/>
  <c r="W50" i="1"/>
  <c r="U50" i="1"/>
  <c r="R50" i="1"/>
  <c r="I50" i="1"/>
  <c r="V46" i="1"/>
  <c r="T46" i="1"/>
  <c r="Q46" i="1"/>
  <c r="H46" i="1"/>
  <c r="X45" i="1"/>
  <c r="W45" i="1"/>
  <c r="U45" i="1"/>
  <c r="R45" i="1"/>
  <c r="S45" i="1" s="1"/>
  <c r="I45" i="1"/>
  <c r="X41" i="1"/>
  <c r="W41" i="1"/>
  <c r="U41" i="1"/>
  <c r="R41" i="1"/>
  <c r="I41" i="1"/>
  <c r="X37" i="1"/>
  <c r="W37" i="1"/>
  <c r="U37" i="1"/>
  <c r="R37" i="1"/>
  <c r="I37" i="1"/>
  <c r="X36" i="1"/>
  <c r="W36" i="1"/>
  <c r="U36" i="1"/>
  <c r="R36" i="1"/>
  <c r="I36" i="1"/>
  <c r="X35" i="1"/>
  <c r="W35" i="1"/>
  <c r="U35" i="1"/>
  <c r="R35" i="1"/>
  <c r="I35" i="1"/>
  <c r="V31" i="1"/>
  <c r="T31" i="1"/>
  <c r="S31" i="1"/>
  <c r="Q31" i="1"/>
  <c r="H31" i="1"/>
  <c r="X29" i="1"/>
  <c r="W29" i="1"/>
  <c r="U29" i="1"/>
  <c r="R29" i="1"/>
  <c r="I29" i="1"/>
  <c r="V26" i="1"/>
  <c r="T26" i="1"/>
  <c r="Q26" i="1"/>
  <c r="H26" i="1"/>
  <c r="X25" i="1"/>
  <c r="W25" i="1"/>
  <c r="U25" i="1"/>
  <c r="R25" i="1"/>
  <c r="S25" i="1" s="1"/>
  <c r="I25" i="1"/>
  <c r="X21" i="1"/>
  <c r="W21" i="1"/>
  <c r="U21" i="1"/>
  <c r="R21" i="1"/>
  <c r="I21" i="1"/>
  <c r="X17" i="1"/>
  <c r="W17" i="1"/>
  <c r="U17" i="1"/>
  <c r="R17" i="1"/>
  <c r="I17" i="1"/>
  <c r="V13" i="1"/>
  <c r="T13" i="1"/>
  <c r="Q13" i="1"/>
  <c r="H13" i="1"/>
  <c r="X11" i="1"/>
  <c r="W11" i="1"/>
  <c r="U11" i="1"/>
  <c r="R11" i="1"/>
  <c r="S13" i="1" s="1"/>
  <c r="I11" i="1"/>
  <c r="H8" i="1"/>
  <c r="X7" i="1"/>
  <c r="W7" i="1"/>
  <c r="V350" i="1" s="1"/>
  <c r="U7" i="1"/>
  <c r="T350" i="1" s="1"/>
  <c r="S7" i="1"/>
  <c r="R7" i="1"/>
  <c r="I7" i="1"/>
  <c r="I350" i="1" s="1"/>
  <c r="H350" i="1" s="1"/>
  <c r="W524" i="3" l="1"/>
  <c r="X38" i="3"/>
  <c r="U48" i="3"/>
  <c r="U715" i="3" s="1"/>
  <c r="V47" i="3"/>
  <c r="W58" i="3"/>
  <c r="W121" i="3"/>
  <c r="W171" i="3"/>
  <c r="X167" i="3"/>
  <c r="W209" i="3"/>
  <c r="W494" i="3"/>
  <c r="W538" i="3"/>
  <c r="AB144" i="4"/>
  <c r="AF149" i="4" s="1"/>
  <c r="AD144" i="4"/>
  <c r="X51" i="3"/>
  <c r="U97" i="3"/>
  <c r="V96" i="3"/>
  <c r="X110" i="3"/>
  <c r="X135" i="3"/>
  <c r="W191" i="3"/>
  <c r="W233" i="3"/>
  <c r="W277" i="3"/>
  <c r="V292" i="3"/>
  <c r="W332" i="3"/>
  <c r="X366" i="3"/>
  <c r="W513" i="3"/>
  <c r="Y640" i="3"/>
  <c r="W713" i="3"/>
  <c r="W767" i="3"/>
  <c r="W779" i="3"/>
  <c r="AE144" i="4"/>
  <c r="X103" i="3"/>
  <c r="X175" i="3"/>
  <c r="V360" i="3"/>
  <c r="X360" i="3" s="1"/>
  <c r="W642" i="3"/>
  <c r="X684" i="3"/>
  <c r="Y152" i="3"/>
  <c r="X157" i="3"/>
  <c r="X285" i="3"/>
  <c r="W459" i="3"/>
  <c r="W34" i="3"/>
  <c r="W131" i="3"/>
  <c r="X451" i="3"/>
  <c r="X569" i="3"/>
  <c r="W615" i="3"/>
  <c r="Q350" i="1"/>
  <c r="V390" i="1"/>
  <c r="W25" i="3"/>
  <c r="X125" i="3"/>
  <c r="W201" i="3"/>
  <c r="Y213" i="3"/>
  <c r="W221" i="3"/>
  <c r="W752" i="3"/>
  <c r="W782" i="3" s="1"/>
  <c r="X84" i="3"/>
  <c r="W409" i="3"/>
  <c r="X645" i="3"/>
  <c r="W680" i="3"/>
  <c r="S782" i="3"/>
  <c r="AF150" i="4"/>
  <c r="AF151" i="4"/>
  <c r="AF148" i="4"/>
  <c r="AF147" i="4"/>
  <c r="W80" i="3"/>
  <c r="W352" i="3"/>
  <c r="U782" i="3"/>
  <c r="H144" i="4"/>
  <c r="AF158" i="4"/>
  <c r="AF157" i="4"/>
  <c r="AF171" i="4"/>
  <c r="AF166" i="4"/>
  <c r="AF159" i="4"/>
  <c r="AF168" i="4"/>
  <c r="AF167" i="4"/>
  <c r="Z144" i="4"/>
  <c r="AF161" i="4"/>
  <c r="AF160" i="4"/>
  <c r="AF170" i="4"/>
  <c r="AF169" i="4"/>
  <c r="W447" i="3"/>
  <c r="W565" i="3"/>
  <c r="V619" i="3"/>
  <c r="W318" i="3"/>
  <c r="W425" i="3"/>
  <c r="X413" i="3"/>
  <c r="W708" i="3"/>
  <c r="A19" i="6" a="1"/>
  <c r="A19" i="6" s="1"/>
  <c r="W294" i="3" l="1"/>
  <c r="X292" i="3"/>
  <c r="A35" i="6" s="1" a="1"/>
  <c r="W48" i="3"/>
  <c r="X47" i="3"/>
  <c r="A5" i="6" s="1" a="1"/>
  <c r="AF163" i="4"/>
  <c r="AH160" i="4" s="1"/>
  <c r="W621" i="3"/>
  <c r="X619" i="3"/>
  <c r="AJ171" i="4"/>
  <c r="W715" i="3"/>
  <c r="AF172" i="4"/>
  <c r="AH169" i="4" s="1"/>
  <c r="AF153" i="4"/>
  <c r="W97" i="3"/>
  <c r="X96" i="3"/>
  <c r="AH161" i="4" l="1"/>
  <c r="AH166" i="4"/>
  <c r="AH172" i="4" s="1"/>
  <c r="AH157" i="4"/>
  <c r="AH163" i="4" s="1"/>
  <c r="AH159" i="4"/>
  <c r="AH171" i="4"/>
  <c r="AH168" i="4"/>
  <c r="AH170" i="4"/>
  <c r="AH167" i="4"/>
  <c r="W13" i="6"/>
  <c r="O13" i="6"/>
  <c r="G13" i="6"/>
  <c r="AB12" i="6"/>
  <c r="T12" i="6"/>
  <c r="L12" i="6"/>
  <c r="D12" i="6"/>
  <c r="Y11" i="6"/>
  <c r="Q11" i="6"/>
  <c r="I11" i="6"/>
  <c r="A11" i="6"/>
  <c r="V10" i="6"/>
  <c r="N10" i="6"/>
  <c r="F10" i="6"/>
  <c r="AA9" i="6"/>
  <c r="S9" i="6"/>
  <c r="K9" i="6"/>
  <c r="C9" i="6"/>
  <c r="X8" i="6"/>
  <c r="P8" i="6"/>
  <c r="H8" i="6"/>
  <c r="AC7" i="6"/>
  <c r="U7" i="6"/>
  <c r="M7" i="6"/>
  <c r="E7" i="6"/>
  <c r="Z6" i="6"/>
  <c r="R6" i="6"/>
  <c r="J6" i="6"/>
  <c r="B6" i="6"/>
  <c r="W5" i="6"/>
  <c r="O5" i="6"/>
  <c r="G5" i="6"/>
  <c r="V13" i="6"/>
  <c r="N13" i="6"/>
  <c r="F13" i="6"/>
  <c r="AA12" i="6"/>
  <c r="S12" i="6"/>
  <c r="K12" i="6"/>
  <c r="C12" i="6"/>
  <c r="X11" i="6"/>
  <c r="P11" i="6"/>
  <c r="H11" i="6"/>
  <c r="AC10" i="6"/>
  <c r="U10" i="6"/>
  <c r="M10" i="6"/>
  <c r="E10" i="6"/>
  <c r="Z9" i="6"/>
  <c r="R9" i="6"/>
  <c r="J9" i="6"/>
  <c r="B9" i="6"/>
  <c r="W8" i="6"/>
  <c r="O8" i="6"/>
  <c r="G8" i="6"/>
  <c r="AB7" i="6"/>
  <c r="T7" i="6"/>
  <c r="L7" i="6"/>
  <c r="D7" i="6"/>
  <c r="Y6" i="6"/>
  <c r="Q6" i="6"/>
  <c r="I6" i="6"/>
  <c r="A6" i="6"/>
  <c r="V5" i="6"/>
  <c r="N5" i="6"/>
  <c r="F5" i="6"/>
  <c r="AA13" i="6"/>
  <c r="S13" i="6"/>
  <c r="K13" i="6"/>
  <c r="C13" i="6"/>
  <c r="X12" i="6"/>
  <c r="P12" i="6"/>
  <c r="H12" i="6"/>
  <c r="AC11" i="6"/>
  <c r="U11" i="6"/>
  <c r="M11" i="6"/>
  <c r="E11" i="6"/>
  <c r="Z10" i="6"/>
  <c r="R10" i="6"/>
  <c r="J10" i="6"/>
  <c r="B10" i="6"/>
  <c r="W9" i="6"/>
  <c r="U13" i="6"/>
  <c r="I13" i="6"/>
  <c r="Y12" i="6"/>
  <c r="M12" i="6"/>
  <c r="AB11" i="6"/>
  <c r="O11" i="6"/>
  <c r="C11" i="6"/>
  <c r="S10" i="6"/>
  <c r="G10" i="6"/>
  <c r="V9" i="6"/>
  <c r="L9" i="6"/>
  <c r="AC8" i="6"/>
  <c r="S8" i="6"/>
  <c r="I8" i="6"/>
  <c r="Z7" i="6"/>
  <c r="P7" i="6"/>
  <c r="F7" i="6"/>
  <c r="W6" i="6"/>
  <c r="M6" i="6"/>
  <c r="C6" i="6"/>
  <c r="T5" i="6"/>
  <c r="J5" i="6"/>
  <c r="A5" i="6"/>
  <c r="T13" i="6"/>
  <c r="H13" i="6"/>
  <c r="W12" i="6"/>
  <c r="J12" i="6"/>
  <c r="AA11" i="6"/>
  <c r="N11" i="6"/>
  <c r="B11" i="6"/>
  <c r="Q10" i="6"/>
  <c r="D10" i="6"/>
  <c r="U9" i="6"/>
  <c r="I9" i="6"/>
  <c r="AB8" i="6"/>
  <c r="R8" i="6"/>
  <c r="F8" i="6"/>
  <c r="Y7" i="6"/>
  <c r="O7" i="6"/>
  <c r="C7" i="6"/>
  <c r="V6" i="6"/>
  <c r="L6" i="6"/>
  <c r="AC5" i="6"/>
  <c r="S5" i="6"/>
  <c r="I5" i="6"/>
  <c r="AC13" i="6"/>
  <c r="Q13" i="6"/>
  <c r="D13" i="6"/>
  <c r="U12" i="6"/>
  <c r="G12" i="6"/>
  <c r="W11" i="6"/>
  <c r="K11" i="6"/>
  <c r="AA10" i="6"/>
  <c r="O10" i="6"/>
  <c r="A10" i="6"/>
  <c r="Q9" i="6"/>
  <c r="G9" i="6"/>
  <c r="Z8" i="6"/>
  <c r="N8" i="6"/>
  <c r="D8" i="6"/>
  <c r="W7" i="6"/>
  <c r="K7" i="6"/>
  <c r="A7" i="6"/>
  <c r="T6" i="6"/>
  <c r="H6" i="6"/>
  <c r="AA5" i="6"/>
  <c r="Q5" i="6"/>
  <c r="E5" i="6"/>
  <c r="AB13" i="6"/>
  <c r="P13" i="6"/>
  <c r="B13" i="6"/>
  <c r="R12" i="6"/>
  <c r="F12" i="6"/>
  <c r="V11" i="6"/>
  <c r="J11" i="6"/>
  <c r="Y10" i="6"/>
  <c r="L10" i="6"/>
  <c r="AC9" i="6"/>
  <c r="P9" i="6"/>
  <c r="F9" i="6"/>
  <c r="Y8" i="6"/>
  <c r="M8" i="6"/>
  <c r="C8" i="6"/>
  <c r="V7" i="6"/>
  <c r="J7" i="6"/>
  <c r="AC6" i="6"/>
  <c r="S6" i="6"/>
  <c r="G6" i="6"/>
  <c r="Z5" i="6"/>
  <c r="P5" i="6"/>
  <c r="D5" i="6"/>
  <c r="Z13" i="6"/>
  <c r="M13" i="6"/>
  <c r="A13" i="6"/>
  <c r="Q12" i="6"/>
  <c r="E12" i="6"/>
  <c r="T11" i="6"/>
  <c r="G11" i="6"/>
  <c r="X10" i="6"/>
  <c r="K10" i="6"/>
  <c r="AB9" i="6"/>
  <c r="O9" i="6"/>
  <c r="E9" i="6"/>
  <c r="V8" i="6"/>
  <c r="L8" i="6"/>
  <c r="B8" i="6"/>
  <c r="S7" i="6"/>
  <c r="I7" i="6"/>
  <c r="AB6" i="6"/>
  <c r="P6" i="6"/>
  <c r="F6" i="6"/>
  <c r="Y5" i="6"/>
  <c r="M5" i="6"/>
  <c r="C5" i="6"/>
  <c r="Y13" i="6"/>
  <c r="L13" i="6"/>
  <c r="AC12" i="6"/>
  <c r="O12" i="6"/>
  <c r="B12" i="6"/>
  <c r="S11" i="6"/>
  <c r="F11" i="6"/>
  <c r="W10" i="6"/>
  <c r="I10" i="6"/>
  <c r="Y9" i="6"/>
  <c r="N9" i="6"/>
  <c r="D9" i="6"/>
  <c r="U8" i="6"/>
  <c r="K8" i="6"/>
  <c r="A8" i="6"/>
  <c r="R7" i="6"/>
  <c r="H7" i="6"/>
  <c r="AA6" i="6"/>
  <c r="O6" i="6"/>
  <c r="E6" i="6"/>
  <c r="X5" i="6"/>
  <c r="L5" i="6"/>
  <c r="B5" i="6"/>
  <c r="X13" i="6"/>
  <c r="J13" i="6"/>
  <c r="Z12" i="6"/>
  <c r="N12" i="6"/>
  <c r="A12" i="6"/>
  <c r="R11" i="6"/>
  <c r="D11" i="6"/>
  <c r="T10" i="6"/>
  <c r="H10" i="6"/>
  <c r="X9" i="6"/>
  <c r="M9" i="6"/>
  <c r="A9" i="6"/>
  <c r="T8" i="6"/>
  <c r="J8" i="6"/>
  <c r="AA7" i="6"/>
  <c r="Q7" i="6"/>
  <c r="G7" i="6"/>
  <c r="X6" i="6"/>
  <c r="N6" i="6"/>
  <c r="D6" i="6"/>
  <c r="U5" i="6"/>
  <c r="K5" i="6"/>
  <c r="AB10" i="6"/>
  <c r="X7" i="6"/>
  <c r="R13" i="6"/>
  <c r="C10" i="6"/>
  <c r="B7" i="6"/>
  <c r="V12" i="6"/>
  <c r="H9" i="6"/>
  <c r="K6" i="6"/>
  <c r="I12" i="6"/>
  <c r="AA8" i="6"/>
  <c r="AB5" i="6"/>
  <c r="Z11" i="6"/>
  <c r="Q8" i="6"/>
  <c r="R5" i="6"/>
  <c r="L11" i="6"/>
  <c r="E8" i="6"/>
  <c r="H5" i="6"/>
  <c r="E13" i="6"/>
  <c r="P10" i="6"/>
  <c r="T9" i="6"/>
  <c r="N7" i="6"/>
  <c r="U6" i="6"/>
  <c r="AC71" i="6"/>
  <c r="U71" i="6"/>
  <c r="AB71" i="6"/>
  <c r="AA71" i="6"/>
  <c r="S71" i="6"/>
  <c r="K71" i="6"/>
  <c r="C71" i="6"/>
  <c r="X70" i="6"/>
  <c r="P70" i="6"/>
  <c r="H70" i="6"/>
  <c r="AC69" i="6"/>
  <c r="U69" i="6"/>
  <c r="M69" i="6"/>
  <c r="E69" i="6"/>
  <c r="Z68" i="6"/>
  <c r="R68" i="6"/>
  <c r="J68" i="6"/>
  <c r="B68" i="6"/>
  <c r="W67" i="6"/>
  <c r="O67" i="6"/>
  <c r="G67" i="6"/>
  <c r="AB66" i="6"/>
  <c r="T66" i="6"/>
  <c r="L66" i="6"/>
  <c r="D66" i="6"/>
  <c r="Y65" i="6"/>
  <c r="Q65" i="6"/>
  <c r="I65" i="6"/>
  <c r="A65" i="6"/>
  <c r="V64" i="6"/>
  <c r="N64" i="6"/>
  <c r="F64" i="6"/>
  <c r="AA63" i="6"/>
  <c r="S63" i="6"/>
  <c r="K63" i="6"/>
  <c r="C63" i="6"/>
  <c r="X62" i="6"/>
  <c r="P62" i="6"/>
  <c r="H62" i="6"/>
  <c r="AC61" i="6"/>
  <c r="U61" i="6"/>
  <c r="M61" i="6"/>
  <c r="E61" i="6"/>
  <c r="Z60" i="6"/>
  <c r="R60" i="6"/>
  <c r="J60" i="6"/>
  <c r="B60" i="6"/>
  <c r="W59" i="6"/>
  <c r="O59" i="6"/>
  <c r="G59" i="6"/>
  <c r="AB58" i="6"/>
  <c r="T58" i="6"/>
  <c r="L58" i="6"/>
  <c r="D58" i="6"/>
  <c r="Y57" i="6"/>
  <c r="Q57" i="6"/>
  <c r="I57" i="6"/>
  <c r="A57" i="6"/>
  <c r="V56" i="6"/>
  <c r="N56" i="6"/>
  <c r="F56" i="6"/>
  <c r="AA55" i="6"/>
  <c r="S55" i="6"/>
  <c r="K55" i="6"/>
  <c r="C55" i="6"/>
  <c r="X54" i="6"/>
  <c r="P54" i="6"/>
  <c r="H54" i="6"/>
  <c r="AC53" i="6"/>
  <c r="U53" i="6"/>
  <c r="M53" i="6"/>
  <c r="E53" i="6"/>
  <c r="Z52" i="6"/>
  <c r="R52" i="6"/>
  <c r="J52" i="6"/>
  <c r="B52" i="6"/>
  <c r="W51" i="6"/>
  <c r="O51" i="6"/>
  <c r="G51" i="6"/>
  <c r="AB50" i="6"/>
  <c r="T50" i="6"/>
  <c r="L50" i="6"/>
  <c r="D50" i="6"/>
  <c r="Y49" i="6"/>
  <c r="Q49" i="6"/>
  <c r="I49" i="6"/>
  <c r="A49" i="6"/>
  <c r="V48" i="6"/>
  <c r="Z71" i="6"/>
  <c r="R71" i="6"/>
  <c r="X71" i="6"/>
  <c r="M71" i="6"/>
  <c r="D71" i="6"/>
  <c r="W70" i="6"/>
  <c r="N70" i="6"/>
  <c r="E70" i="6"/>
  <c r="Y69" i="6"/>
  <c r="P69" i="6"/>
  <c r="G69" i="6"/>
  <c r="AA68" i="6"/>
  <c r="Q68" i="6"/>
  <c r="H68" i="6"/>
  <c r="AB67" i="6"/>
  <c r="S67" i="6"/>
  <c r="J67" i="6"/>
  <c r="A67" i="6"/>
  <c r="U66" i="6"/>
  <c r="K66" i="6"/>
  <c r="B66" i="6"/>
  <c r="V65" i="6"/>
  <c r="M65" i="6"/>
  <c r="D65" i="6"/>
  <c r="X64" i="6"/>
  <c r="O64" i="6"/>
  <c r="E64" i="6"/>
  <c r="Y63" i="6"/>
  <c r="P63" i="6"/>
  <c r="G63" i="6"/>
  <c r="AA62" i="6"/>
  <c r="R62" i="6"/>
  <c r="I62" i="6"/>
  <c r="AB61" i="6"/>
  <c r="S61" i="6"/>
  <c r="J61" i="6"/>
  <c r="A61" i="6"/>
  <c r="U60" i="6"/>
  <c r="L60" i="6"/>
  <c r="C60" i="6"/>
  <c r="V59" i="6"/>
  <c r="M59" i="6"/>
  <c r="D59" i="6"/>
  <c r="X58" i="6"/>
  <c r="O58" i="6"/>
  <c r="F58" i="6"/>
  <c r="Z57" i="6"/>
  <c r="P57" i="6"/>
  <c r="G57" i="6"/>
  <c r="AA56" i="6"/>
  <c r="R56" i="6"/>
  <c r="I56" i="6"/>
  <c r="AC55" i="6"/>
  <c r="T55" i="6"/>
  <c r="J55" i="6"/>
  <c r="A55" i="6"/>
  <c r="U54" i="6"/>
  <c r="L54" i="6"/>
  <c r="C54" i="6"/>
  <c r="W53" i="6"/>
  <c r="N53" i="6"/>
  <c r="D53" i="6"/>
  <c r="X52" i="6"/>
  <c r="O52" i="6"/>
  <c r="F52" i="6"/>
  <c r="Z51" i="6"/>
  <c r="Q51" i="6"/>
  <c r="H51" i="6"/>
  <c r="AA50" i="6"/>
  <c r="R50" i="6"/>
  <c r="I50" i="6"/>
  <c r="AC49" i="6"/>
  <c r="T49" i="6"/>
  <c r="K49" i="6"/>
  <c r="B49" i="6"/>
  <c r="U48" i="6"/>
  <c r="M48" i="6"/>
  <c r="E48" i="6"/>
  <c r="Z47" i="6"/>
  <c r="R47" i="6"/>
  <c r="J47" i="6"/>
  <c r="B47" i="6"/>
  <c r="W46" i="6"/>
  <c r="O46" i="6"/>
  <c r="G46" i="6"/>
  <c r="AB45" i="6"/>
  <c r="T45" i="6"/>
  <c r="N71" i="6"/>
  <c r="B71" i="6"/>
  <c r="U70" i="6"/>
  <c r="K70" i="6"/>
  <c r="A70" i="6"/>
  <c r="S69" i="6"/>
  <c r="I69" i="6"/>
  <c r="AB68" i="6"/>
  <c r="P68" i="6"/>
  <c r="F68" i="6"/>
  <c r="Y67" i="6"/>
  <c r="N67" i="6"/>
  <c r="D67" i="6"/>
  <c r="W66" i="6"/>
  <c r="M66" i="6"/>
  <c r="A66" i="6"/>
  <c r="T65" i="6"/>
  <c r="J65" i="6"/>
  <c r="AB64" i="6"/>
  <c r="R64" i="6"/>
  <c r="H64" i="6"/>
  <c r="Z63" i="6"/>
  <c r="O63" i="6"/>
  <c r="E63" i="6"/>
  <c r="W62" i="6"/>
  <c r="M62" i="6"/>
  <c r="C62" i="6"/>
  <c r="V61" i="6"/>
  <c r="K61" i="6"/>
  <c r="AC60" i="6"/>
  <c r="S60" i="6"/>
  <c r="H60" i="6"/>
  <c r="AA59" i="6"/>
  <c r="Q59" i="6"/>
  <c r="F59" i="6"/>
  <c r="Y58" i="6"/>
  <c r="N58" i="6"/>
  <c r="C58" i="6"/>
  <c r="V57" i="6"/>
  <c r="L57" i="6"/>
  <c r="B57" i="6"/>
  <c r="T56" i="6"/>
  <c r="J56" i="6"/>
  <c r="AB55" i="6"/>
  <c r="Q55" i="6"/>
  <c r="G55" i="6"/>
  <c r="Z54" i="6"/>
  <c r="O54" i="6"/>
  <c r="E54" i="6"/>
  <c r="X53" i="6"/>
  <c r="L53" i="6"/>
  <c r="B53" i="6"/>
  <c r="U52" i="6"/>
  <c r="K52" i="6"/>
  <c r="AC51" i="6"/>
  <c r="S51" i="6"/>
  <c r="I51" i="6"/>
  <c r="Z50" i="6"/>
  <c r="P50" i="6"/>
  <c r="F50" i="6"/>
  <c r="X49" i="6"/>
  <c r="N49" i="6"/>
  <c r="D49" i="6"/>
  <c r="W48" i="6"/>
  <c r="L48" i="6"/>
  <c r="C48" i="6"/>
  <c r="W47" i="6"/>
  <c r="N47" i="6"/>
  <c r="E47" i="6"/>
  <c r="Y46" i="6"/>
  <c r="P46" i="6"/>
  <c r="F46" i="6"/>
  <c r="Z45" i="6"/>
  <c r="Q45" i="6"/>
  <c r="I45" i="6"/>
  <c r="A45" i="6"/>
  <c r="V44" i="6"/>
  <c r="N44" i="6"/>
  <c r="F44" i="6"/>
  <c r="AA43" i="6"/>
  <c r="S43" i="6"/>
  <c r="K43" i="6"/>
  <c r="C43" i="6"/>
  <c r="X42" i="6"/>
  <c r="P42" i="6"/>
  <c r="O71" i="6"/>
  <c r="A71" i="6"/>
  <c r="S70" i="6"/>
  <c r="G70" i="6"/>
  <c r="X69" i="6"/>
  <c r="L69" i="6"/>
  <c r="A69" i="6"/>
  <c r="S68" i="6"/>
  <c r="E68" i="6"/>
  <c r="V67" i="6"/>
  <c r="K67" i="6"/>
  <c r="AA66" i="6"/>
  <c r="P66" i="6"/>
  <c r="E66" i="6"/>
  <c r="U65" i="6"/>
  <c r="H65" i="6"/>
  <c r="Z64" i="6"/>
  <c r="M64" i="6"/>
  <c r="B64" i="6"/>
  <c r="T63" i="6"/>
  <c r="H63" i="6"/>
  <c r="Y62" i="6"/>
  <c r="L62" i="6"/>
  <c r="A62" i="6"/>
  <c r="Q61" i="6"/>
  <c r="F61" i="6"/>
  <c r="W60" i="6"/>
  <c r="K60" i="6"/>
  <c r="AB59" i="6"/>
  <c r="P59" i="6"/>
  <c r="C59" i="6"/>
  <c r="U58" i="6"/>
  <c r="I58" i="6"/>
  <c r="AA57" i="6"/>
  <c r="N57" i="6"/>
  <c r="C57" i="6"/>
  <c r="S56" i="6"/>
  <c r="G56" i="6"/>
  <c r="X55" i="6"/>
  <c r="M55" i="6"/>
  <c r="AC54" i="6"/>
  <c r="R54" i="6"/>
  <c r="F54" i="6"/>
  <c r="V53" i="6"/>
  <c r="J53" i="6"/>
  <c r="AB52" i="6"/>
  <c r="P52" i="6"/>
  <c r="D52" i="6"/>
  <c r="U51" i="6"/>
  <c r="J51" i="6"/>
  <c r="Y50" i="6"/>
  <c r="N50" i="6"/>
  <c r="B50" i="6"/>
  <c r="S49" i="6"/>
  <c r="G49" i="6"/>
  <c r="Y48" i="6"/>
  <c r="N48" i="6"/>
  <c r="B48" i="6"/>
  <c r="U47" i="6"/>
  <c r="K47" i="6"/>
  <c r="AC46" i="6"/>
  <c r="S46" i="6"/>
  <c r="I46" i="6"/>
  <c r="AA45" i="6"/>
  <c r="P45" i="6"/>
  <c r="G45" i="6"/>
  <c r="AA44" i="6"/>
  <c r="R44" i="6"/>
  <c r="I44" i="6"/>
  <c r="AC43" i="6"/>
  <c r="T43" i="6"/>
  <c r="J43" i="6"/>
  <c r="A43" i="6"/>
  <c r="U42" i="6"/>
  <c r="L42" i="6"/>
  <c r="D42" i="6"/>
  <c r="Y41" i="6"/>
  <c r="Q41" i="6"/>
  <c r="I41" i="6"/>
  <c r="A41" i="6"/>
  <c r="V40" i="6"/>
  <c r="N40" i="6"/>
  <c r="F40" i="6"/>
  <c r="AA39" i="6"/>
  <c r="S39" i="6"/>
  <c r="Y71" i="6"/>
  <c r="I71" i="6"/>
  <c r="Z70" i="6"/>
  <c r="L70" i="6"/>
  <c r="AA69" i="6"/>
  <c r="N69" i="6"/>
  <c r="AC68" i="6"/>
  <c r="N68" i="6"/>
  <c r="A68" i="6"/>
  <c r="Q67" i="6"/>
  <c r="C67" i="6"/>
  <c r="R66" i="6"/>
  <c r="F66" i="6"/>
  <c r="S65" i="6"/>
  <c r="F65" i="6"/>
  <c r="U64" i="6"/>
  <c r="I64" i="6"/>
  <c r="W63" i="6"/>
  <c r="J63" i="6"/>
  <c r="Z62" i="6"/>
  <c r="K62" i="6"/>
  <c r="Z61" i="6"/>
  <c r="N61" i="6"/>
  <c r="AB60" i="6"/>
  <c r="O60" i="6"/>
  <c r="A60" i="6"/>
  <c r="R59" i="6"/>
  <c r="B59" i="6"/>
  <c r="R58" i="6"/>
  <c r="E58" i="6"/>
  <c r="T57" i="6"/>
  <c r="F57" i="6"/>
  <c r="W56" i="6"/>
  <c r="H56" i="6"/>
  <c r="W55" i="6"/>
  <c r="I55" i="6"/>
  <c r="Y54" i="6"/>
  <c r="K54" i="6"/>
  <c r="AA53" i="6"/>
  <c r="O53" i="6"/>
  <c r="AC52" i="6"/>
  <c r="N52" i="6"/>
  <c r="A52" i="6"/>
  <c r="P51" i="6"/>
  <c r="C51" i="6"/>
  <c r="S50" i="6"/>
  <c r="E50" i="6"/>
  <c r="U49" i="6"/>
  <c r="F49" i="6"/>
  <c r="T48" i="6"/>
  <c r="I48" i="6"/>
  <c r="AA47" i="6"/>
  <c r="O47" i="6"/>
  <c r="C47" i="6"/>
  <c r="T46" i="6"/>
  <c r="H46" i="6"/>
  <c r="X45" i="6"/>
  <c r="M45" i="6"/>
  <c r="C45" i="6"/>
  <c r="U44" i="6"/>
  <c r="K44" i="6"/>
  <c r="A44" i="6"/>
  <c r="R43" i="6"/>
  <c r="H43" i="6"/>
  <c r="AA42" i="6"/>
  <c r="Q42" i="6"/>
  <c r="G42" i="6"/>
  <c r="AA41" i="6"/>
  <c r="R41" i="6"/>
  <c r="H41" i="6"/>
  <c r="AB40" i="6"/>
  <c r="S40" i="6"/>
  <c r="J40" i="6"/>
  <c r="A40" i="6"/>
  <c r="U39" i="6"/>
  <c r="L39" i="6"/>
  <c r="D39" i="6"/>
  <c r="Y38" i="6"/>
  <c r="Q38" i="6"/>
  <c r="I38" i="6"/>
  <c r="A38" i="6"/>
  <c r="V37" i="6"/>
  <c r="N37" i="6"/>
  <c r="F37" i="6"/>
  <c r="AA36" i="6"/>
  <c r="W71" i="6"/>
  <c r="H71" i="6"/>
  <c r="Y70" i="6"/>
  <c r="J70" i="6"/>
  <c r="Z69" i="6"/>
  <c r="K69" i="6"/>
  <c r="Y68" i="6"/>
  <c r="M68" i="6"/>
  <c r="AC67" i="6"/>
  <c r="P67" i="6"/>
  <c r="B67" i="6"/>
  <c r="Q66" i="6"/>
  <c r="C66" i="6"/>
  <c r="R65" i="6"/>
  <c r="E65" i="6"/>
  <c r="T64" i="6"/>
  <c r="G64" i="6"/>
  <c r="V63" i="6"/>
  <c r="I63" i="6"/>
  <c r="V62" i="6"/>
  <c r="J62" i="6"/>
  <c r="Y61" i="6"/>
  <c r="L61" i="6"/>
  <c r="AA60" i="6"/>
  <c r="N60" i="6"/>
  <c r="AC59" i="6"/>
  <c r="N59" i="6"/>
  <c r="A59" i="6"/>
  <c r="Q58" i="6"/>
  <c r="B58" i="6"/>
  <c r="S57" i="6"/>
  <c r="E57" i="6"/>
  <c r="U56" i="6"/>
  <c r="E56" i="6"/>
  <c r="V55" i="6"/>
  <c r="H55" i="6"/>
  <c r="W54" i="6"/>
  <c r="J54" i="6"/>
  <c r="Z53" i="6"/>
  <c r="K53" i="6"/>
  <c r="AA52" i="6"/>
  <c r="M52" i="6"/>
  <c r="AB51" i="6"/>
  <c r="N51" i="6"/>
  <c r="B51" i="6"/>
  <c r="Q50" i="6"/>
  <c r="C50" i="6"/>
  <c r="R49" i="6"/>
  <c r="E49" i="6"/>
  <c r="S48" i="6"/>
  <c r="H48" i="6"/>
  <c r="Y47" i="6"/>
  <c r="M47" i="6"/>
  <c r="A47" i="6"/>
  <c r="R46" i="6"/>
  <c r="E46" i="6"/>
  <c r="W45" i="6"/>
  <c r="L45" i="6"/>
  <c r="B45" i="6"/>
  <c r="T44" i="6"/>
  <c r="J44" i="6"/>
  <c r="AB43" i="6"/>
  <c r="Q43" i="6"/>
  <c r="G43" i="6"/>
  <c r="Z42" i="6"/>
  <c r="O42" i="6"/>
  <c r="F42" i="6"/>
  <c r="Z41" i="6"/>
  <c r="P41" i="6"/>
  <c r="G41" i="6"/>
  <c r="AA40" i="6"/>
  <c r="R40" i="6"/>
  <c r="I40" i="6"/>
  <c r="AC39" i="6"/>
  <c r="T39" i="6"/>
  <c r="K39" i="6"/>
  <c r="C39" i="6"/>
  <c r="X38" i="6"/>
  <c r="P38" i="6"/>
  <c r="H38" i="6"/>
  <c r="AC37" i="6"/>
  <c r="U37" i="6"/>
  <c r="M37" i="6"/>
  <c r="E37" i="6"/>
  <c r="Z36" i="6"/>
  <c r="R36" i="6"/>
  <c r="J36" i="6"/>
  <c r="B36" i="6"/>
  <c r="W35" i="6"/>
  <c r="O35" i="6"/>
  <c r="G35" i="6"/>
  <c r="V71" i="6"/>
  <c r="E71" i="6"/>
  <c r="O70" i="6"/>
  <c r="W69" i="6"/>
  <c r="F69" i="6"/>
  <c r="T68" i="6"/>
  <c r="AA67" i="6"/>
  <c r="I67" i="6"/>
  <c r="V66" i="6"/>
  <c r="AC65" i="6"/>
  <c r="N65" i="6"/>
  <c r="Y64" i="6"/>
  <c r="D64" i="6"/>
  <c r="Q63" i="6"/>
  <c r="AC62" i="6"/>
  <c r="G62" i="6"/>
  <c r="T61" i="6"/>
  <c r="C61" i="6"/>
  <c r="M60" i="6"/>
  <c r="X59" i="6"/>
  <c r="H59" i="6"/>
  <c r="P58" i="6"/>
  <c r="AB57" i="6"/>
  <c r="J57" i="6"/>
  <c r="Q56" i="6"/>
  <c r="B56" i="6"/>
  <c r="N55" i="6"/>
  <c r="V54" i="6"/>
  <c r="D54" i="6"/>
  <c r="Q53" i="6"/>
  <c r="Y52" i="6"/>
  <c r="H52" i="6"/>
  <c r="T51" i="6"/>
  <c r="A51" i="6"/>
  <c r="K50" i="6"/>
  <c r="W49" i="6"/>
  <c r="C49" i="6"/>
  <c r="P48" i="6"/>
  <c r="AC47" i="6"/>
  <c r="L47" i="6"/>
  <c r="Z46" i="6"/>
  <c r="K46" i="6"/>
  <c r="V45" i="6"/>
  <c r="H45" i="6"/>
  <c r="X44" i="6"/>
  <c r="H44" i="6"/>
  <c r="X43" i="6"/>
  <c r="L43" i="6"/>
  <c r="Y42" i="6"/>
  <c r="K42" i="6"/>
  <c r="AC41" i="6"/>
  <c r="O41" i="6"/>
  <c r="D41" i="6"/>
  <c r="U40" i="6"/>
  <c r="H40" i="6"/>
  <c r="Y39" i="6"/>
  <c r="N39" i="6"/>
  <c r="B39" i="6"/>
  <c r="U38" i="6"/>
  <c r="K38" i="6"/>
  <c r="AB37" i="6"/>
  <c r="R37" i="6"/>
  <c r="H37" i="6"/>
  <c r="Y36" i="6"/>
  <c r="P36" i="6"/>
  <c r="G36" i="6"/>
  <c r="AA35" i="6"/>
  <c r="R35" i="6"/>
  <c r="I35" i="6"/>
  <c r="A35" i="6"/>
  <c r="T71" i="6"/>
  <c r="AC70" i="6"/>
  <c r="M70" i="6"/>
  <c r="V69" i="6"/>
  <c r="D69" i="6"/>
  <c r="O68" i="6"/>
  <c r="Z67" i="6"/>
  <c r="H67" i="6"/>
  <c r="S66" i="6"/>
  <c r="AB65" i="6"/>
  <c r="L65" i="6"/>
  <c r="W64" i="6"/>
  <c r="C64" i="6"/>
  <c r="N63" i="6"/>
  <c r="AB62" i="6"/>
  <c r="F62" i="6"/>
  <c r="R61" i="6"/>
  <c r="B61" i="6"/>
  <c r="I60" i="6"/>
  <c r="U59" i="6"/>
  <c r="E59" i="6"/>
  <c r="M58" i="6"/>
  <c r="X57" i="6"/>
  <c r="H57" i="6"/>
  <c r="P56" i="6"/>
  <c r="A56" i="6"/>
  <c r="L55" i="6"/>
  <c r="T54" i="6"/>
  <c r="B54" i="6"/>
  <c r="P53" i="6"/>
  <c r="W52" i="6"/>
  <c r="G52" i="6"/>
  <c r="R51" i="6"/>
  <c r="AC50" i="6"/>
  <c r="J50" i="6"/>
  <c r="V49" i="6"/>
  <c r="AC48" i="6"/>
  <c r="O48" i="6"/>
  <c r="AB47" i="6"/>
  <c r="I47" i="6"/>
  <c r="X46" i="6"/>
  <c r="J46" i="6"/>
  <c r="U45" i="6"/>
  <c r="F45" i="6"/>
  <c r="W44" i="6"/>
  <c r="G44" i="6"/>
  <c r="W43" i="6"/>
  <c r="I43" i="6"/>
  <c r="W42" i="6"/>
  <c r="J42" i="6"/>
  <c r="AB41" i="6"/>
  <c r="N41" i="6"/>
  <c r="C41" i="6"/>
  <c r="T40" i="6"/>
  <c r="G40" i="6"/>
  <c r="X39" i="6"/>
  <c r="M39" i="6"/>
  <c r="A39" i="6"/>
  <c r="T38" i="6"/>
  <c r="J38" i="6"/>
  <c r="AA37" i="6"/>
  <c r="Q37" i="6"/>
  <c r="G37" i="6"/>
  <c r="X36" i="6"/>
  <c r="O36" i="6"/>
  <c r="F36" i="6"/>
  <c r="Z35" i="6"/>
  <c r="Q35" i="6"/>
  <c r="H35" i="6"/>
  <c r="Q71" i="6"/>
  <c r="AB70" i="6"/>
  <c r="I70" i="6"/>
  <c r="T69" i="6"/>
  <c r="C69" i="6"/>
  <c r="L68" i="6"/>
  <c r="X67" i="6"/>
  <c r="F67" i="6"/>
  <c r="O66" i="6"/>
  <c r="AA65" i="6"/>
  <c r="K65" i="6"/>
  <c r="S64" i="6"/>
  <c r="A64" i="6"/>
  <c r="M63" i="6"/>
  <c r="U62" i="6"/>
  <c r="E62" i="6"/>
  <c r="P61" i="6"/>
  <c r="Y60" i="6"/>
  <c r="G60" i="6"/>
  <c r="T59" i="6"/>
  <c r="AC58" i="6"/>
  <c r="K58" i="6"/>
  <c r="W57" i="6"/>
  <c r="D57" i="6"/>
  <c r="O56" i="6"/>
  <c r="Z55" i="6"/>
  <c r="F55" i="6"/>
  <c r="S54" i="6"/>
  <c r="A54" i="6"/>
  <c r="I53" i="6"/>
  <c r="V52" i="6"/>
  <c r="E52" i="6"/>
  <c r="M51" i="6"/>
  <c r="X50" i="6"/>
  <c r="H50" i="6"/>
  <c r="P49" i="6"/>
  <c r="AB48" i="6"/>
  <c r="K48" i="6"/>
  <c r="X47" i="6"/>
  <c r="P71" i="6"/>
  <c r="AA70" i="6"/>
  <c r="F70" i="6"/>
  <c r="R69" i="6"/>
  <c r="B69" i="6"/>
  <c r="K68" i="6"/>
  <c r="U67" i="6"/>
  <c r="E67" i="6"/>
  <c r="N66" i="6"/>
  <c r="Z65" i="6"/>
  <c r="G65" i="6"/>
  <c r="Q64" i="6"/>
  <c r="AC63" i="6"/>
  <c r="L63" i="6"/>
  <c r="T62" i="6"/>
  <c r="D62" i="6"/>
  <c r="O61" i="6"/>
  <c r="X60" i="6"/>
  <c r="F60" i="6"/>
  <c r="S59" i="6"/>
  <c r="AA58" i="6"/>
  <c r="J58" i="6"/>
  <c r="U57" i="6"/>
  <c r="AC56" i="6"/>
  <c r="M56" i="6"/>
  <c r="Y55" i="6"/>
  <c r="E55" i="6"/>
  <c r="Q54" i="6"/>
  <c r="AB53" i="6"/>
  <c r="H53" i="6"/>
  <c r="T52" i="6"/>
  <c r="C52" i="6"/>
  <c r="L51" i="6"/>
  <c r="W50" i="6"/>
  <c r="G50" i="6"/>
  <c r="O49" i="6"/>
  <c r="AA48" i="6"/>
  <c r="J48" i="6"/>
  <c r="V47" i="6"/>
  <c r="L71" i="6"/>
  <c r="V70" i="6"/>
  <c r="D70" i="6"/>
  <c r="Q69" i="6"/>
  <c r="X68" i="6"/>
  <c r="I68" i="6"/>
  <c r="T67" i="6"/>
  <c r="AC66" i="6"/>
  <c r="J66" i="6"/>
  <c r="X65" i="6"/>
  <c r="C65" i="6"/>
  <c r="P64" i="6"/>
  <c r="AB63" i="6"/>
  <c r="F63" i="6"/>
  <c r="S62" i="6"/>
  <c r="B62" i="6"/>
  <c r="I61" i="6"/>
  <c r="V60" i="6"/>
  <c r="E60" i="6"/>
  <c r="L59" i="6"/>
  <c r="Z58" i="6"/>
  <c r="H58" i="6"/>
  <c r="R57" i="6"/>
  <c r="AB56" i="6"/>
  <c r="L56" i="6"/>
  <c r="U55" i="6"/>
  <c r="D55" i="6"/>
  <c r="N54" i="6"/>
  <c r="Y53" i="6"/>
  <c r="G53" i="6"/>
  <c r="S52" i="6"/>
  <c r="AA51" i="6"/>
  <c r="K51" i="6"/>
  <c r="V50" i="6"/>
  <c r="A50" i="6"/>
  <c r="M49" i="6"/>
  <c r="Z48" i="6"/>
  <c r="G48" i="6"/>
  <c r="T47" i="6"/>
  <c r="F47" i="6"/>
  <c r="Q46" i="6"/>
  <c r="B46" i="6"/>
  <c r="O45" i="6"/>
  <c r="AC44" i="6"/>
  <c r="P44" i="6"/>
  <c r="C44" i="6"/>
  <c r="P43" i="6"/>
  <c r="D43" i="6"/>
  <c r="S42" i="6"/>
  <c r="E42" i="6"/>
  <c r="V41" i="6"/>
  <c r="K41" i="6"/>
  <c r="Z40" i="6"/>
  <c r="O40" i="6"/>
  <c r="C40" i="6"/>
  <c r="R39" i="6"/>
  <c r="H39" i="6"/>
  <c r="AA38" i="6"/>
  <c r="O38" i="6"/>
  <c r="E38" i="6"/>
  <c r="X37" i="6"/>
  <c r="L37" i="6"/>
  <c r="B37" i="6"/>
  <c r="U36" i="6"/>
  <c r="L36" i="6"/>
  <c r="C36" i="6"/>
  <c r="V35" i="6"/>
  <c r="M35" i="6"/>
  <c r="D35" i="6"/>
  <c r="J71" i="6"/>
  <c r="AB69" i="6"/>
  <c r="D68" i="6"/>
  <c r="I66" i="6"/>
  <c r="AA64" i="6"/>
  <c r="B63" i="6"/>
  <c r="H61" i="6"/>
  <c r="Y59" i="6"/>
  <c r="A58" i="6"/>
  <c r="K56" i="6"/>
  <c r="AA54" i="6"/>
  <c r="C53" i="6"/>
  <c r="F51" i="6"/>
  <c r="Z49" i="6"/>
  <c r="D48" i="6"/>
  <c r="AB46" i="6"/>
  <c r="C46" i="6"/>
  <c r="J45" i="6"/>
  <c r="O44" i="6"/>
  <c r="V43" i="6"/>
  <c r="AC42" i="6"/>
  <c r="H42" i="6"/>
  <c r="S41" i="6"/>
  <c r="Y40" i="6"/>
  <c r="E40" i="6"/>
  <c r="P39" i="6"/>
  <c r="AB38" i="6"/>
  <c r="L38" i="6"/>
  <c r="W37" i="6"/>
  <c r="D37" i="6"/>
  <c r="S36" i="6"/>
  <c r="D36" i="6"/>
  <c r="S35" i="6"/>
  <c r="C35" i="6"/>
  <c r="G71" i="6"/>
  <c r="O69" i="6"/>
  <c r="C68" i="6"/>
  <c r="H66" i="6"/>
  <c r="L64" i="6"/>
  <c r="A63" i="6"/>
  <c r="G61" i="6"/>
  <c r="K59" i="6"/>
  <c r="AC57" i="6"/>
  <c r="D56" i="6"/>
  <c r="M54" i="6"/>
  <c r="A53" i="6"/>
  <c r="E51" i="6"/>
  <c r="L49" i="6"/>
  <c r="A48" i="6"/>
  <c r="AA46" i="6"/>
  <c r="A46" i="6"/>
  <c r="E45" i="6"/>
  <c r="M44" i="6"/>
  <c r="U43" i="6"/>
  <c r="AB42" i="6"/>
  <c r="C42" i="6"/>
  <c r="M41" i="6"/>
  <c r="X40" i="6"/>
  <c r="D40" i="6"/>
  <c r="O39" i="6"/>
  <c r="Z38" i="6"/>
  <c r="G38" i="6"/>
  <c r="T37" i="6"/>
  <c r="C37" i="6"/>
  <c r="Q36" i="6"/>
  <c r="A36" i="6"/>
  <c r="P35" i="6"/>
  <c r="B35" i="6"/>
  <c r="T70" i="6"/>
  <c r="H69" i="6"/>
  <c r="M67" i="6"/>
  <c r="W65" i="6"/>
  <c r="J64" i="6"/>
  <c r="O62" i="6"/>
  <c r="T60" i="6"/>
  <c r="I59" i="6"/>
  <c r="M57" i="6"/>
  <c r="R55" i="6"/>
  <c r="G54" i="6"/>
  <c r="L52" i="6"/>
  <c r="U50" i="6"/>
  <c r="H49" i="6"/>
  <c r="Q47" i="6"/>
  <c r="U46" i="6"/>
  <c r="Y45" i="6"/>
  <c r="AB44" i="6"/>
  <c r="E44" i="6"/>
  <c r="N43" i="6"/>
  <c r="T42" i="6"/>
  <c r="A42" i="6"/>
  <c r="J41" i="6"/>
  <c r="Q40" i="6"/>
  <c r="AB39" i="6"/>
  <c r="I39" i="6"/>
  <c r="V38" i="6"/>
  <c r="D38" i="6"/>
  <c r="P37" i="6"/>
  <c r="AC36" i="6"/>
  <c r="M36" i="6"/>
  <c r="AB35" i="6"/>
  <c r="L35" i="6"/>
  <c r="R70" i="6"/>
  <c r="W68" i="6"/>
  <c r="L67" i="6"/>
  <c r="P65" i="6"/>
  <c r="X63" i="6"/>
  <c r="N62" i="6"/>
  <c r="Q60" i="6"/>
  <c r="W58" i="6"/>
  <c r="K57" i="6"/>
  <c r="P55" i="6"/>
  <c r="T53" i="6"/>
  <c r="I52" i="6"/>
  <c r="O50" i="6"/>
  <c r="X48" i="6"/>
  <c r="P47" i="6"/>
  <c r="N46" i="6"/>
  <c r="S45" i="6"/>
  <c r="Z44" i="6"/>
  <c r="D44" i="6"/>
  <c r="M43" i="6"/>
  <c r="R42" i="6"/>
  <c r="X41" i="6"/>
  <c r="F41" i="6"/>
  <c r="P40" i="6"/>
  <c r="Z39" i="6"/>
  <c r="G39" i="6"/>
  <c r="S38" i="6"/>
  <c r="C38" i="6"/>
  <c r="O37" i="6"/>
  <c r="AB36" i="6"/>
  <c r="K36" i="6"/>
  <c r="Y35" i="6"/>
  <c r="K35" i="6"/>
  <c r="Q70" i="6"/>
  <c r="V68" i="6"/>
  <c r="Z66" i="6"/>
  <c r="O65" i="6"/>
  <c r="U63" i="6"/>
  <c r="AA61" i="6"/>
  <c r="P60" i="6"/>
  <c r="V58" i="6"/>
  <c r="Z56" i="6"/>
  <c r="O55" i="6"/>
  <c r="S53" i="6"/>
  <c r="Y51" i="6"/>
  <c r="M50" i="6"/>
  <c r="R48" i="6"/>
  <c r="H47" i="6"/>
  <c r="M46" i="6"/>
  <c r="R45" i="6"/>
  <c r="Y44" i="6"/>
  <c r="B44" i="6"/>
  <c r="F43" i="6"/>
  <c r="N42" i="6"/>
  <c r="W41" i="6"/>
  <c r="E41" i="6"/>
  <c r="M40" i="6"/>
  <c r="W39" i="6"/>
  <c r="F39" i="6"/>
  <c r="R38" i="6"/>
  <c r="B38" i="6"/>
  <c r="K37" i="6"/>
  <c r="W36" i="6"/>
  <c r="I36" i="6"/>
  <c r="X35" i="6"/>
  <c r="J35" i="6"/>
  <c r="C70" i="6"/>
  <c r="U68" i="6"/>
  <c r="Y66" i="6"/>
  <c r="B65" i="6"/>
  <c r="R63" i="6"/>
  <c r="X61" i="6"/>
  <c r="D60" i="6"/>
  <c r="S58" i="6"/>
  <c r="Y56" i="6"/>
  <c r="B55" i="6"/>
  <c r="R53" i="6"/>
  <c r="X51" i="6"/>
  <c r="AB49" i="6"/>
  <c r="Q48" i="6"/>
  <c r="G47" i="6"/>
  <c r="L46" i="6"/>
  <c r="N45" i="6"/>
  <c r="S44" i="6"/>
  <c r="Z43" i="6"/>
  <c r="E43" i="6"/>
  <c r="M42" i="6"/>
  <c r="U41" i="6"/>
  <c r="B41" i="6"/>
  <c r="L40" i="6"/>
  <c r="V39" i="6"/>
  <c r="E39" i="6"/>
  <c r="N38" i="6"/>
  <c r="Z37" i="6"/>
  <c r="J37" i="6"/>
  <c r="V36" i="6"/>
  <c r="H36" i="6"/>
  <c r="U35" i="6"/>
  <c r="F35" i="6"/>
  <c r="B70" i="6"/>
  <c r="G68" i="6"/>
  <c r="X66" i="6"/>
  <c r="AC64" i="6"/>
  <c r="D63" i="6"/>
  <c r="W61" i="6"/>
  <c r="Z59" i="6"/>
  <c r="G58" i="6"/>
  <c r="X56" i="6"/>
  <c r="AB54" i="6"/>
  <c r="F53" i="6"/>
  <c r="V51" i="6"/>
  <c r="AA49" i="6"/>
  <c r="F48" i="6"/>
  <c r="D47" i="6"/>
  <c r="D46" i="6"/>
  <c r="K45" i="6"/>
  <c r="Q44" i="6"/>
  <c r="Y43" i="6"/>
  <c r="B43" i="6"/>
  <c r="I42" i="6"/>
  <c r="T41" i="6"/>
  <c r="AC40" i="6"/>
  <c r="K40" i="6"/>
  <c r="Q39" i="6"/>
  <c r="AC38" i="6"/>
  <c r="M38" i="6"/>
  <c r="Y37" i="6"/>
  <c r="I37" i="6"/>
  <c r="T36" i="6"/>
  <c r="E36" i="6"/>
  <c r="T35" i="6"/>
  <c r="E35" i="6"/>
  <c r="F71" i="6"/>
  <c r="O57" i="6"/>
  <c r="AC45" i="6"/>
  <c r="B40" i="6"/>
  <c r="N35" i="6"/>
  <c r="J69" i="6"/>
  <c r="C56" i="6"/>
  <c r="D45" i="6"/>
  <c r="J39" i="6"/>
  <c r="R67" i="6"/>
  <c r="I54" i="6"/>
  <c r="L44" i="6"/>
  <c r="W38" i="6"/>
  <c r="G66" i="6"/>
  <c r="K64" i="6"/>
  <c r="D51" i="6"/>
  <c r="V42" i="6"/>
  <c r="S37" i="6"/>
  <c r="Q62" i="6"/>
  <c r="J49" i="6"/>
  <c r="B42" i="6"/>
  <c r="A37" i="6"/>
  <c r="D61" i="6"/>
  <c r="S47" i="6"/>
  <c r="L41" i="6"/>
  <c r="N36" i="6"/>
  <c r="J59" i="6"/>
  <c r="V46" i="6"/>
  <c r="W40" i="6"/>
  <c r="AC35" i="6"/>
  <c r="Q52" i="6"/>
  <c r="O43" i="6"/>
  <c r="F38" i="6"/>
  <c r="AH158" i="4"/>
  <c r="AI168" i="4" l="1"/>
  <c r="I782" i="3"/>
  <c r="R782" i="3"/>
  <c r="I715" i="3"/>
</calcChain>
</file>

<file path=xl/sharedStrings.xml><?xml version="1.0" encoding="utf-8"?>
<sst xmlns="http://schemas.openxmlformats.org/spreadsheetml/2006/main" count="7501" uniqueCount="929">
  <si>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</si>
  <si>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</si>
  <si>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</si>
  <si>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</si>
  <si>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</si>
  <si>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</si>
  <si>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</si>
  <si>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</si>
  <si>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</si>
  <si>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</si>
  <si>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</si>
  <si>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</si>
  <si>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</si>
  <si>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</si>
  <si>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</si>
  <si>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</si>
  <si>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</si>
  <si>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</si>
  <si>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</si>
  <si>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</si>
  <si>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</si>
  <si>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2024 ERV (£)</t>
  </si>
  <si>
    <t>check 4</t>
  </si>
  <si>
    <t>ERV 2023 £.Sq.ft</t>
  </si>
  <si>
    <t>EPC</t>
  </si>
  <si>
    <t>*</t>
  </si>
  <si>
    <t xml:space="preserve">2024 Cap Valn. (£)    </t>
  </si>
  <si>
    <t>1954 Act Protected</t>
  </si>
  <si>
    <t>Remarks</t>
  </si>
  <si>
    <t>Agency Quoting Rent £.sq.ft</t>
  </si>
  <si>
    <t>Monthly Viewings</t>
  </si>
  <si>
    <t>Total Viewings</t>
  </si>
  <si>
    <t>Marketing Agent</t>
  </si>
  <si>
    <t>5-6 Bywell Place</t>
  </si>
  <si>
    <t>TH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</si>
  <si>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</si>
  <si>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</si>
  <si>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</si>
  <si>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</si>
  <si>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</si>
  <si>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</si>
  <si>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</si>
  <si>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</si>
  <si>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</si>
  <si>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</si>
  <si>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</si>
  <si>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</si>
  <si>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</si>
  <si>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rent. £128,000 wef 20/06/25 increasing to £130,000 wef 20/03/27. Tenant break on 6 months notice.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</si>
  <si>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</si>
  <si>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</si>
  <si>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</si>
  <si>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</si>
  <si>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</si>
  <si>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</si>
  <si>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27 - 28 Eastcastle Street</t>
  </si>
  <si>
    <t>Showroom / Offices</t>
  </si>
  <si>
    <t>The London Hair Clinic Ltd</t>
  </si>
  <si>
    <t>B</t>
  </si>
  <si>
    <t>10 Great Castle Street</t>
  </si>
  <si>
    <t>YS</t>
  </si>
  <si>
    <t>Basmt. Ground  - 1 to 4 Floors</t>
  </si>
  <si>
    <t>Guaranty Trust Bank (UK) Ltd</t>
  </si>
  <si>
    <t xml:space="preserve">Fixed increase to £950,000 on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</si>
  <si>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</si>
  <si>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</si>
  <si>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</si>
  <si>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</si>
  <si>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Vacant</t>
  </si>
  <si>
    <t>D</t>
  </si>
  <si>
    <t>Lease forfeited on 07/04/25 (Al Falamanki Raoucche Ltd)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</si>
  <si>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</si>
  <si>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</si>
  <si>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</si>
  <si>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</si>
  <si>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</si>
  <si>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</si>
  <si>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</si>
  <si>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</si>
  <si>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</si>
  <si>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</si>
  <si>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</si>
  <si>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</si>
  <si>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</si>
  <si>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</si>
  <si>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£300,000 wef 02/10/25, £305,000 wef 02/10/26, £310,000 wef 02/10/27 and £320,000 wef 02/10/28. Min rent on review £330,000. Landlord redevelopment break option on 01/07/33 on 6 months notice.</t>
  </si>
  <si>
    <t>6-10a Great Portland Street</t>
  </si>
  <si>
    <t>Basement &amp; Ground</t>
  </si>
  <si>
    <t>PrettyLittleThing.com</t>
  </si>
  <si>
    <t>Rent £187,500 wef 11/05/25 increasing to £375,000 wef 11/09/25. Tenant break on 6 months notice. 3 months rent free if not exercised.</t>
  </si>
  <si>
    <t>LEM / Colliers</t>
  </si>
  <si>
    <t>15-17 Great Portland Street &amp; 6-7 Great Castle Street</t>
  </si>
  <si>
    <t>Office/Bank</t>
  </si>
  <si>
    <t>Barclays Bank UK Plc</t>
  </si>
  <si>
    <t>Yes</t>
  </si>
  <si>
    <t>15/17 Great Portland Street</t>
  </si>
  <si>
    <t>19-21 Great Portland Street</t>
  </si>
  <si>
    <t>CD</t>
  </si>
  <si>
    <t>19-21 Great Portland Street .</t>
  </si>
  <si>
    <t>Basement, Ground &amp; First Floors</t>
  </si>
  <si>
    <t xml:space="preserve">Restaurant </t>
  </si>
  <si>
    <t>UK VAP GPS</t>
  </si>
  <si>
    <t>Rent increasing to £650,000 wef 25/03/26. Mutual break @ 16/06/32 on 6 months notice.</t>
  </si>
  <si>
    <t>20 Great Portland Street</t>
  </si>
  <si>
    <t>Basement</t>
  </si>
  <si>
    <t>Studio</t>
  </si>
  <si>
    <t>Vacant / Landlord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</si>
  <si>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</si>
  <si>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</si>
  <si>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</si>
  <si>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</si>
  <si>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</si>
  <si>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Highlight House, 22-24 Great Portland Street</t>
  </si>
  <si>
    <t>Mamaye UK Limited.</t>
  </si>
  <si>
    <t>Rent rises to £237,500 wef 15/03/26.</t>
  </si>
  <si>
    <t>23-25 Great Portland Street &amp; 54-55 Margaret Street</t>
  </si>
  <si>
    <t>Shop/Cafe</t>
  </si>
  <si>
    <t>Florian James Limited</t>
  </si>
  <si>
    <t>39 Great Portland Street</t>
  </si>
  <si>
    <t>CM</t>
  </si>
  <si>
    <t>Showroom</t>
  </si>
  <si>
    <t>Fads Boutique Limited</t>
  </si>
  <si>
    <t>41 Great Portland Street</t>
  </si>
  <si>
    <t>Basement to Fourth</t>
  </si>
  <si>
    <t>Offices</t>
  </si>
  <si>
    <t>S.Hardwick &amp; L.Morris (t/a Hardwick &amp; Morris Chartered Accountants)</t>
  </si>
  <si>
    <t>42-48 Great Portland Street</t>
  </si>
  <si>
    <t xml:space="preserve">Basement &amp; Ground Floor </t>
  </si>
  <si>
    <t>Shop</t>
  </si>
  <si>
    <t>GP Acoustics (UK) Limited</t>
  </si>
  <si>
    <t>Tenant break on 6 months notice.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</si>
  <si>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</si>
  <si>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</si>
  <si>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</si>
  <si>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</si>
  <si>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</si>
  <si>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</si>
  <si>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</si>
  <si>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50 Great Portland Street</t>
  </si>
  <si>
    <t>Ground Floor &amp; Basement</t>
  </si>
  <si>
    <t>Beautify LDN Ltd.</t>
  </si>
  <si>
    <t>Mutual break 28/02/29 on 6 months notice. 3 months rent free if break not exercised.</t>
  </si>
  <si>
    <t>51 Great Portland Street</t>
  </si>
  <si>
    <t>Bernardo Vasconcelos Ltd</t>
  </si>
  <si>
    <t>53 Great Portland Street</t>
  </si>
  <si>
    <t>Café</t>
  </si>
  <si>
    <t>O-Chaa Thai Ltd.</t>
  </si>
  <si>
    <t>Lease renewal terms being discussed.</t>
  </si>
  <si>
    <t>Kiosk</t>
  </si>
  <si>
    <t>J C Patel</t>
  </si>
  <si>
    <t>All Inclusive.</t>
  </si>
  <si>
    <t>76 Great Portland Street</t>
  </si>
  <si>
    <t>Basement &amp; Ground Floor (Front)</t>
  </si>
  <si>
    <t>Basement &amp; Ground Floor (Rear)</t>
  </si>
  <si>
    <t>Lease renewal terms agreed.</t>
  </si>
  <si>
    <t>1 Great Titchfield Street</t>
  </si>
  <si>
    <t>Basement to Third Floor</t>
  </si>
  <si>
    <t>Shop/Snack Bar</t>
  </si>
  <si>
    <t>Tikkas Group Ltd</t>
  </si>
  <si>
    <t>New letting completed. Rent £90,000 wef 01/09/25. Tenant break on 6 months notice. 2 months rent free if break not exercised.</t>
  </si>
  <si>
    <t>LEM</t>
  </si>
  <si>
    <t>3 Great Titchfield Street</t>
  </si>
  <si>
    <t>Pho Trading Ltd.</t>
  </si>
  <si>
    <t>Rent review not activated due to level of passing rent.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</si>
  <si>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</si>
  <si>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</si>
  <si>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</si>
  <si>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</si>
  <si>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</si>
  <si>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Golderbrock House,  15-19 Great Titchfield Street</t>
  </si>
  <si>
    <t>Ground &amp; Basement (South)</t>
  </si>
  <si>
    <t>Dal Florentino Ltd</t>
  </si>
  <si>
    <t>Rent increasing to £65,000 wef 31/07/25. Tenant break on 6 months notice.</t>
  </si>
  <si>
    <t>Circus House,  21 Great Titchfield Street</t>
  </si>
  <si>
    <t>Basement &amp; Ground (East)</t>
  </si>
  <si>
    <t>Showroom/ Office</t>
  </si>
  <si>
    <t>The Graphical Tree Ltd</t>
  </si>
  <si>
    <t>Tenant break on 6 months notice. Rent free 01/06/26 to 31/08/26 if not exercised. Landlord rolling break from 07/10/25.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</si>
  <si>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</si>
  <si>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</si>
  <si>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</si>
  <si>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</si>
  <si>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01/05/25 £80,000, 01/05/26 £85,000, 01/05/27 £90,000 and 01/05/28 £95,000.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</si>
  <si>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</si>
  <si>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</si>
  <si>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</si>
  <si>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</si>
  <si>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</si>
  <si>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</si>
  <si>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</si>
  <si>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</si>
  <si>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</si>
  <si>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 xml:space="preserve">Tenant break on 6 months notice. </t>
  </si>
  <si>
    <t>56 Great Titchfield Street</t>
  </si>
  <si>
    <t>Morplan Ltd.</t>
  </si>
  <si>
    <t>Tenant holding over. S25 served terminating tenancy @ 12/10/24</t>
  </si>
  <si>
    <t>58 Great Titchfield Street</t>
  </si>
  <si>
    <t>First, Second &amp; Third Floors</t>
  </si>
  <si>
    <t>Retail/Showroom/Office</t>
  </si>
  <si>
    <t>12 Hallam Street (The Hallam Hotel)</t>
  </si>
  <si>
    <t xml:space="preserve">Whole Building </t>
  </si>
  <si>
    <t>Hotel                       25 Beds</t>
  </si>
  <si>
    <t>Mothballed.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</si>
  <si>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</si>
  <si>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</si>
  <si>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</si>
  <si>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</si>
  <si>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</si>
  <si>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</si>
  <si>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</si>
  <si>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Residential</t>
  </si>
  <si>
    <t>Miss Julia Tressler</t>
  </si>
  <si>
    <t>Tenant break on 2 months notice.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</si>
  <si>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</si>
  <si>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</si>
  <si>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</si>
  <si>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</si>
  <si>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</si>
  <si>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Tenant break on 6 months notice. 3 months rent free if not exercised.</t>
  </si>
  <si>
    <t>Ground Floor (Rear)</t>
  </si>
  <si>
    <t>Cloakroom</t>
  </si>
  <si>
    <t>Ground Floor (East)</t>
  </si>
  <si>
    <t>Econnective UK Ltd.</t>
  </si>
  <si>
    <t>5 Little Portland Street</t>
  </si>
  <si>
    <t>Ground &amp; Basement</t>
  </si>
  <si>
    <t>Bar</t>
  </si>
  <si>
    <t>The Social Little Portland Street Ltd.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</si>
  <si>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</si>
  <si>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</si>
  <si>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</si>
  <si>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</si>
  <si>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</si>
  <si>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</si>
  <si>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</si>
  <si>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</si>
  <si>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</si>
  <si>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</si>
  <si>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</si>
  <si>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</si>
  <si>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22 Little Portland Street (formerly 22-23 LPS)</t>
  </si>
  <si>
    <t>22-23 Little Portland Street</t>
  </si>
  <si>
    <t>Office/ Showroom/ Storage</t>
  </si>
  <si>
    <t>David Chipperfield Architects Ltd</t>
  </si>
  <si>
    <t>A</t>
  </si>
  <si>
    <t>9 Margaret Street</t>
  </si>
  <si>
    <t/>
  </si>
  <si>
    <t>Whole</t>
  </si>
  <si>
    <t>Racoon Media Services Limited</t>
  </si>
  <si>
    <t>Tenant break on 6 months notice, if not exercised then a further 3 months rent free.</t>
  </si>
  <si>
    <t>London House, 9a Margaret Street</t>
  </si>
  <si>
    <t>Basement (Vaults)</t>
  </si>
  <si>
    <t>Storage</t>
  </si>
  <si>
    <t>Langham Estate Management Ltd</t>
  </si>
  <si>
    <t>Mutual rolling break on 6 months notice. Internal Lease to another Lee Family Group Company.</t>
  </si>
  <si>
    <t>Basement (South)</t>
  </si>
  <si>
    <t>Office/ Storage</t>
  </si>
  <si>
    <t>10 Margaret Street</t>
  </si>
  <si>
    <t>DMR Film Ventures (Facilities) Ltd.</t>
  </si>
  <si>
    <t>Tenant break on 6 months notice. 6 months rent free if break not exercised.</t>
  </si>
  <si>
    <t>Audley House,  12 Margaret Street</t>
  </si>
  <si>
    <t>Wimbledon Business Centre Ltd.</t>
  </si>
  <si>
    <t>12 Margaret Street</t>
  </si>
  <si>
    <t>13-14 Margaret Street</t>
  </si>
  <si>
    <t>Arlettie London Ltd.</t>
  </si>
  <si>
    <t>Tenant break on 6 months notice and penalty clause of £48,345.</t>
  </si>
  <si>
    <t>15-16 Margaret Street</t>
  </si>
  <si>
    <t>Lower Ground</t>
  </si>
  <si>
    <t>LEM marketing</t>
  </si>
  <si>
    <t>Tenant break on 6 months notice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</si>
  <si>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</si>
  <si>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</si>
  <si>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</si>
  <si>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</si>
  <si>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</si>
  <si>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19 Margaret Street</t>
  </si>
  <si>
    <t>This unit interconnects with G &amp; B, 21 Lt Portland St. The floor area shown is only for this unit. Rent shown pro rata. Tenant break on 6 months notice. Rent review @ 25/11/24.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</si>
  <si>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</si>
  <si>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</si>
  <si>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</si>
  <si>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25 Margaret Street</t>
  </si>
  <si>
    <t>Mr K Saraj</t>
  </si>
  <si>
    <t xml:space="preserve">Ground Floor </t>
  </si>
  <si>
    <t>Camran Naseri &amp; Rehana Miah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</si>
  <si>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</si>
  <si>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</si>
  <si>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</si>
  <si>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</si>
  <si>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</si>
  <si>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</si>
  <si>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</si>
  <si>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</si>
  <si>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</si>
  <si>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</si>
  <si>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</si>
  <si>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</si>
  <si>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</si>
  <si>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</si>
  <si>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</si>
  <si>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</si>
  <si>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</si>
  <si>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</si>
  <si>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Basement (East)</t>
  </si>
  <si>
    <t>Shtager &amp; Schch Limited</t>
  </si>
  <si>
    <t>Phyto Nourishment Limited</t>
  </si>
  <si>
    <t>Tenant break on 6 months notice with a penalty clause if exercised. Tenant in Administration. Under offer.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</si>
  <si>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</si>
  <si>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</si>
  <si>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</si>
  <si>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</si>
  <si>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</si>
  <si>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</si>
  <si>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</si>
  <si>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65 Margaret Street</t>
  </si>
  <si>
    <t>Advanced Beauty Medical Clinics Ltd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</si>
  <si>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</si>
  <si>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</si>
  <si>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</si>
  <si>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</si>
  <si>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</si>
  <si>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</si>
  <si>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Rent increases to £424,275 @ 05/05/25. Tenant break on 6 months notice. Half rent for 1year from 05/05/29 if break not exercised. Penalty clause of £106k if exercised.</t>
  </si>
  <si>
    <t>Sackville House - 78 Margaret Street</t>
  </si>
  <si>
    <t>JM</t>
  </si>
  <si>
    <t>Kenilworth House - 79-80 Margaret Street</t>
  </si>
  <si>
    <t>Basement (E)</t>
  </si>
  <si>
    <t>Educational</t>
  </si>
  <si>
    <t>Under offer.</t>
  </si>
  <si>
    <t xml:space="preserve">Ground (East) </t>
  </si>
  <si>
    <t>Ground (West) &amp; Part Basement</t>
  </si>
  <si>
    <t>Edwards Cheshire Company Ltd.</t>
  </si>
  <si>
    <t>First Floor (East)</t>
  </si>
  <si>
    <t>4 Market Place</t>
  </si>
  <si>
    <t>Ground, Basement &amp; Vaults</t>
  </si>
  <si>
    <t>Honest Burgers Ltd</t>
  </si>
  <si>
    <t xml:space="preserve">Landlords redevelopment break @ 02/02/24 on 6 months notice. 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</si>
  <si>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</si>
  <si>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</si>
  <si>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</si>
  <si>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</si>
  <si>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</si>
  <si>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</si>
  <si>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</si>
  <si>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</si>
  <si>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Gilmoora House, 57-61 Mortimer Street</t>
  </si>
  <si>
    <t>Part Basement &amp; Part Ground Floor - 36 Gt Titchfield St</t>
  </si>
  <si>
    <t>Medical</t>
  </si>
  <si>
    <t>The Central London Clinic Ltd.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</si>
  <si>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</si>
  <si>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</si>
  <si>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</si>
  <si>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</si>
  <si>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</si>
  <si>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</si>
  <si>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</si>
  <si>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</si>
  <si>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</si>
  <si>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</si>
  <si>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Lease renewal terms agreed @ 3 years for £55,000.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</si>
  <si>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</si>
  <si>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</si>
  <si>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</si>
  <si>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</si>
  <si>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93 Mortimer Street &amp; 43 Great Portland Street</t>
  </si>
  <si>
    <t>Gallery</t>
  </si>
  <si>
    <t>IBRAAZ</t>
  </si>
  <si>
    <t>Rent £550,000 wef 24/03/25 to 19/02/30. Rent reverts to £700,000 wef 20/02/30 subject to rent review.</t>
  </si>
  <si>
    <t>93 Mortimer Street</t>
  </si>
  <si>
    <t>142-144 Oxford Street</t>
  </si>
  <si>
    <t>Retail/ Ancillary</t>
  </si>
  <si>
    <t>Under offer. Agreement for lease completed with Telefonica (O2)</t>
  </si>
  <si>
    <t>Kiosk in Adam and Eve Court</t>
  </si>
  <si>
    <t>The Prudential Assurance Company Ltd.</t>
  </si>
  <si>
    <t>Tenant rolling break on 3 months notice. Tenant has renewal option at stepped rent. 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</si>
  <si>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</si>
  <si>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</si>
  <si>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</si>
  <si>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</si>
  <si>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</si>
  <si>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</si>
  <si>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First to Fourth Floors</t>
  </si>
  <si>
    <t>Unit being stripped back to shell.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</si>
  <si>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</si>
  <si>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</si>
  <si>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</si>
  <si>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</si>
  <si>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yet activated. </t>
  </si>
  <si>
    <t>50 Eastcastle Street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</si>
  <si>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</si>
  <si>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</si>
  <si>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</si>
  <si>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</si>
  <si>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</si>
  <si>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</si>
  <si>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</si>
  <si>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</si>
  <si>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</si>
  <si>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</si>
  <si>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</si>
  <si>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</si>
  <si>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Rent increases to £159,500 @ 07/06/25. Mutual break on 6 months notice. 5 months rent free amortised over 1yr if break not exercised.</t>
  </si>
  <si>
    <t>Grnd/Basement - 55 Eastcastle St.</t>
  </si>
  <si>
    <t>Art Gallery</t>
  </si>
  <si>
    <t>PI Artworks Ltd.</t>
  </si>
  <si>
    <t>Tenant confirmed they will vacate on expiry.</t>
  </si>
  <si>
    <t>Grnd/Basement - 54 Eastcastle St</t>
  </si>
  <si>
    <t>Rent increasing to £167,000 pa wef 29/08/29. 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</si>
  <si>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</si>
  <si>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</si>
  <si>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</si>
  <si>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</si>
  <si>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</si>
  <si>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</si>
  <si>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</si>
  <si>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</si>
  <si>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</si>
  <si>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</si>
  <si>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</si>
  <si>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Rent increases to £500,000 wef 23/06/25. Tenant break on 6 months notice.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</si>
  <si>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</si>
  <si>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</si>
  <si>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</si>
  <si>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</si>
  <si>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</si>
  <si>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</si>
  <si>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Turnover rent of 12% payable if higher than base rent. Mutual break on 3 months notice. Renewal terms agreed for 10 years.</t>
  </si>
  <si>
    <t>53 Wells Street</t>
  </si>
  <si>
    <t>68 Wells Street</t>
  </si>
  <si>
    <t>Showroom &amp; Office</t>
  </si>
  <si>
    <t>Voltage TV Productions Ltd</t>
  </si>
  <si>
    <t>Tenancy @ will. Inclusive of Service charge &amp; Insurance. Renewal terms being finalised.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</si>
  <si>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</si>
  <si>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</si>
  <si>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</si>
  <si>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</si>
  <si>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</si>
  <si>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</si>
  <si>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Oaxaca Ltd.</t>
  </si>
  <si>
    <t>Rent £255,000 pa with a top-up of 11% turnover up to a maximum of £300,000 pa.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</si>
  <si>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</si>
  <si>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</si>
  <si>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</si>
  <si>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</si>
  <si>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</si>
  <si>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</si>
  <si>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</si>
  <si>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</si>
  <si>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</si>
  <si>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</si>
  <si>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London Power Networks Plc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</si>
  <si>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</si>
  <si>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</si>
  <si>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</si>
  <si>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</si>
  <si>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</si>
  <si>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Further 2 months rent free @ 31/10/25. Rent rises to £50,600 @ 31/12/25. Mutual break on 3 months notice. Tenant break passed.</t>
  </si>
  <si>
    <t>32-36 Great Portland Street</t>
  </si>
  <si>
    <t>PEL</t>
  </si>
  <si>
    <t>Prenuvo Ltd</t>
  </si>
  <si>
    <t>Rent increasing to £220,000 wef 18/01/26. Tenant break on 6 months notice.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</si>
  <si>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</si>
  <si>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</si>
  <si>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</si>
  <si>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</si>
  <si>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</si>
  <si>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</si>
  <si>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</si>
  <si>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</si>
  <si>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</si>
  <si>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</si>
  <si>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 xml:space="preserve">Annual RPI rent increase (min 1%, max 4%). </t>
  </si>
  <si>
    <t>Record_Type</t>
  </si>
  <si>
    <t>UNIT</t>
  </si>
  <si>
    <t>Lower Ground &amp; Ground (23-25)</t>
  </si>
  <si>
    <t>Sisters Grimm Ltd</t>
  </si>
  <si>
    <t>Rent £325,000 wef 24/05/25. Tenant break on 6 months notice. 1 month rent free from 24/02/28 if break not excerised.</t>
  </si>
  <si>
    <t>First Floor (22)</t>
  </si>
  <si>
    <t>Peter Alexander UK Ltd</t>
  </si>
  <si>
    <t>Tenant break on 3 months notice. Additional 3 months rent free if not exercised.</t>
  </si>
  <si>
    <t>First Floor (23-25)</t>
  </si>
  <si>
    <t>Cord Technologies Ltd</t>
  </si>
  <si>
    <t>Second Floor (22)</t>
  </si>
  <si>
    <t>Second Floor (23-25)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</si>
  <si>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</si>
  <si>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</si>
  <si>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</si>
  <si>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</si>
  <si>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</si>
  <si>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</si>
  <si>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</si>
  <si>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Fifth Floor (23-25)</t>
  </si>
  <si>
    <t>Sixth Floor (23-25)</t>
  </si>
  <si>
    <t>Garage</t>
  </si>
  <si>
    <t>Parking</t>
  </si>
  <si>
    <t>N/A</t>
  </si>
  <si>
    <t>First Floor</t>
  </si>
  <si>
    <t>Alternative Real Estate Advisors Ltd</t>
  </si>
  <si>
    <t>Rent increases to £98,000 @ 27/06/27. Tenant break on 6 months notice.</t>
  </si>
  <si>
    <t>Second Floor</t>
  </si>
  <si>
    <t>Third Floor</t>
  </si>
  <si>
    <t>Mr. A. Park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</si>
  <si>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</si>
  <si>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</si>
  <si>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</si>
  <si>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</si>
  <si>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</si>
  <si>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</si>
  <si>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JRDL UK Ltd.</t>
  </si>
  <si>
    <t>Jamieson Stone Services Ltd.</t>
  </si>
  <si>
    <t>Arav Fashion UK Ltd.</t>
  </si>
  <si>
    <t>Fourth Floor</t>
  </si>
  <si>
    <t>To be refurbished.</t>
  </si>
  <si>
    <t>Roof</t>
  </si>
  <si>
    <t>Air Con Units</t>
  </si>
  <si>
    <t>First Floor (West)</t>
  </si>
  <si>
    <t>Time &amp; Tide Holdings (UK) Ltd</t>
  </si>
  <si>
    <t>Rent increases to £121,400 @ 14/08/25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</si>
  <si>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</si>
  <si>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</si>
  <si>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</si>
  <si>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</si>
  <si>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</si>
  <si>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LEM/LDG</t>
  </si>
  <si>
    <t>Third Floor (West)</t>
  </si>
  <si>
    <t>J&amp;M Davidson Limited.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</si>
  <si>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</si>
  <si>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</si>
  <si>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</si>
  <si>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</si>
  <si>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</si>
  <si>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</si>
  <si>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</si>
  <si>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</si>
  <si>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</si>
  <si>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</si>
  <si>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Rent increases to £108,680 wef 26/11/25. Tenant break on 6 months notice.</t>
  </si>
  <si>
    <t>Sixth Floor (West)</t>
  </si>
  <si>
    <t>Directors Cut Films West Limited</t>
  </si>
  <si>
    <t>Sixth Floor (East)</t>
  </si>
  <si>
    <t>Cupboards 2nd, 4th, 5th &amp; 6th Floors</t>
  </si>
  <si>
    <t>To be converted into extra toilet facilities.</t>
  </si>
  <si>
    <t>Transformer Chamber</t>
  </si>
  <si>
    <t>Sub-Station</t>
  </si>
  <si>
    <t>Rolling redevelopment break on 6 months notice.</t>
  </si>
  <si>
    <t>4 Great Portland Street</t>
  </si>
  <si>
    <t>First  Floor</t>
  </si>
  <si>
    <t>The Yuki Clinic Ltd.</t>
  </si>
  <si>
    <t>Fifth Floor</t>
  </si>
  <si>
    <t xml:space="preserve">Landlords redevelopment break on 6 months notice. Rent review is RPI indexation. </t>
  </si>
  <si>
    <t>6/10a Great Portland Street</t>
  </si>
  <si>
    <t>Second Floor.</t>
  </si>
  <si>
    <t>LEM / Savills</t>
  </si>
  <si>
    <t>Factory Studios Limited.</t>
  </si>
  <si>
    <t>Tenant break subject to 6 months notice.</t>
  </si>
  <si>
    <t>19/21 Great Portland Street</t>
  </si>
  <si>
    <t>First Floor Front</t>
  </si>
  <si>
    <t>Des Baines Ltd</t>
  </si>
  <si>
    <t>First Floor Rear</t>
  </si>
  <si>
    <t>One Therapy Ltd.</t>
  </si>
  <si>
    <t>Tenant break on 6 months notice. 5yr reversionary lease completed. Tenant change of name</t>
  </si>
  <si>
    <t>Second Floor Front</t>
  </si>
  <si>
    <t>The Campbell Napier Practice Ltd</t>
  </si>
  <si>
    <t>Reversionary lease completed. Lease expiring 29/09/26 @ same rent.</t>
  </si>
  <si>
    <t>Second Floor Rear</t>
  </si>
  <si>
    <t>PsychotherapyUK Training Ltd.</t>
  </si>
  <si>
    <t xml:space="preserve">Tenant break on 6 months notice. 5yr reversionary lease completed. </t>
  </si>
  <si>
    <t>Third Floor Front</t>
  </si>
  <si>
    <t>Rent rises to £26,325 29/09/26. Tenant break on 6 months notice.</t>
  </si>
  <si>
    <t>Third Floor Rear</t>
  </si>
  <si>
    <t>Tenant break on 6 months notice. 5yr reversionary lease completed.</t>
  </si>
  <si>
    <t>Rent rises to £23,985 wef 29/09/26. Tenant break on 6 months notice.</t>
  </si>
  <si>
    <t xml:space="preserve"> Office</t>
  </si>
  <si>
    <t>22/24 Great Portland Street</t>
  </si>
  <si>
    <t>23/25 Great Portland Street</t>
  </si>
  <si>
    <t>Studio Boum Limited.</t>
  </si>
  <si>
    <t>Tenant break on 3 months notice</t>
  </si>
  <si>
    <t>David Walker Architects Ltd.</t>
  </si>
  <si>
    <t>Tenant break on 3 months notice.</t>
  </si>
  <si>
    <t>Fourth &amp; Fifth Floors</t>
  </si>
  <si>
    <t>T. Ciss, E. Moser</t>
  </si>
  <si>
    <t>One tenant removed from tenancy.</t>
  </si>
  <si>
    <t>Mayfair House</t>
  </si>
  <si>
    <t>Tenant break on 6 months notice. 6 months rent free if not exercised.</t>
  </si>
  <si>
    <t>Fresh Film Productions Ltd.</t>
  </si>
  <si>
    <t>Therapy Central LLP</t>
  </si>
  <si>
    <t>Tenant break on 4 months notice.</t>
  </si>
  <si>
    <t>James Boatman</t>
  </si>
  <si>
    <t>Lease renewal completed</t>
  </si>
  <si>
    <t>OpenStudio Architects Ltd.</t>
  </si>
  <si>
    <t>Learn Lab Language School Ltd</t>
  </si>
  <si>
    <t>Rent all inclusive (excl rates).</t>
  </si>
  <si>
    <t>First to Fourth Floor</t>
  </si>
  <si>
    <t xml:space="preserve">First to Third Floor </t>
  </si>
  <si>
    <t>Flat</t>
  </si>
  <si>
    <t>Hewson Independent Trading Company Ltd</t>
  </si>
  <si>
    <t>Recording Studio /Office</t>
  </si>
  <si>
    <t>Tenancy at will.</t>
  </si>
  <si>
    <t>Infront Sports &amp; Media UK Ltd</t>
  </si>
  <si>
    <t>Sam Rogoff &amp; Co Ltd</t>
  </si>
  <si>
    <t>Rent PA corrected</t>
  </si>
  <si>
    <t>Under offer</t>
  </si>
  <si>
    <t>Recording Studio/ Office</t>
  </si>
  <si>
    <t>Sine Audio Post Production Ltd</t>
  </si>
  <si>
    <t>Tenant break on 6 months notice. Rent concession to be granted to reflect cost of tenant installing air-con.</t>
  </si>
  <si>
    <t>14/18 Great Titchfield Street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</si>
  <si>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</si>
  <si>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</si>
  <si>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</si>
  <si>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</si>
  <si>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</si>
  <si>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</si>
  <si>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Rent £25,310 wef 21/05/25. All inclusive excluding rates. Area (sq.ft) reduced from 525 to 325. 200 sq. ft. taken back to provide communal building facilities.</t>
  </si>
  <si>
    <t>First Floor (Front)</t>
  </si>
  <si>
    <t>Space Workplace Ltd</t>
  </si>
  <si>
    <t>Rent increases to £80,400 wef 28/11/25. Tenant break on 6 months notice.</t>
  </si>
  <si>
    <t>First Floor (Rear)</t>
  </si>
  <si>
    <t>Final Cut Ltd.</t>
  </si>
  <si>
    <t>Tenant break on 6 months notice. Tenant break exercised. Lease to end on 30/09/25 if conditions met.</t>
  </si>
  <si>
    <t>Autonomous UK Operations Ltd</t>
  </si>
  <si>
    <t>New letting completed. Tenant break on 6 months notice.</t>
  </si>
  <si>
    <t>15/19 Great Titchfield Street</t>
  </si>
  <si>
    <t>Ground Floor (West)</t>
  </si>
  <si>
    <t>Dawbell Limited</t>
  </si>
  <si>
    <t>Rent reducing to £134,064 @ 05/10/25. Tenant break on 6 months notice.</t>
  </si>
  <si>
    <t>Second &amp; Third Floors</t>
  </si>
  <si>
    <t>Mesmerise Global Limited</t>
  </si>
  <si>
    <t>Tenant break on 6 months notice. 3 months rent free if not exercised. Break notice served. Ongoing discussions regarding renewal of one floor.</t>
  </si>
  <si>
    <t>Marstead Living Limited</t>
  </si>
  <si>
    <t>NSL Limited</t>
  </si>
  <si>
    <t>Ongoing legal action withdrawn. Rent stop removed. Tenant repaid all arrears.</t>
  </si>
  <si>
    <t>21 Great Titchfield Street</t>
  </si>
  <si>
    <t>Suite 1.1 First Floor</t>
  </si>
  <si>
    <t xml:space="preserve">Suites 2 &amp; 3 First Floor  </t>
  </si>
  <si>
    <t>Showroom/Office</t>
  </si>
  <si>
    <t>Wacoal Emea Ltd.</t>
  </si>
  <si>
    <t>Renewal discussions ongoing.</t>
  </si>
  <si>
    <t>Suite 4 First Floor</t>
  </si>
  <si>
    <t>Oldie Publications Ltd</t>
  </si>
  <si>
    <t>Suites 1, 2, 3 &amp; 4, Second Floor</t>
  </si>
  <si>
    <t>Tenant break was served. Under offer to InPost.</t>
  </si>
  <si>
    <t>Suite 5, Second Floor</t>
  </si>
  <si>
    <t>Carbonaires Ltd</t>
  </si>
  <si>
    <t>Tenant break on 6 months notice. Rent free @ 07/07/25 to 20/09/25 if not exercised.</t>
  </si>
  <si>
    <t>Knotel Moray House Ltd.</t>
  </si>
  <si>
    <t>Landlords redevelopment break @ 04/10/26 on 9 months notice.</t>
  </si>
  <si>
    <t>Suite 1, 2 &amp; 3  Fourth Floor</t>
  </si>
  <si>
    <t>InPost UK Limited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</si>
  <si>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</si>
  <si>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</si>
  <si>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</si>
  <si>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</si>
  <si>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</si>
  <si>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</si>
  <si>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</si>
  <si>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</si>
  <si>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Moray House</t>
  </si>
  <si>
    <t>Basement (South) (Front)</t>
  </si>
  <si>
    <t>Workshop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</si>
  <si>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</si>
  <si>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</si>
  <si>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</si>
  <si>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 xml:space="preserve">Second Floor (East) </t>
  </si>
  <si>
    <t>Second (Rear) &amp; Part Ground (Storage)</t>
  </si>
  <si>
    <t xml:space="preserve"> Office &amp; Storage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</si>
  <si>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</si>
  <si>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</si>
  <si>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</si>
  <si>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</si>
  <si>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First to Third Floors</t>
  </si>
  <si>
    <t>Tenant break on 6 months notice. Tenant has a 20% concession reducing the rent until the 25/10/25 review date, after this date it reverts to £126,500 pa.</t>
  </si>
  <si>
    <t>Exposure Promotions Ltd.</t>
  </si>
  <si>
    <t>6 Little Portland St.</t>
  </si>
  <si>
    <t xml:space="preserve">Second Floor </t>
  </si>
  <si>
    <t>Skynet Ltd</t>
  </si>
  <si>
    <t>Spanx UK Ltd</t>
  </si>
  <si>
    <t>Mutual break @ 20/06/25 on 6 months notice. Tenant break exercised. Expiry date based on tenant meeting break conditions.</t>
  </si>
  <si>
    <t>Caneparo Associates Ltd</t>
  </si>
  <si>
    <t>Basement (North)</t>
  </si>
  <si>
    <t>9a Margaret Street</t>
  </si>
  <si>
    <t>Pavement Vaults</t>
  </si>
  <si>
    <t>Landlords rolling redevelopment option on 6 months notice.</t>
  </si>
  <si>
    <t>Tenant break on 6 months notice. 2025, 2026 &amp; 2027 tenant break removed.</t>
  </si>
  <si>
    <t>2025 &amp; 2026 tenant breaks removed.</t>
  </si>
  <si>
    <t>Third &amp; Fourth Floor</t>
  </si>
  <si>
    <t>2025 tenant break removed.</t>
  </si>
  <si>
    <t>13/14 Margaret Street</t>
  </si>
  <si>
    <t>Marson Property Ltd</t>
  </si>
  <si>
    <t>15/16 Margaret Street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</si>
  <si>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</si>
  <si>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</si>
  <si>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</si>
  <si>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</si>
  <si>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</si>
  <si>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</si>
  <si>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>All inclusive rent (excl rates). Renewal terms being agreed.</t>
  </si>
  <si>
    <t>Fourth Floor (RW)</t>
  </si>
  <si>
    <t>Fourth Floor (E)</t>
  </si>
  <si>
    <t>Fourth Floor (W)</t>
  </si>
  <si>
    <t>17/18 Margaret Street</t>
  </si>
  <si>
    <t>LEM Marketing.</t>
  </si>
  <si>
    <t>Effigest UK Ltd.</t>
  </si>
  <si>
    <t>Theatrical Rights Worldwide Limited</t>
  </si>
  <si>
    <t>Vesper Investments Ltd</t>
  </si>
  <si>
    <t>Moods Beauty Ltd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</si>
  <si>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</si>
  <si>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</si>
  <si>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</si>
  <si>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</si>
  <si>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</si>
  <si>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</si>
  <si>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</si>
  <si>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</si>
  <si>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</si>
  <si>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</si>
  <si>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</si>
  <si>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</si>
  <si>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</si>
  <si>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</si>
  <si>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</si>
  <si>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</si>
  <si>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mnth rent free from 07/06/27 if break not exercised.</t>
  </si>
  <si>
    <t>Third Floor (East)</t>
  </si>
  <si>
    <t>LDG</t>
  </si>
  <si>
    <t>Sen Yoga Limited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</si>
  <si>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</si>
  <si>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</si>
  <si>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</si>
  <si>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</si>
  <si>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</si>
  <si>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</si>
  <si>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</si>
  <si>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Kipas London Ltd</t>
  </si>
  <si>
    <t>Tenant break on 3 months notice. 4 months rent free from 22/02/25 if tenant does not break.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</si>
  <si>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</si>
  <si>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</si>
  <si>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</si>
  <si>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</si>
  <si>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Face2Face Counselling Services Ltd</t>
  </si>
  <si>
    <t>Cihangir Group Limited.</t>
  </si>
  <si>
    <t>Second Floor (Rear)</t>
  </si>
  <si>
    <t>63/64 Margaret Street</t>
  </si>
  <si>
    <t>Leap Productions Limited</t>
  </si>
  <si>
    <t>Philips Lockhart Ltd.</t>
  </si>
  <si>
    <t>Tenant break on 6 months notice. 2 months rent free at 08/09/25 if break not exercised.</t>
  </si>
  <si>
    <t>Mercury Creations Limited</t>
  </si>
  <si>
    <t>Rent £19,950 wef 28/07/25. Tenant break on 6 months notice. 2 months rent free if exercised. Tenant name corrected.</t>
  </si>
  <si>
    <t>Maxguard Limited</t>
  </si>
  <si>
    <t>Second Floor (Front)</t>
  </si>
  <si>
    <t>Major League Baseball Europe Ltd.</t>
  </si>
  <si>
    <t>LEM / LDG</t>
  </si>
  <si>
    <t>75/77 Margaret Street</t>
  </si>
  <si>
    <t>Ground</t>
  </si>
  <si>
    <t>78 Margaret Street</t>
  </si>
  <si>
    <t>79/80 Margaret Street</t>
  </si>
  <si>
    <t>Feel Films Ltd.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</si>
  <si>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</si>
  <si>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</si>
  <si>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</si>
  <si>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</si>
  <si>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</si>
  <si>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</si>
  <si>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</si>
  <si>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</si>
  <si>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</si>
  <si>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</si>
  <si>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</si>
  <si>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</si>
  <si>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</si>
  <si>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</si>
  <si>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</si>
  <si>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Part Ground to Fifth Floors</t>
  </si>
  <si>
    <t>Gilmoora House Ltd</t>
  </si>
  <si>
    <t>Internal Lease to another Lee Family Group Company.</t>
  </si>
  <si>
    <t>57/61 Mortimer Street</t>
  </si>
  <si>
    <t>Tenant break on 6 months notice. If break not exercised, rent reduces to £67,146 pa wef 20/06/25 to 19/06/26</t>
  </si>
  <si>
    <t xml:space="preserve">Rent rises to £83,950 wef 11/08/25. </t>
  </si>
  <si>
    <t>"Taipei Education Division"</t>
  </si>
  <si>
    <t>Rolling break from 29/06//25 on 3 months notice. Rent corrected.</t>
  </si>
  <si>
    <t>Tenant break on 6 months notice. 3 months rent free if break not exercised.</t>
  </si>
  <si>
    <t>67/81 Mortimer Street</t>
  </si>
  <si>
    <t>First Floor (100)</t>
  </si>
  <si>
    <t>Lualdi UK</t>
  </si>
  <si>
    <t>First Floor  (140)</t>
  </si>
  <si>
    <t>First Floor (120)</t>
  </si>
  <si>
    <t>First Floor (Centre)</t>
  </si>
  <si>
    <t>First Floor (160, 180)</t>
  </si>
  <si>
    <t>Second Floor (South)</t>
  </si>
  <si>
    <t>Second Floor (Centre)</t>
  </si>
  <si>
    <t>Fintech Partners Limited.</t>
  </si>
  <si>
    <t>Second Floor (210,220, 230 &amp; 231)</t>
  </si>
  <si>
    <t>Second Floor (240)</t>
  </si>
  <si>
    <t>Third Floor (303)</t>
  </si>
  <si>
    <t>Third Floor (305)</t>
  </si>
  <si>
    <t>Property Management Recruitment Ltd.</t>
  </si>
  <si>
    <t>Third Floor North (320)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</si>
  <si>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</si>
  <si>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</si>
  <si>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</si>
  <si>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</si>
  <si>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</si>
  <si>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</si>
  <si>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</si>
  <si>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Jewells Retail Ltd</t>
  </si>
  <si>
    <t>New letting completed. Rent inclusive of service charge and insurance.</t>
  </si>
  <si>
    <t>Third Floor (360 &amp; 365)</t>
  </si>
  <si>
    <t>TGR1.618 Limited</t>
  </si>
  <si>
    <t>E D</t>
  </si>
  <si>
    <t>Third Floor (395)</t>
  </si>
  <si>
    <t>Pixi Limited</t>
  </si>
  <si>
    <t>Third Floor (398)</t>
  </si>
  <si>
    <t>Start date corrected. 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</si>
  <si>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</si>
  <si>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</si>
  <si>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</si>
  <si>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</si>
  <si>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</si>
  <si>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</si>
  <si>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>Winsley St. Sub-station (S)</t>
  </si>
  <si>
    <t>Princess House</t>
  </si>
  <si>
    <t>Mezzanine</t>
  </si>
  <si>
    <t>Perry Ellis Europe Ltd.</t>
  </si>
  <si>
    <t>London Mappin House Centre Ltd.</t>
  </si>
  <si>
    <t xml:space="preserve">Guaranteed base rent of £241,776 plus revenue top up. Revenue top-up rent of £52,119 paid for 1Oct23 - 30Sept24. Rolling mutual breal option after 18 months. </t>
  </si>
  <si>
    <t>Guaranteed base rent of £242,259 plus revenue top up. Revenue top-up rent of £52,225 paid for 1Oct23 - 30Sept24. Rolling mutual breal option after 18 months.</t>
  </si>
  <si>
    <t>Guaranteed base rent of £252,885 plus revenue top up. Revenue top-up rent of £54,516 paid for 1Oct23 - 30Sept24. Rolling mutual breal option after 18 months.</t>
  </si>
  <si>
    <t>Guaranteed base rent of £252,393 plus revenue top up. Revenue top-up rent of £54,410 paid for 1Oct23 - 30Sept24. Rolling mutual breal option after 18 months.</t>
  </si>
  <si>
    <t>Mappin House</t>
  </si>
  <si>
    <t>Flat 1. Ground Floor</t>
  </si>
  <si>
    <t>One Bed Flat</t>
  </si>
  <si>
    <t>Edward Davenport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</si>
  <si>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</si>
  <si>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</si>
  <si>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</si>
  <si>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</si>
  <si>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</si>
  <si>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</si>
  <si>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</si>
  <si>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</si>
  <si>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</si>
  <si>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</si>
  <si>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</si>
  <si>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</si>
  <si>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</si>
  <si>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</si>
  <si>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</si>
  <si>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</si>
  <si>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</si>
  <si>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Investments Services UK Ltd</t>
  </si>
  <si>
    <t>AdMaxim Limited</t>
  </si>
  <si>
    <t xml:space="preserve">Fourth Floor </t>
  </si>
  <si>
    <t>Mackintosh Limited</t>
  </si>
  <si>
    <t>Rent increasing to £105,490 @ 21/10/26. Tenant break on 6 months notice.</t>
  </si>
  <si>
    <t>Total Area</t>
  </si>
  <si>
    <t>2nd Floor, 30 Market Place</t>
  </si>
  <si>
    <t>Joint London Ltd</t>
  </si>
  <si>
    <t>3rd Floor, 30 Market Place</t>
  </si>
  <si>
    <t>LEM / EC&amp;P</t>
  </si>
  <si>
    <t>4th Floor, 30 Market Place</t>
  </si>
  <si>
    <t>5th Floor, 30 Market Place</t>
  </si>
  <si>
    <t>Nchain Ltd</t>
  </si>
  <si>
    <t>8 months rent free if break not excercised. Nchain have pre-emption on 2nd-4th Flrs.</t>
  </si>
  <si>
    <t>6th Floor, 30 Market Place</t>
  </si>
  <si>
    <t>EDF</t>
  </si>
  <si>
    <t>New lease in negotiation. £1k max from date of purchase.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</si>
  <si>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</si>
  <si>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</si>
  <si>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</si>
  <si>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</si>
  <si>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</si>
  <si>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</si>
  <si>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</si>
  <si>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</si>
  <si>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MEL, OPG, PEL &amp; OOS Notes</t>
  </si>
  <si>
    <t>(1) Capital Values and ERV's are taken from the July 2024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</si>
  <si>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</si>
  <si>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</si>
  <si>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6th May 2025</t>
  </si>
  <si>
    <t>Area</t>
  </si>
  <si>
    <t xml:space="preserve">Total </t>
  </si>
  <si>
    <t>LEM Strategy</t>
  </si>
  <si>
    <t xml:space="preserve">blank </t>
  </si>
  <si>
    <t>Under Offer.</t>
  </si>
  <si>
    <t>EPC Rating</t>
  </si>
  <si>
    <t>EPC Rating By Floor Area</t>
  </si>
  <si>
    <t>Unlettable under ARES</t>
  </si>
  <si>
    <t>sq.ft</t>
  </si>
  <si>
    <t>Total</t>
  </si>
  <si>
    <t>Tenant Trade</t>
  </si>
  <si>
    <t>Other</t>
  </si>
  <si>
    <t>Professional Services</t>
  </si>
  <si>
    <t>28-50 Oxford Circus Ltd.</t>
  </si>
  <si>
    <t>Leisure Services</t>
  </si>
  <si>
    <t>ACP Ltd, acm Ltd &amp; Effecta</t>
  </si>
  <si>
    <t>Al Falamanki Raoucche Limited</t>
  </si>
  <si>
    <t>Real Estate &amp; Construction</t>
  </si>
  <si>
    <t>Media &amp; Marketing</t>
  </si>
  <si>
    <t>Banking &amp; Finance</t>
  </si>
  <si>
    <t>Beyond Creative Ltd</t>
  </si>
  <si>
    <t>Blueprint Pictures Limited</t>
  </si>
  <si>
    <t>Cool Britannia Retail Limited</t>
  </si>
  <si>
    <t>IT &amp; Telecoms</t>
  </si>
  <si>
    <t>Directors Cut Films Ltd.</t>
  </si>
  <si>
    <t>Dry Eyes Limited</t>
  </si>
  <si>
    <t>Eleven Film Ltd.</t>
  </si>
  <si>
    <t>Recruitment</t>
  </si>
  <si>
    <t>Health &amp; Social Services</t>
  </si>
  <si>
    <t>Focus International Ltd.</t>
  </si>
  <si>
    <t>FSB Technology (UK) Ltd.</t>
  </si>
  <si>
    <t>Functional 45 Training Ltd.</t>
  </si>
  <si>
    <t>Serviced Offices</t>
  </si>
  <si>
    <t>Island Poke Ltd.</t>
  </si>
  <si>
    <t>JMS Engineers Consulting Group Ltd</t>
  </si>
  <si>
    <t>London Health and Aesthetics Ltd</t>
  </si>
  <si>
    <t>Manufacturing</t>
  </si>
  <si>
    <t>Miller Hare Ltd</t>
  </si>
  <si>
    <t>Moooi UK Ltd.</t>
  </si>
  <si>
    <t>Mr E Belloulou</t>
  </si>
  <si>
    <t>Mr M.J Bradshaw &amp; Mr D.G Bradshaw</t>
  </si>
  <si>
    <t>Outform EMEA Ltd.</t>
  </si>
  <si>
    <t>Portland Audio Limited</t>
  </si>
  <si>
    <t>Reachout Recruit Ltd.</t>
  </si>
  <si>
    <t>Space Workplace Ltd.</t>
  </si>
  <si>
    <t>Spirit Entertainment Ltd.</t>
  </si>
  <si>
    <t>T. Ciss, E. Moser &amp; Casanova</t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</si>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</sst>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</numFmts>
  <fonts count="52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</font>
    <font>
      <b/>
      <u/>
      <sz val="8"/>
      <color theme="1"/>
      <name val="Arial"/>
      <family val="2"/>
    </font>
    <font>
      <b/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3E5F5"/>
        <bgColor rgb="FFF3E5F5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70" fontId="43" fillId="0" borderId="0"/>
    <xf numFmtId="0" fontId="21" fillId="0" borderId="0"/>
    <xf numFmtId="0" fontId="21" fillId="14" borderId="5"/>
    <xf numFmtId="9" fontId="43" fillId="0" borderId="0"/>
    <xf numFmtId="168" fontId="43" fillId="0" borderId="0"/>
    <xf numFmtId="0" fontId="43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170" fontId="43" fillId="0" borderId="0"/>
    <xf numFmtId="0" fontId="21" fillId="0" borderId="0"/>
    <xf numFmtId="0" fontId="21" fillId="14" borderId="5"/>
    <xf numFmtId="9" fontId="43" fillId="0" borderId="0"/>
    <xf numFmtId="168" fontId="43" fillId="0" borderId="0"/>
  </cellStyleXfs>
  <cellXfs count="46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166" fontId="14" fillId="0" borderId="0" xfId="1" applyNumberFormat="1" applyFont="1" applyAlignment="1">
      <alignment horizontal="center" vertical="center"/>
    </xf>
    <xf numFmtId="3" fontId="27" fillId="0" borderId="0" xfId="0" applyNumberFormat="1" applyFont="1"/>
    <xf numFmtId="168" fontId="28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0" fontId="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29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171" fontId="33" fillId="0" borderId="0" xfId="0" applyNumberFormat="1" applyFont="1" applyAlignment="1">
      <alignment vertical="top"/>
    </xf>
    <xf numFmtId="164" fontId="33" fillId="0" borderId="0" xfId="0" applyNumberFormat="1" applyFont="1" applyAlignment="1">
      <alignment vertical="top"/>
    </xf>
    <xf numFmtId="171" fontId="33" fillId="0" borderId="0" xfId="1" applyNumberFormat="1" applyFont="1" applyAlignment="1">
      <alignment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71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top"/>
    </xf>
    <xf numFmtId="171" fontId="33" fillId="0" borderId="0" xfId="1" applyNumberFormat="1" applyFont="1" applyAlignment="1">
      <alignment horizontal="center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 wrapText="1"/>
    </xf>
    <xf numFmtId="171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171" fontId="33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top"/>
    </xf>
    <xf numFmtId="0" fontId="36" fillId="0" borderId="0" xfId="0" applyFont="1"/>
    <xf numFmtId="171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71" fontId="22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7" fillId="16" borderId="6" xfId="0" applyFont="1" applyFill="1" applyBorder="1" applyAlignment="1">
      <alignment horizontal="left" vertical="center" wrapText="1"/>
    </xf>
    <xf numFmtId="164" fontId="37" fillId="16" borderId="6" xfId="0" applyNumberFormat="1" applyFont="1" applyFill="1" applyBorder="1" applyAlignment="1">
      <alignment horizontal="center" vertical="center" wrapText="1"/>
    </xf>
    <xf numFmtId="164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center" vertical="center"/>
    </xf>
    <xf numFmtId="171" fontId="32" fillId="16" borderId="6" xfId="0" applyNumberFormat="1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left" vertical="center" wrapText="1"/>
    </xf>
    <xf numFmtId="164" fontId="33" fillId="16" borderId="6" xfId="0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 wrapText="1"/>
    </xf>
    <xf numFmtId="171" fontId="33" fillId="16" borderId="6" xfId="1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9" fontId="3" fillId="0" borderId="0" xfId="4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14" fontId="0" fillId="0" borderId="0" xfId="0" applyNumberFormat="1"/>
    <xf numFmtId="171" fontId="34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3" fillId="16" borderId="0" xfId="0" applyFont="1" applyFill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165" fontId="37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0" xfId="0" quotePrefix="1" applyFont="1" applyAlignment="1">
      <alignment horizontal="left" vertical="center" wrapText="1"/>
    </xf>
    <xf numFmtId="3" fontId="37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37" fillId="0" borderId="0" xfId="0" quotePrefix="1" applyFont="1" applyAlignment="1">
      <alignment horizontal="left" vertical="center"/>
    </xf>
    <xf numFmtId="172" fontId="42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3" fontId="37" fillId="0" borderId="0" xfId="1" applyNumberFormat="1" applyFont="1" applyAlignment="1">
      <alignment horizontal="left" vertical="center" wrapText="1"/>
    </xf>
    <xf numFmtId="3" fontId="37" fillId="0" borderId="0" xfId="1" applyNumberFormat="1" applyFont="1" applyAlignment="1">
      <alignment horizontal="left" vertical="center"/>
    </xf>
    <xf numFmtId="0" fontId="2" fillId="15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vertical="center" wrapText="1"/>
    </xf>
    <xf numFmtId="0" fontId="0" fillId="0" borderId="3" xfId="0" applyBorder="1"/>
    <xf numFmtId="166" fontId="13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/>
    <xf numFmtId="14" fontId="0" fillId="0" borderId="8" xfId="0" applyNumberFormat="1" applyBorder="1"/>
    <xf numFmtId="173" fontId="0" fillId="0" borderId="8" xfId="5" applyNumberFormat="1" applyFont="1" applyBorder="1"/>
    <xf numFmtId="168" fontId="0" fillId="0" borderId="8" xfId="5" applyFont="1" applyBorder="1"/>
    <xf numFmtId="173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173" fontId="0" fillId="0" borderId="0" xfId="5" applyNumberFormat="1" applyFont="1"/>
    <xf numFmtId="168" fontId="0" fillId="0" borderId="0" xfId="5" applyFont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8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4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5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wrapText="1"/>
    </xf>
    <xf numFmtId="3" fontId="25" fillId="0" borderId="0" xfId="0" applyNumberFormat="1" applyFont="1" applyAlignment="1">
      <alignment horizontal="left" vertical="center" wrapText="1"/>
    </xf>
    <xf numFmtId="0" fontId="44" fillId="0" borderId="0" xfId="0" quotePrefix="1" applyFont="1" applyAlignment="1">
      <alignment horizontal="left" vertical="center" wrapText="1"/>
    </xf>
    <xf numFmtId="0" fontId="46" fillId="0" borderId="0" xfId="0" quotePrefix="1" applyFont="1" applyAlignment="1">
      <alignment horizontal="left" vertical="center" wrapText="1"/>
    </xf>
    <xf numFmtId="0" fontId="47" fillId="16" borderId="0" xfId="0" applyFont="1" applyFill="1" applyAlignment="1">
      <alignment horizontal="left" vertical="center" wrapText="1"/>
    </xf>
    <xf numFmtId="0" fontId="47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7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37" fillId="0" borderId="0" xfId="0" applyFont="1"/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6" fontId="3" fillId="0" borderId="0" xfId="0" applyNumberFormat="1" applyFont="1" applyAlignment="1">
      <alignment horizontal="left" vertical="center" wrapText="1"/>
    </xf>
    <xf numFmtId="176" fontId="2" fillId="15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3" fillId="0" borderId="0" xfId="0" quotePrefix="1" applyNumberFormat="1" applyFont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wrapText="1"/>
    </xf>
    <xf numFmtId="176" fontId="5" fillId="0" borderId="0" xfId="0" quotePrefix="1" applyNumberFormat="1" applyFont="1" applyAlignment="1">
      <alignment horizontal="left" vertical="center" wrapText="1"/>
    </xf>
    <xf numFmtId="176" fontId="11" fillId="0" borderId="0" xfId="0" quotePrefix="1" applyNumberFormat="1" applyFont="1" applyAlignment="1">
      <alignment horizontal="left" vertical="center" wrapText="1"/>
    </xf>
    <xf numFmtId="176" fontId="37" fillId="16" borderId="0" xfId="0" applyNumberFormat="1" applyFont="1" applyFill="1" applyAlignment="1">
      <alignment horizontal="left" vertical="center" wrapText="1"/>
    </xf>
    <xf numFmtId="176" fontId="33" fillId="0" borderId="0" xfId="0" applyNumberFormat="1" applyFont="1" applyAlignment="1">
      <alignment vertical="top" wrapText="1"/>
    </xf>
    <xf numFmtId="176" fontId="22" fillId="0" borderId="0" xfId="0" applyNumberFormat="1" applyFont="1" applyAlignment="1">
      <alignment vertical="center" wrapText="1"/>
    </xf>
    <xf numFmtId="176" fontId="33" fillId="0" borderId="0" xfId="0" applyNumberFormat="1" applyFont="1" applyAlignment="1">
      <alignment vertical="center" wrapText="1"/>
    </xf>
    <xf numFmtId="176" fontId="23" fillId="0" borderId="0" xfId="0" applyNumberFormat="1" applyFont="1" applyAlignment="1">
      <alignment vertical="center" wrapText="1"/>
    </xf>
    <xf numFmtId="176" fontId="33" fillId="16" borderId="0" xfId="0" applyNumberFormat="1" applyFont="1" applyFill="1" applyAlignment="1">
      <alignment vertical="center" wrapText="1"/>
    </xf>
    <xf numFmtId="176" fontId="1" fillId="0" borderId="0" xfId="0" applyNumberFormat="1" applyFont="1"/>
    <xf numFmtId="176" fontId="3" fillId="16" borderId="0" xfId="0" applyNumberFormat="1" applyFont="1" applyFill="1" applyAlignment="1">
      <alignment horizontal="left" vertical="center" wrapText="1"/>
    </xf>
    <xf numFmtId="176" fontId="3" fillId="0" borderId="0" xfId="0" quotePrefix="1" applyNumberFormat="1" applyFont="1" applyAlignment="1">
      <alignment vertical="center"/>
    </xf>
    <xf numFmtId="176" fontId="0" fillId="0" borderId="0" xfId="0" applyNumberFormat="1" applyAlignment="1">
      <alignment horizontal="left" vertical="center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7" fontId="0" fillId="0" borderId="0" xfId="0" applyNumberFormat="1"/>
    <xf numFmtId="177" fontId="2" fillId="15" borderId="1" xfId="0" quotePrefix="1" applyNumberFormat="1" applyFont="1" applyFill="1" applyBorder="1" applyAlignment="1">
      <alignment horizontal="center" vertical="center" wrapText="1"/>
    </xf>
    <xf numFmtId="177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7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7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49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49" fillId="0" borderId="0" xfId="0" applyNumberFormat="1" applyFont="1" applyAlignment="1">
      <alignment vertical="center"/>
    </xf>
    <xf numFmtId="177" fontId="49" fillId="0" borderId="0" xfId="0" applyNumberFormat="1" applyFont="1" applyAlignment="1">
      <alignment vertical="center"/>
    </xf>
    <xf numFmtId="177" fontId="0" fillId="0" borderId="0" xfId="1" applyNumberFormat="1" applyFont="1"/>
    <xf numFmtId="179" fontId="0" fillId="0" borderId="0" xfId="5" applyNumberFormat="1" applyFont="1"/>
    <xf numFmtId="179" fontId="2" fillId="15" borderId="1" xfId="5" applyNumberFormat="1" applyFont="1" applyFill="1" applyBorder="1" applyAlignment="1">
      <alignment horizontal="center" vertical="center" wrapText="1"/>
    </xf>
    <xf numFmtId="171" fontId="50" fillId="0" borderId="0" xfId="0" applyNumberFormat="1" applyFont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 wrapText="1"/>
    </xf>
    <xf numFmtId="3" fontId="6" fillId="0" borderId="0" xfId="1" applyNumberFormat="1" applyFont="1" applyAlignment="1">
      <alignment horizontal="center" vertical="center"/>
    </xf>
    <xf numFmtId="0" fontId="51" fillId="0" borderId="0" xfId="0" applyFont="1"/>
    <xf numFmtId="0" fontId="51" fillId="18" borderId="0" xfId="0" applyFont="1" applyFill="1"/>
    <xf numFmtId="0" fontId="3" fillId="18" borderId="0" xfId="0" applyFont="1" applyFill="1" applyAlignment="1">
      <alignment vertic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left" vertical="center" wrapText="1"/>
    </xf>
    <xf numFmtId="0" fontId="3" fillId="18" borderId="0" xfId="0" applyFont="1" applyFill="1" applyAlignment="1">
      <alignment horizontal="center" vertical="center" wrapText="1"/>
    </xf>
    <xf numFmtId="3" fontId="3" fillId="18" borderId="0" xfId="0" applyNumberFormat="1" applyFont="1" applyFill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4" fontId="3" fillId="18" borderId="0" xfId="0" applyNumberFormat="1" applyFont="1" applyFill="1" applyAlignment="1">
      <alignment horizontal="center" vertical="center"/>
    </xf>
    <xf numFmtId="0" fontId="0" fillId="18" borderId="0" xfId="0" applyFill="1"/>
    <xf numFmtId="175" fontId="3" fillId="18" borderId="0" xfId="0" applyNumberFormat="1" applyFont="1" applyFill="1" applyAlignment="1">
      <alignment horizontal="center" vertical="center"/>
    </xf>
    <xf numFmtId="165" fontId="17" fillId="18" borderId="0" xfId="0" applyNumberFormat="1" applyFont="1" applyFill="1" applyAlignment="1">
      <alignment horizontal="left" vertical="center"/>
    </xf>
    <xf numFmtId="166" fontId="3" fillId="18" borderId="0" xfId="1" applyNumberFormat="1" applyFont="1" applyFill="1" applyAlignment="1">
      <alignment horizontal="center" vertical="center"/>
    </xf>
    <xf numFmtId="176" fontId="5" fillId="18" borderId="0" xfId="0" applyNumberFormat="1" applyFont="1" applyFill="1" applyAlignment="1">
      <alignment horizontal="left" vertical="center" wrapText="1"/>
    </xf>
    <xf numFmtId="0" fontId="25" fillId="18" borderId="0" xfId="0" applyFont="1" applyFill="1" applyAlignment="1">
      <alignment horizontal="left" vertical="center" wrapText="1"/>
    </xf>
    <xf numFmtId="164" fontId="3" fillId="18" borderId="0" xfId="0" applyNumberFormat="1" applyFont="1" applyFill="1" applyAlignment="1">
      <alignment horizontal="center" vertical="center" wrapText="1"/>
    </xf>
    <xf numFmtId="0" fontId="5" fillId="18" borderId="0" xfId="0" applyFont="1" applyFill="1" applyAlignment="1">
      <alignment horizontal="left" vertical="center" wrapText="1"/>
    </xf>
    <xf numFmtId="0" fontId="44" fillId="18" borderId="0" xfId="0" applyFont="1" applyFill="1" applyAlignment="1">
      <alignment horizontal="left" vertical="center" wrapText="1"/>
    </xf>
    <xf numFmtId="164" fontId="5" fillId="18" borderId="0" xfId="0" applyNumberFormat="1" applyFont="1" applyFill="1" applyAlignment="1">
      <alignment horizontal="center" vertical="center"/>
    </xf>
    <xf numFmtId="176" fontId="3" fillId="18" borderId="0" xfId="0" applyNumberFormat="1" applyFont="1" applyFill="1" applyAlignment="1">
      <alignment horizontal="left" vertical="center" wrapText="1"/>
    </xf>
    <xf numFmtId="164" fontId="5" fillId="18" borderId="0" xfId="0" applyNumberFormat="1" applyFont="1" applyFill="1" applyAlignment="1">
      <alignment horizontal="center" vertical="center" wrapText="1"/>
    </xf>
    <xf numFmtId="165" fontId="5" fillId="18" borderId="0" xfId="0" applyNumberFormat="1" applyFont="1" applyFill="1" applyAlignment="1">
      <alignment horizontal="center" vertical="center"/>
    </xf>
    <xf numFmtId="0" fontId="3" fillId="18" borderId="0" xfId="0" quotePrefix="1" applyFont="1" applyFill="1" applyAlignment="1">
      <alignment horizontal="left" vertical="center" wrapText="1"/>
    </xf>
    <xf numFmtId="176" fontId="3" fillId="18" borderId="0" xfId="0" quotePrefix="1" applyNumberFormat="1" applyFont="1" applyFill="1" applyAlignment="1">
      <alignment horizontal="left" vertical="center" wrapText="1"/>
    </xf>
    <xf numFmtId="0" fontId="25" fillId="18" borderId="0" xfId="0" quotePrefix="1" applyFont="1" applyFill="1" applyAlignment="1">
      <alignment horizontal="left" vertical="center" wrapText="1"/>
    </xf>
    <xf numFmtId="165" fontId="2" fillId="18" borderId="0" xfId="0" applyNumberFormat="1" applyFont="1" applyFill="1" applyAlignment="1">
      <alignment horizontal="center" vertical="center"/>
    </xf>
    <xf numFmtId="165" fontId="18" fillId="18" borderId="0" xfId="0" applyNumberFormat="1" applyFont="1" applyFill="1" applyAlignment="1">
      <alignment horizontal="left" vertical="center"/>
    </xf>
    <xf numFmtId="0" fontId="3" fillId="18" borderId="0" xfId="0" quotePrefix="1" applyFont="1" applyFill="1" applyAlignment="1">
      <alignment horizontal="center" vertical="center" wrapText="1"/>
    </xf>
    <xf numFmtId="165" fontId="3" fillId="18" borderId="0" xfId="0" applyNumberFormat="1" applyFont="1" applyFill="1" applyAlignment="1">
      <alignment horizontal="left" vertical="center" wrapText="1"/>
    </xf>
    <xf numFmtId="14" fontId="3" fillId="18" borderId="0" xfId="0" applyNumberFormat="1" applyFont="1" applyFill="1" applyAlignment="1">
      <alignment horizontal="center" vertical="center" wrapText="1"/>
    </xf>
    <xf numFmtId="14" fontId="3" fillId="18" borderId="0" xfId="0" quotePrefix="1" applyNumberFormat="1" applyFont="1" applyFill="1" applyAlignment="1">
      <alignment horizontal="center" vertical="center"/>
    </xf>
    <xf numFmtId="3" fontId="3" fillId="18" borderId="0" xfId="0" applyNumberFormat="1" applyFont="1" applyFill="1" applyAlignment="1">
      <alignment horizontal="left" vertical="center" wrapText="1"/>
    </xf>
    <xf numFmtId="166" fontId="2" fillId="18" borderId="0" xfId="1" applyNumberFormat="1" applyFont="1" applyFill="1" applyAlignment="1">
      <alignment horizontal="center" vertical="center"/>
    </xf>
    <xf numFmtId="165" fontId="3" fillId="18" borderId="0" xfId="0" quotePrefix="1" applyNumberFormat="1" applyFont="1" applyFill="1" applyAlignment="1">
      <alignment horizontal="left" vertical="center" wrapText="1"/>
    </xf>
    <xf numFmtId="3" fontId="17" fillId="18" borderId="0" xfId="0" applyNumberFormat="1" applyFont="1" applyFill="1" applyAlignment="1">
      <alignment horizontal="left" vertical="center"/>
    </xf>
    <xf numFmtId="3" fontId="3" fillId="18" borderId="0" xfId="0" quotePrefix="1" applyNumberFormat="1" applyFont="1" applyFill="1" applyAlignment="1">
      <alignment horizontal="center" vertical="center" wrapText="1"/>
    </xf>
    <xf numFmtId="0" fontId="3" fillId="18" borderId="0" xfId="0" applyFont="1" applyFill="1" applyAlignment="1">
      <alignment horizontal="left" vertical="center"/>
    </xf>
    <xf numFmtId="165" fontId="25" fillId="18" borderId="0" xfId="0" applyNumberFormat="1" applyFont="1" applyFill="1" applyAlignment="1">
      <alignment horizontal="left" vertical="center" wrapText="1"/>
    </xf>
    <xf numFmtId="164" fontId="3" fillId="18" borderId="0" xfId="0" quotePrefix="1" applyNumberFormat="1" applyFont="1" applyFill="1" applyAlignment="1">
      <alignment horizontal="center" vertical="center"/>
    </xf>
    <xf numFmtId="0" fontId="22" fillId="18" borderId="0" xfId="0" applyFont="1" applyFill="1" applyAlignment="1">
      <alignment horizontal="left" vertical="center" wrapText="1"/>
    </xf>
    <xf numFmtId="3" fontId="2" fillId="18" borderId="0" xfId="0" applyNumberFormat="1" applyFont="1" applyFill="1" applyAlignment="1">
      <alignment horizontal="center" vertical="center"/>
    </xf>
    <xf numFmtId="3" fontId="23" fillId="18" borderId="0" xfId="0" applyNumberFormat="1" applyFont="1" applyFill="1" applyAlignment="1">
      <alignment horizontal="center" vertical="center"/>
    </xf>
    <xf numFmtId="3" fontId="3" fillId="18" borderId="0" xfId="0" applyNumberFormat="1" applyFont="1" applyFill="1" applyAlignment="1">
      <alignment horizontal="left" vertical="center"/>
    </xf>
    <xf numFmtId="165" fontId="3" fillId="18" borderId="0" xfId="0" applyNumberFormat="1" applyFont="1" applyFill="1" applyAlignment="1">
      <alignment horizontal="center" vertical="center" wrapText="1"/>
    </xf>
    <xf numFmtId="3" fontId="3" fillId="18" borderId="0" xfId="0" applyNumberFormat="1" applyFont="1" applyFill="1" applyAlignment="1">
      <alignment horizontal="center" vertical="center" wrapText="1"/>
    </xf>
    <xf numFmtId="165" fontId="3" fillId="18" borderId="0" xfId="0" quotePrefix="1" applyNumberFormat="1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 wrapText="1"/>
    </xf>
    <xf numFmtId="3" fontId="3" fillId="18" borderId="0" xfId="1" applyNumberFormat="1" applyFont="1" applyFill="1" applyAlignment="1">
      <alignment horizontal="center" vertical="center"/>
    </xf>
    <xf numFmtId="165" fontId="40" fillId="18" borderId="0" xfId="0" applyNumberFormat="1" applyFont="1" applyFill="1" applyAlignment="1">
      <alignment horizontal="center" vertical="center"/>
    </xf>
    <xf numFmtId="3" fontId="2" fillId="18" borderId="0" xfId="1" applyNumberFormat="1" applyFont="1" applyFill="1" applyAlignment="1">
      <alignment horizontal="center" vertical="center"/>
    </xf>
    <xf numFmtId="3" fontId="3" fillId="18" borderId="0" xfId="1" applyNumberFormat="1" applyFont="1" applyFill="1" applyAlignment="1">
      <alignment horizontal="left" vertical="center" wrapText="1"/>
    </xf>
    <xf numFmtId="3" fontId="25" fillId="18" borderId="0" xfId="0" applyNumberFormat="1" applyFont="1" applyFill="1" applyAlignment="1">
      <alignment horizontal="left" vertical="center" wrapText="1"/>
    </xf>
    <xf numFmtId="176" fontId="5" fillId="18" borderId="0" xfId="0" quotePrefix="1" applyNumberFormat="1" applyFont="1" applyFill="1" applyAlignment="1">
      <alignment horizontal="left" vertical="center" wrapText="1"/>
    </xf>
    <xf numFmtId="0" fontId="5" fillId="18" borderId="0" xfId="0" quotePrefix="1" applyFont="1" applyFill="1" applyAlignment="1">
      <alignment horizontal="left" vertical="center" wrapText="1"/>
    </xf>
    <xf numFmtId="0" fontId="44" fillId="18" borderId="0" xfId="0" quotePrefix="1" applyFont="1" applyFill="1" applyAlignment="1">
      <alignment horizontal="left" vertical="center" wrapText="1"/>
    </xf>
    <xf numFmtId="164" fontId="5" fillId="18" borderId="0" xfId="6" applyNumberFormat="1" applyFont="1" applyFill="1" applyAlignment="1">
      <alignment horizontal="center" vertical="center" wrapText="1"/>
    </xf>
    <xf numFmtId="164" fontId="5" fillId="18" borderId="0" xfId="6" applyNumberFormat="1" applyFont="1" applyFill="1" applyAlignment="1">
      <alignment horizontal="center" vertical="center"/>
    </xf>
    <xf numFmtId="165" fontId="5" fillId="18" borderId="0" xfId="6" applyNumberFormat="1" applyFont="1" applyFill="1" applyAlignment="1">
      <alignment horizontal="center" vertical="center"/>
    </xf>
    <xf numFmtId="0" fontId="5" fillId="18" borderId="0" xfId="6" applyFont="1" applyFill="1" applyAlignment="1">
      <alignment horizontal="left" vertical="center" wrapText="1"/>
    </xf>
    <xf numFmtId="169" fontId="3" fillId="18" borderId="0" xfId="0" applyNumberFormat="1" applyFont="1" applyFill="1" applyAlignment="1">
      <alignment horizontal="center" vertical="center"/>
    </xf>
    <xf numFmtId="14" fontId="3" fillId="18" borderId="0" xfId="0" applyNumberFormat="1" applyFont="1" applyFill="1" applyAlignment="1">
      <alignment horizontal="center" vertical="center"/>
    </xf>
    <xf numFmtId="167" fontId="3" fillId="18" borderId="0" xfId="0" applyNumberFormat="1" applyFont="1" applyFill="1" applyAlignment="1">
      <alignment horizontal="center" vertical="center"/>
    </xf>
    <xf numFmtId="0" fontId="22" fillId="18" borderId="0" xfId="0" applyFont="1" applyFill="1" applyAlignment="1">
      <alignment vertical="center" wrapText="1"/>
    </xf>
    <xf numFmtId="0" fontId="22" fillId="18" borderId="0" xfId="0" applyFont="1" applyFill="1" applyAlignment="1">
      <alignment horizontal="center" vertical="center"/>
    </xf>
    <xf numFmtId="171" fontId="22" fillId="18" borderId="0" xfId="0" applyNumberFormat="1" applyFont="1" applyFill="1" applyAlignment="1">
      <alignment horizontal="center" vertical="center"/>
    </xf>
    <xf numFmtId="164" fontId="22" fillId="18" borderId="0" xfId="0" applyNumberFormat="1" applyFont="1" applyFill="1" applyAlignment="1">
      <alignment horizontal="center" vertical="center"/>
    </xf>
    <xf numFmtId="171" fontId="22" fillId="18" borderId="0" xfId="1" applyNumberFormat="1" applyFont="1" applyFill="1" applyAlignment="1">
      <alignment horizontal="center" vertical="center"/>
    </xf>
    <xf numFmtId="0" fontId="22" fillId="18" borderId="0" xfId="0" applyFont="1" applyFill="1" applyAlignment="1">
      <alignment vertical="center"/>
    </xf>
    <xf numFmtId="176" fontId="22" fillId="18" borderId="0" xfId="0" applyNumberFormat="1" applyFont="1" applyFill="1" applyAlignment="1">
      <alignment vertical="center" wrapText="1"/>
    </xf>
    <xf numFmtId="0" fontId="25" fillId="18" borderId="0" xfId="0" applyFont="1" applyFill="1" applyAlignment="1">
      <alignment vertical="center" wrapText="1"/>
    </xf>
    <xf numFmtId="171" fontId="35" fillId="18" borderId="0" xfId="1" applyNumberFormat="1" applyFont="1" applyFill="1" applyAlignment="1">
      <alignment horizontal="center" vertical="center"/>
    </xf>
    <xf numFmtId="0" fontId="22" fillId="18" borderId="0" xfId="0" applyFont="1" applyFill="1" applyAlignment="1">
      <alignment horizontal="center" vertical="center" wrapText="1"/>
    </xf>
    <xf numFmtId="0" fontId="22" fillId="18" borderId="0" xfId="0" quotePrefix="1" applyFont="1" applyFill="1" applyAlignment="1">
      <alignment vertical="center" wrapText="1"/>
    </xf>
    <xf numFmtId="176" fontId="22" fillId="18" borderId="0" xfId="0" quotePrefix="1" applyNumberFormat="1" applyFont="1" applyFill="1" applyAlignment="1">
      <alignment vertical="center" wrapText="1"/>
    </xf>
    <xf numFmtId="0" fontId="25" fillId="18" borderId="0" xfId="0" quotePrefix="1" applyFont="1" applyFill="1" applyAlignment="1">
      <alignment vertical="center" wrapText="1"/>
    </xf>
    <xf numFmtId="171" fontId="22" fillId="18" borderId="0" xfId="0" applyNumberFormat="1" applyFont="1" applyFill="1" applyAlignment="1">
      <alignment horizontal="left" vertical="center"/>
    </xf>
    <xf numFmtId="0" fontId="23" fillId="18" borderId="0" xfId="0" applyFont="1" applyFill="1" applyAlignment="1">
      <alignment horizontal="center" vertical="center"/>
    </xf>
    <xf numFmtId="171" fontId="23" fillId="18" borderId="0" xfId="0" applyNumberFormat="1" applyFont="1" applyFill="1" applyAlignment="1">
      <alignment horizontal="center" vertical="center"/>
    </xf>
    <xf numFmtId="0" fontId="35" fillId="18" borderId="0" xfId="0" applyFont="1" applyFill="1" applyAlignment="1">
      <alignment vertical="center" wrapText="1"/>
    </xf>
    <xf numFmtId="0" fontId="44" fillId="18" borderId="0" xfId="0" applyFont="1" applyFill="1" applyAlignment="1">
      <alignment vertical="center" wrapText="1"/>
    </xf>
    <xf numFmtId="0" fontId="39" fillId="18" borderId="0" xfId="0" applyFont="1" applyFill="1" applyAlignment="1">
      <alignment vertical="center" wrapText="1"/>
    </xf>
    <xf numFmtId="0" fontId="33" fillId="18" borderId="0" xfId="0" applyFont="1" applyFill="1" applyAlignment="1">
      <alignment vertical="center" wrapText="1"/>
    </xf>
    <xf numFmtId="0" fontId="3" fillId="18" borderId="0" xfId="0" applyFont="1" applyFill="1"/>
    <xf numFmtId="171" fontId="35" fillId="18" borderId="0" xfId="0" applyNumberFormat="1" applyFont="1" applyFill="1" applyAlignment="1">
      <alignment horizontal="center" vertical="center"/>
    </xf>
    <xf numFmtId="176" fontId="3" fillId="18" borderId="0" xfId="0" applyNumberFormat="1" applyFont="1" applyFill="1" applyAlignment="1">
      <alignment horizontal="right" vertical="center" wrapText="1"/>
    </xf>
    <xf numFmtId="0" fontId="3" fillId="18" borderId="0" xfId="0" applyFont="1" applyFill="1" applyAlignment="1">
      <alignment horizontal="right" vertical="center" wrapText="1"/>
    </xf>
    <xf numFmtId="0" fontId="25" fillId="18" borderId="0" xfId="0" applyFont="1" applyFill="1" applyAlignment="1">
      <alignment horizontal="right" vertical="center" wrapText="1"/>
    </xf>
    <xf numFmtId="0" fontId="37" fillId="18" borderId="0" xfId="0" applyFont="1" applyFill="1"/>
    <xf numFmtId="0" fontId="22" fillId="18" borderId="0" xfId="0" applyFont="1" applyFill="1" applyAlignment="1">
      <alignment horizontal="right" vertical="center" wrapText="1"/>
    </xf>
    <xf numFmtId="14" fontId="22" fillId="18" borderId="0" xfId="0" applyNumberFormat="1" applyFont="1" applyFill="1" applyAlignment="1">
      <alignment horizontal="center" vertical="center"/>
    </xf>
    <xf numFmtId="0" fontId="11" fillId="17" borderId="14" xfId="0" applyFont="1" applyFill="1" applyBorder="1" applyAlignment="1">
      <alignment horizontal="center"/>
    </xf>
    <xf numFmtId="0" fontId="0" fillId="0" borderId="14" xfId="0" applyBorder="1"/>
  </cellXfs>
  <cellStyles count="24">
    <cellStyle name="20% - Accent1 2" xfId="7" xr:uid="{00000000-0005-0000-0000-00002F000000}"/>
    <cellStyle name="20% - Accent2 2" xfId="8" xr:uid="{00000000-0005-0000-0000-000030000000}"/>
    <cellStyle name="20% - Accent3 2" xfId="9" xr:uid="{00000000-0005-0000-0000-000031000000}"/>
    <cellStyle name="20% - Accent4 2" xfId="10" xr:uid="{00000000-0005-0000-0000-000032000000}"/>
    <cellStyle name="20% - Accent5 2" xfId="11" xr:uid="{00000000-0005-0000-0000-000033000000}"/>
    <cellStyle name="20% - Accent6 2" xfId="12" xr:uid="{00000000-0005-0000-0000-000034000000}"/>
    <cellStyle name="40% - Accent1 2" xfId="13" xr:uid="{00000000-0005-0000-0000-000035000000}"/>
    <cellStyle name="40% - Accent2 2" xfId="14" xr:uid="{00000000-0005-0000-0000-000036000000}"/>
    <cellStyle name="40% - Accent3 2" xfId="15" xr:uid="{00000000-0005-0000-0000-000037000000}"/>
    <cellStyle name="40% - Accent4 2" xfId="16" xr:uid="{00000000-0005-0000-0000-000038000000}"/>
    <cellStyle name="40% - Accent5 2" xfId="17" xr:uid="{00000000-0005-0000-0000-000039000000}"/>
    <cellStyle name="40% - Accent6 2" xfId="18" xr:uid="{00000000-0005-0000-0000-00003A000000}"/>
    <cellStyle name="Comma" xfId="1" builtinId="3"/>
    <cellStyle name="Comma 2" xfId="19" xr:uid="{00000000-0005-0000-0000-00003B000000}"/>
    <cellStyle name="Currency" xfId="5" builtinId="4"/>
    <cellStyle name="Currency 2" xfId="23" xr:uid="{00000000-0005-0000-0000-00003F000000}"/>
    <cellStyle name="Normal" xfId="0" builtinId="0"/>
    <cellStyle name="Normal 2" xfId="2" xr:uid="{00000000-0005-0000-0000-000026000000}"/>
    <cellStyle name="Normal 2 2" xfId="20" xr:uid="{00000000-0005-0000-0000-00003C000000}"/>
    <cellStyle name="Normal 3" xfId="6" xr:uid="{00000000-0005-0000-0000-00002E000000}"/>
    <cellStyle name="Note 2" xfId="3" xr:uid="{00000000-0005-0000-0000-000027000000}"/>
    <cellStyle name="Note 2 2" xfId="21" xr:uid="{00000000-0005-0000-0000-00003D000000}"/>
    <cellStyle name="Per cent" xfId="4" builtinId="5"/>
    <cellStyle name="Per cent 2" xfId="22" xr:uid="{00000000-0005-0000-0000-00003E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FF82-C44A-9A89-BB91D14366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FF82-C44A-9A89-BB91D14366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FF82-C44A-9A89-BB91D143669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FF82-C44A-9A89-BB91D143669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FF82-C44A-9A89-BB91D143669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FF82-C44A-9A89-BB91D1436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8D29-8040-B480-D5BA48D1A4E9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8D29-8040-B480-D5BA48D1A4E9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8D29-8040-B480-D5BA48D1A4E9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8D29-8040-B480-D5BA48D1A4E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8D29-8040-B480-D5BA48D1A4E9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29-8040-B480-D5BA48D1A4E9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29-8040-B480-D5BA48D1A4E9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29-8040-B480-D5BA48D1A4E9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29-8040-B480-D5BA48D1A4E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8D29-8040-B480-D5BA48D1A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G557"/>
  <sheetViews>
    <sheetView view="pageBreakPreview" zoomScale="125" zoomScaleNormal="100" zoomScaleSheetLayoutView="125" workbookViewId="0">
      <pane ySplit="3" topLeftCell="A384" activePane="bottomLeft" state="frozen"/>
      <selection pane="bottomLeft" activeCell="F4" sqref="F4:K396"/>
    </sheetView>
  </sheetViews>
  <sheetFormatPr baseColWidth="10" defaultColWidth="8.83203125" defaultRowHeight="14"/>
  <cols>
    <col min="1" max="1" width="1.5" customWidth="1"/>
    <col min="2" max="2" width="5.5" style="129" customWidth="1"/>
    <col min="3" max="3" width="5.5" style="222" hidden="1" customWidth="1"/>
    <col min="4" max="4" width="8.1640625" style="98" hidden="1" customWidth="1"/>
    <col min="5" max="5" width="28.6640625" style="98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1" customWidth="1"/>
    <col min="21" max="21" width="9.33203125" style="11" hidden="1" customWidth="1"/>
    <col min="22" max="22" width="11.33203125" style="141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8" customWidth="1"/>
    <col min="27" max="27" width="11.5" style="137" customWidth="1"/>
    <col min="28" max="28" width="8.5" style="55" customWidth="1"/>
    <col min="29" max="29" width="52.83203125" style="4" customWidth="1"/>
    <col min="30" max="30" width="11.33203125" style="322" hidden="1" customWidth="1"/>
    <col min="31" max="33" width="11" style="4" hidden="1" customWidth="1"/>
  </cols>
  <sheetData>
    <row r="1" spans="1:33">
      <c r="C1" s="115" t="s">
        <v>0</v>
      </c>
      <c r="D1" s="98" t="s">
        <v>0</v>
      </c>
      <c r="E1" s="98" t="s">
        <v>0</v>
      </c>
      <c r="P1" s="115"/>
      <c r="AB1" s="98"/>
    </row>
    <row r="2" spans="1:33">
      <c r="C2" s="115" t="s">
        <v>0</v>
      </c>
      <c r="D2" s="98" t="s">
        <v>0</v>
      </c>
      <c r="E2" s="98" t="s">
        <v>0</v>
      </c>
      <c r="I2" s="115" t="s">
        <v>0</v>
      </c>
      <c r="J2" s="115" t="s">
        <v>0</v>
      </c>
      <c r="P2" s="115"/>
      <c r="R2" s="98" t="s">
        <v>0</v>
      </c>
      <c r="S2" s="98" t="s">
        <v>0</v>
      </c>
      <c r="U2" s="115" t="s">
        <v>0</v>
      </c>
      <c r="W2" s="115" t="s">
        <v>0</v>
      </c>
      <c r="X2" s="115"/>
      <c r="Y2" s="115"/>
      <c r="AB2" s="98"/>
      <c r="AD2" s="322" t="s">
        <v>0</v>
      </c>
      <c r="AE2" s="322" t="s">
        <v>0</v>
      </c>
      <c r="AF2" s="322" t="s">
        <v>0</v>
      </c>
      <c r="AG2" s="322" t="s">
        <v>0</v>
      </c>
    </row>
    <row r="3" spans="1:33" ht="24" customHeight="1">
      <c r="B3" s="130" t="s">
        <v>1</v>
      </c>
      <c r="C3" s="130" t="s">
        <v>2</v>
      </c>
      <c r="D3" s="72" t="s">
        <v>3</v>
      </c>
      <c r="E3" s="72" t="s">
        <v>4</v>
      </c>
      <c r="F3" s="72" t="s">
        <v>5</v>
      </c>
      <c r="G3" s="73" t="s">
        <v>6</v>
      </c>
      <c r="H3" s="74" t="s">
        <v>7</v>
      </c>
      <c r="I3" s="74" t="s">
        <v>8</v>
      </c>
      <c r="J3" s="74" t="s">
        <v>9</v>
      </c>
      <c r="K3" s="75" t="s">
        <v>10</v>
      </c>
      <c r="L3" s="76" t="s">
        <v>11</v>
      </c>
      <c r="M3" s="76" t="s">
        <v>12</v>
      </c>
      <c r="N3" s="76" t="s">
        <v>13</v>
      </c>
      <c r="O3" s="76" t="s">
        <v>14</v>
      </c>
      <c r="P3" s="76" t="s">
        <v>15</v>
      </c>
      <c r="Q3" s="77" t="s">
        <v>16</v>
      </c>
      <c r="R3" s="78" t="s">
        <v>17</v>
      </c>
      <c r="S3" s="78" t="s">
        <v>18</v>
      </c>
      <c r="T3" s="77" t="s">
        <v>19</v>
      </c>
      <c r="U3" s="73" t="s">
        <v>20</v>
      </c>
      <c r="V3" s="77" t="s">
        <v>21</v>
      </c>
      <c r="W3" s="73" t="s">
        <v>22</v>
      </c>
      <c r="X3" s="73" t="s">
        <v>23</v>
      </c>
      <c r="Y3" s="73" t="s">
        <v>24</v>
      </c>
      <c r="Z3" s="59" t="s">
        <v>25</v>
      </c>
      <c r="AA3" s="79" t="s">
        <v>26</v>
      </c>
      <c r="AB3" s="79" t="s">
        <v>27</v>
      </c>
      <c r="AC3" s="97" t="s">
        <v>28</v>
      </c>
      <c r="AD3" s="323" t="s">
        <v>29</v>
      </c>
      <c r="AE3" s="257" t="s">
        <v>30</v>
      </c>
      <c r="AF3" s="257" t="s">
        <v>31</v>
      </c>
      <c r="AG3" s="257" t="s">
        <v>32</v>
      </c>
    </row>
    <row r="4" spans="1:33">
      <c r="B4" s="11"/>
      <c r="C4" s="11"/>
      <c r="D4" s="2"/>
      <c r="E4" s="4"/>
      <c r="F4" s="82"/>
      <c r="G4" s="80"/>
      <c r="H4" s="81"/>
      <c r="I4" s="81"/>
      <c r="J4" s="81"/>
      <c r="K4" s="82"/>
      <c r="L4" s="83"/>
      <c r="M4" s="84"/>
      <c r="N4" s="84"/>
      <c r="O4" s="84"/>
      <c r="P4" s="84"/>
      <c r="Q4" s="85"/>
      <c r="R4" s="85"/>
      <c r="S4" s="85"/>
      <c r="T4" s="86"/>
      <c r="U4" s="86"/>
      <c r="V4" s="231"/>
      <c r="W4" s="86"/>
      <c r="X4" s="86"/>
      <c r="Y4" s="86"/>
      <c r="Z4" s="60"/>
      <c r="AA4" s="145"/>
      <c r="AC4" s="82"/>
    </row>
    <row r="5" spans="1:33" ht="14.25" customHeight="1">
      <c r="A5" s="2"/>
      <c r="B5" s="11"/>
      <c r="C5" s="11"/>
      <c r="D5" s="2"/>
      <c r="E5" s="4"/>
      <c r="G5" s="6" t="s">
        <v>33</v>
      </c>
      <c r="I5" s="10"/>
      <c r="J5" s="10"/>
      <c r="K5" s="32"/>
      <c r="T5" s="11"/>
      <c r="U5" s="10"/>
      <c r="W5" s="10"/>
      <c r="X5" s="10"/>
      <c r="Y5" s="10"/>
      <c r="Z5" s="61"/>
      <c r="AA5" s="55"/>
    </row>
    <row r="6" spans="1:33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27"/>
      <c r="W6" s="10"/>
      <c r="X6" s="10"/>
      <c r="Y6" s="10"/>
      <c r="Z6" s="61"/>
      <c r="AA6" s="55"/>
    </row>
    <row r="7" spans="1:33" ht="24" customHeight="1">
      <c r="A7" s="2"/>
      <c r="B7" s="11" t="s">
        <v>34</v>
      </c>
      <c r="C7" s="11" t="s">
        <v>35</v>
      </c>
      <c r="D7" s="2">
        <v>550020</v>
      </c>
      <c r="E7" s="4" t="s">
        <v>33</v>
      </c>
      <c r="F7" s="4" t="s">
        <v>36</v>
      </c>
      <c r="G7" s="14" t="s">
        <v>37</v>
      </c>
      <c r="H7" s="18">
        <v>2011</v>
      </c>
      <c r="I7" s="10">
        <f>H7</f>
        <v>2011</v>
      </c>
      <c r="J7" s="10">
        <v>2000</v>
      </c>
      <c r="K7" s="4" t="s">
        <v>38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99">
        <f>T7/H7</f>
        <v>50.024863252113377</v>
      </c>
      <c r="Y7" s="10" t="s">
        <v>39</v>
      </c>
      <c r="Z7" s="61"/>
      <c r="AA7" s="19">
        <v>1825000</v>
      </c>
      <c r="AB7" s="55" t="s">
        <v>40</v>
      </c>
      <c r="AC7" s="4" t="s">
        <v>41</v>
      </c>
    </row>
    <row r="8" spans="1:33" ht="14.25" customHeight="1">
      <c r="A8" s="2"/>
      <c r="B8" s="11"/>
      <c r="C8" s="11"/>
      <c r="D8" s="2"/>
      <c r="E8" s="4"/>
      <c r="F8" s="92" t="s">
        <v>42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33"/>
      <c r="Z8" s="63"/>
      <c r="AA8" s="260"/>
      <c r="AB8" s="109"/>
    </row>
    <row r="9" spans="1:33" ht="14.25" customHeight="1">
      <c r="A9" s="2"/>
      <c r="B9" s="11"/>
      <c r="C9" s="11"/>
      <c r="D9" s="2"/>
      <c r="E9" s="4"/>
      <c r="G9" s="6" t="s">
        <v>43</v>
      </c>
      <c r="I9" s="10"/>
      <c r="J9" s="10"/>
      <c r="K9" s="32"/>
      <c r="T9" s="11"/>
      <c r="U9" s="10"/>
      <c r="V9" s="11"/>
      <c r="W9" s="10"/>
      <c r="X9" s="10"/>
      <c r="Y9" s="10"/>
      <c r="Z9" s="61"/>
      <c r="AA9" s="55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5"/>
      <c r="AA10" s="55"/>
      <c r="AB10" s="14"/>
    </row>
    <row r="11" spans="1:33" ht="24.75" customHeight="1">
      <c r="A11" s="2"/>
      <c r="B11" s="11" t="s">
        <v>44</v>
      </c>
      <c r="C11" s="11" t="s">
        <v>35</v>
      </c>
      <c r="D11" s="2">
        <v>550910</v>
      </c>
      <c r="E11" s="4" t="s">
        <v>43</v>
      </c>
      <c r="F11" s="4" t="s">
        <v>45</v>
      </c>
      <c r="G11" s="14" t="s">
        <v>46</v>
      </c>
      <c r="H11" s="7">
        <v>2333</v>
      </c>
      <c r="I11" s="10">
        <f>H11</f>
        <v>2333</v>
      </c>
      <c r="J11" s="10">
        <v>2000</v>
      </c>
      <c r="K11" s="4" t="s">
        <v>47</v>
      </c>
      <c r="L11" s="9">
        <v>45736</v>
      </c>
      <c r="M11" s="9">
        <v>47561</v>
      </c>
      <c r="P11" s="9">
        <v>46831</v>
      </c>
      <c r="Q11" s="7">
        <v>0</v>
      </c>
      <c r="R11" s="10">
        <f>Q11</f>
        <v>0</v>
      </c>
      <c r="T11" s="7">
        <v>110000</v>
      </c>
      <c r="U11" s="10">
        <f>T11</f>
        <v>110000</v>
      </c>
      <c r="V11" s="7">
        <v>108100</v>
      </c>
      <c r="W11" s="10">
        <f>V11</f>
        <v>108100</v>
      </c>
      <c r="X11" s="299">
        <f>T11/H11</f>
        <v>47.149592798971284</v>
      </c>
      <c r="Y11" s="10" t="s">
        <v>39</v>
      </c>
      <c r="Z11" s="61"/>
      <c r="AA11" s="55"/>
      <c r="AB11" s="14" t="s">
        <v>40</v>
      </c>
      <c r="AC11" s="4" t="s">
        <v>48</v>
      </c>
      <c r="AD11" s="324"/>
      <c r="AE11" s="4">
        <v>1</v>
      </c>
      <c r="AF11" s="300">
        <v>3</v>
      </c>
    </row>
    <row r="12" spans="1:33" ht="14.25" customHeight="1">
      <c r="A12" s="2"/>
      <c r="B12" s="11"/>
      <c r="C12" s="11" t="s">
        <v>35</v>
      </c>
      <c r="D12" s="2"/>
      <c r="E12" s="4"/>
      <c r="L12" s="9"/>
      <c r="Q12" s="7"/>
      <c r="R12" s="7"/>
      <c r="S12" s="7"/>
      <c r="T12" s="7"/>
      <c r="U12" s="7"/>
      <c r="V12" s="7"/>
      <c r="W12" s="7"/>
      <c r="X12" s="7"/>
      <c r="Y12" s="7"/>
      <c r="Z12" s="65"/>
      <c r="AA12" s="55"/>
      <c r="AB12" s="14"/>
      <c r="AF12" s="300"/>
    </row>
    <row r="13" spans="1:33" ht="14.25" customHeight="1">
      <c r="A13" s="2"/>
      <c r="B13" s="11"/>
      <c r="C13" s="11" t="s">
        <v>35</v>
      </c>
      <c r="D13" s="2"/>
      <c r="E13" s="4"/>
      <c r="F13" s="92" t="s">
        <v>49</v>
      </c>
      <c r="H13" s="18">
        <f>SUM(H11:H11)</f>
        <v>2333</v>
      </c>
      <c r="I13" s="18"/>
      <c r="J13" s="18"/>
      <c r="L13" s="9"/>
      <c r="Q13" s="18">
        <f>SUM(Q11:Q11)</f>
        <v>0</v>
      </c>
      <c r="R13" s="18"/>
      <c r="S13" s="19">
        <f>SUM(R10:R11)</f>
        <v>0</v>
      </c>
      <c r="T13" s="18">
        <f>SUM(T11:T11)</f>
        <v>110000</v>
      </c>
      <c r="U13" s="18"/>
      <c r="V13" s="18">
        <f>SUM(V11:V11)</f>
        <v>108100</v>
      </c>
      <c r="W13" s="18"/>
      <c r="X13" s="18"/>
      <c r="Y13" s="18"/>
      <c r="Z13" s="64"/>
      <c r="AA13" s="18">
        <v>14850000</v>
      </c>
      <c r="AB13" s="14"/>
      <c r="AE13" s="29"/>
      <c r="AF13" s="301"/>
      <c r="AG13" s="29"/>
    </row>
    <row r="14" spans="1:33" ht="14.25" customHeight="1">
      <c r="A14" s="2"/>
      <c r="B14" s="11"/>
      <c r="C14" s="11" t="s">
        <v>35</v>
      </c>
      <c r="D14" s="2"/>
      <c r="E14" s="4"/>
      <c r="F14" s="92"/>
      <c r="H14" s="18"/>
      <c r="I14" s="18"/>
      <c r="J14" s="18"/>
      <c r="L14" s="9"/>
      <c r="Q14" s="18"/>
      <c r="R14" s="18"/>
      <c r="S14" s="19"/>
      <c r="T14" s="18"/>
      <c r="U14" s="18"/>
      <c r="V14" s="18"/>
      <c r="W14" s="18"/>
      <c r="X14" s="18"/>
      <c r="Y14" s="18"/>
      <c r="Z14" s="64"/>
      <c r="AA14" s="54"/>
      <c r="AB14" s="14"/>
      <c r="AF14" s="300"/>
    </row>
    <row r="15" spans="1:33" ht="14.25" customHeight="1">
      <c r="A15" s="2"/>
      <c r="B15" s="11"/>
      <c r="C15" s="11" t="s">
        <v>35</v>
      </c>
      <c r="D15" s="2"/>
      <c r="E15" s="4"/>
      <c r="G15" s="6" t="s">
        <v>50</v>
      </c>
      <c r="I15" s="10"/>
      <c r="J15" s="10"/>
      <c r="K15" s="32"/>
      <c r="T15" s="11"/>
      <c r="U15" s="10"/>
      <c r="V15" s="11"/>
      <c r="W15" s="10"/>
      <c r="X15" s="10"/>
      <c r="Y15" s="10"/>
      <c r="Z15" s="61"/>
      <c r="AA15" s="55"/>
      <c r="AB15" s="14"/>
      <c r="AF15" s="300"/>
    </row>
    <row r="16" spans="1:33" ht="14.25" customHeight="1">
      <c r="A16" s="2"/>
      <c r="B16" s="11"/>
      <c r="C16" s="11" t="s">
        <v>35</v>
      </c>
      <c r="D16" s="2"/>
      <c r="E16" s="4"/>
      <c r="L16" s="9"/>
      <c r="Q16" s="7"/>
      <c r="R16" s="7"/>
      <c r="S16" s="7"/>
      <c r="T16" s="7"/>
      <c r="U16" s="7"/>
      <c r="V16" s="7"/>
      <c r="W16" s="7"/>
      <c r="X16" s="7"/>
      <c r="Y16" s="7"/>
      <c r="Z16" s="65"/>
      <c r="AA16" s="55"/>
      <c r="AB16" s="14"/>
      <c r="AF16" s="300"/>
    </row>
    <row r="17" spans="1:33" ht="22.5" customHeight="1">
      <c r="A17" s="2"/>
      <c r="B17" s="11" t="s">
        <v>44</v>
      </c>
      <c r="C17" s="11" t="s">
        <v>35</v>
      </c>
      <c r="D17" s="2">
        <v>550920</v>
      </c>
      <c r="E17" s="4" t="s">
        <v>50</v>
      </c>
      <c r="F17" s="4" t="s">
        <v>51</v>
      </c>
      <c r="G17" s="14" t="s">
        <v>52</v>
      </c>
      <c r="H17" s="7">
        <v>2940</v>
      </c>
      <c r="I17" s="10">
        <f>H17</f>
        <v>2940</v>
      </c>
      <c r="J17" s="10">
        <v>3000</v>
      </c>
      <c r="K17" s="4" t="s">
        <v>53</v>
      </c>
      <c r="L17" s="9">
        <v>45649</v>
      </c>
      <c r="M17" s="9">
        <v>46743</v>
      </c>
      <c r="P17" s="9">
        <v>46013</v>
      </c>
      <c r="Q17" s="7">
        <v>132000</v>
      </c>
      <c r="R17" s="10">
        <f>Q17</f>
        <v>132000</v>
      </c>
      <c r="T17" s="7">
        <v>114600</v>
      </c>
      <c r="U17" s="10">
        <f>T17</f>
        <v>114600</v>
      </c>
      <c r="V17" s="7">
        <v>124500</v>
      </c>
      <c r="W17" s="10">
        <f>V17</f>
        <v>124500</v>
      </c>
      <c r="X17" s="299">
        <f>T17/H17</f>
        <v>38.979591836734691</v>
      </c>
      <c r="Y17" s="10" t="s">
        <v>39</v>
      </c>
      <c r="Z17" s="61"/>
      <c r="AA17" s="55"/>
      <c r="AB17" s="14" t="s">
        <v>40</v>
      </c>
      <c r="AC17" s="4" t="s">
        <v>54</v>
      </c>
      <c r="AF17" s="300"/>
    </row>
    <row r="18" spans="1:33" ht="14.25" customHeight="1">
      <c r="A18" s="2"/>
      <c r="B18" s="11"/>
      <c r="C18" s="11" t="s">
        <v>35</v>
      </c>
      <c r="D18" s="2"/>
      <c r="E18" s="4"/>
      <c r="F18" s="92"/>
      <c r="H18" s="18"/>
      <c r="I18" s="18"/>
      <c r="J18" s="18"/>
      <c r="L18" s="9"/>
      <c r="Q18" s="18"/>
      <c r="R18" s="18"/>
      <c r="S18" s="19"/>
      <c r="T18" s="18"/>
      <c r="U18" s="18"/>
      <c r="V18" s="18"/>
      <c r="W18" s="18"/>
      <c r="X18" s="18"/>
      <c r="Y18" s="18"/>
      <c r="Z18" s="64"/>
      <c r="AA18" s="54"/>
      <c r="AB18" s="14"/>
      <c r="AF18" s="300"/>
    </row>
    <row r="19" spans="1:33" ht="14.25" customHeight="1">
      <c r="A19" s="2"/>
      <c r="B19" s="11"/>
      <c r="C19" s="11" t="s">
        <v>35</v>
      </c>
      <c r="D19" s="2"/>
      <c r="E19" s="4"/>
      <c r="G19" s="6" t="s">
        <v>55</v>
      </c>
      <c r="I19" s="10"/>
      <c r="J19" s="10"/>
      <c r="K19" s="32"/>
      <c r="T19" s="11"/>
      <c r="U19" s="10"/>
      <c r="V19" s="11"/>
      <c r="W19" s="10"/>
      <c r="X19" s="10"/>
      <c r="Y19" s="10"/>
      <c r="Z19" s="61"/>
      <c r="AA19" s="55"/>
      <c r="AB19" s="14"/>
      <c r="AF19" s="300"/>
    </row>
    <row r="20" spans="1:33" ht="14.25" customHeight="1">
      <c r="A20" s="2"/>
      <c r="B20" s="11"/>
      <c r="C20" s="11" t="s">
        <v>35</v>
      </c>
      <c r="D20" s="2"/>
      <c r="E20" s="4"/>
      <c r="G20" s="6"/>
      <c r="I20" s="10"/>
      <c r="J20" s="10"/>
      <c r="K20" s="32"/>
      <c r="T20" s="11"/>
      <c r="U20" s="10"/>
      <c r="V20" s="11"/>
      <c r="W20" s="10"/>
      <c r="X20" s="10"/>
      <c r="Y20" s="10"/>
      <c r="Z20" s="61"/>
      <c r="AA20" s="55"/>
      <c r="AB20" s="14"/>
      <c r="AF20" s="300"/>
    </row>
    <row r="21" spans="1:33">
      <c r="A21" s="2"/>
      <c r="B21" s="11" t="s">
        <v>44</v>
      </c>
      <c r="C21" s="11" t="s">
        <v>35</v>
      </c>
      <c r="D21" s="2">
        <v>550930</v>
      </c>
      <c r="E21" s="4" t="s">
        <v>55</v>
      </c>
      <c r="F21" s="4" t="s">
        <v>51</v>
      </c>
      <c r="G21" s="14" t="s">
        <v>56</v>
      </c>
      <c r="H21" s="7">
        <v>3668</v>
      </c>
      <c r="I21" s="10">
        <f>H21</f>
        <v>3668</v>
      </c>
      <c r="J21" s="10">
        <v>3500</v>
      </c>
      <c r="K21" s="4" t="s">
        <v>57</v>
      </c>
      <c r="L21" s="9">
        <v>44757</v>
      </c>
      <c r="M21" s="9">
        <v>48409</v>
      </c>
      <c r="O21" s="9">
        <v>46583</v>
      </c>
      <c r="Q21" s="7">
        <v>170000</v>
      </c>
      <c r="R21" s="10">
        <f>Q21</f>
        <v>170000</v>
      </c>
      <c r="T21" s="7">
        <v>170000</v>
      </c>
      <c r="U21" s="10">
        <f>T21</f>
        <v>170000</v>
      </c>
      <c r="V21" s="7">
        <v>170000</v>
      </c>
      <c r="W21" s="10">
        <f>V21</f>
        <v>170000</v>
      </c>
      <c r="X21" s="299">
        <f>T21/H21</f>
        <v>46.346782988004364</v>
      </c>
      <c r="Y21" s="10" t="s">
        <v>58</v>
      </c>
      <c r="Z21" s="61"/>
      <c r="AA21" s="55"/>
      <c r="AB21" s="14" t="s">
        <v>40</v>
      </c>
      <c r="AF21" s="300"/>
    </row>
    <row r="22" spans="1:33" ht="14.25" customHeight="1">
      <c r="A22" s="2"/>
      <c r="B22" s="11"/>
      <c r="C22" s="11" t="s">
        <v>35</v>
      </c>
      <c r="D22" s="2"/>
      <c r="E22" s="4"/>
      <c r="H22" s="18"/>
      <c r="I22" s="18"/>
      <c r="J22" s="18"/>
      <c r="L22" s="9"/>
      <c r="Q22" s="18"/>
      <c r="R22" s="18"/>
      <c r="S22" s="18"/>
      <c r="T22" s="18"/>
      <c r="U22" s="18"/>
      <c r="V22" s="18"/>
      <c r="W22" s="18"/>
      <c r="X22" s="18"/>
      <c r="Y22" s="18"/>
      <c r="Z22" s="64"/>
      <c r="AA22" s="55"/>
      <c r="AB22" s="14"/>
      <c r="AF22" s="300"/>
    </row>
    <row r="23" spans="1:33" ht="14.25" customHeight="1">
      <c r="A23" s="2"/>
      <c r="B23" s="11"/>
      <c r="C23" s="11" t="s">
        <v>35</v>
      </c>
      <c r="D23" s="2"/>
      <c r="E23" s="4"/>
      <c r="G23" s="12" t="s">
        <v>59</v>
      </c>
      <c r="I23" s="10"/>
      <c r="J23" s="10"/>
      <c r="T23" s="10"/>
      <c r="U23" s="10"/>
      <c r="V23" s="10"/>
      <c r="W23" s="10"/>
      <c r="X23" s="10"/>
      <c r="Y23" s="10"/>
      <c r="Z23" s="61"/>
      <c r="AA23" s="55"/>
      <c r="AF23" s="300"/>
    </row>
    <row r="24" spans="1:33" ht="14.25" customHeight="1">
      <c r="A24" s="2"/>
      <c r="B24" s="11"/>
      <c r="C24" s="11" t="s">
        <v>35</v>
      </c>
      <c r="D24" s="2"/>
      <c r="E24" s="4"/>
      <c r="G24" s="12"/>
      <c r="I24" s="10"/>
      <c r="J24" s="10"/>
      <c r="T24" s="10"/>
      <c r="U24" s="10"/>
      <c r="V24" s="10"/>
      <c r="W24" s="10"/>
      <c r="X24" s="10"/>
      <c r="Y24" s="10"/>
      <c r="Z24" s="61"/>
      <c r="AA24" s="55"/>
      <c r="AF24" s="300"/>
    </row>
    <row r="25" spans="1:33" ht="24" customHeight="1">
      <c r="A25" s="2"/>
      <c r="B25" s="11" t="s">
        <v>60</v>
      </c>
      <c r="C25" s="11" t="s">
        <v>35</v>
      </c>
      <c r="D25" s="2">
        <v>550560</v>
      </c>
      <c r="E25" s="37" t="s">
        <v>59</v>
      </c>
      <c r="F25" s="37" t="s">
        <v>61</v>
      </c>
      <c r="G25" s="14" t="s">
        <v>37</v>
      </c>
      <c r="H25" s="18">
        <v>12578</v>
      </c>
      <c r="I25" s="10">
        <f>H25</f>
        <v>12578</v>
      </c>
      <c r="J25" s="10">
        <v>12500</v>
      </c>
      <c r="K25" s="4" t="s">
        <v>62</v>
      </c>
      <c r="L25" s="8">
        <v>44771</v>
      </c>
      <c r="M25" s="9">
        <v>50249</v>
      </c>
      <c r="O25" s="9">
        <v>46597</v>
      </c>
      <c r="P25" s="9">
        <v>48423</v>
      </c>
      <c r="Q25" s="19">
        <v>633334</v>
      </c>
      <c r="R25" s="10">
        <f>Q25</f>
        <v>633334</v>
      </c>
      <c r="S25" s="19">
        <f>R25</f>
        <v>633334</v>
      </c>
      <c r="T25" s="19">
        <v>950000</v>
      </c>
      <c r="U25" s="10">
        <f>T25</f>
        <v>950000</v>
      </c>
      <c r="V25" s="19">
        <v>950000</v>
      </c>
      <c r="W25" s="10">
        <f>V25</f>
        <v>950000</v>
      </c>
      <c r="X25" s="299">
        <f>T25/H25</f>
        <v>75.528700906344412</v>
      </c>
      <c r="Y25" s="10" t="s">
        <v>39</v>
      </c>
      <c r="Z25" s="61"/>
      <c r="AA25" s="18">
        <v>17050000</v>
      </c>
      <c r="AB25" s="28" t="s">
        <v>40</v>
      </c>
      <c r="AC25" s="37" t="s">
        <v>63</v>
      </c>
      <c r="AD25" s="325"/>
      <c r="AE25" s="37"/>
      <c r="AF25" s="302"/>
      <c r="AG25" s="37"/>
    </row>
    <row r="26" spans="1:33" ht="14.25" customHeight="1">
      <c r="A26" s="2"/>
      <c r="B26" s="11"/>
      <c r="C26" s="11" t="s">
        <v>35</v>
      </c>
      <c r="D26" s="2"/>
      <c r="E26" s="4"/>
      <c r="F26" s="93" t="s">
        <v>64</v>
      </c>
      <c r="H26" s="33">
        <f>SUM(H25:H25)</f>
        <v>12578</v>
      </c>
      <c r="I26" s="18"/>
      <c r="J26" s="18"/>
      <c r="K26" s="34"/>
      <c r="L26" s="35"/>
      <c r="M26" s="36"/>
      <c r="N26" s="36"/>
      <c r="O26" s="36"/>
      <c r="Q26" s="33">
        <f>SUM(Q25:Q25)</f>
        <v>633334</v>
      </c>
      <c r="R26" s="33"/>
      <c r="S26" s="33"/>
      <c r="T26" s="33">
        <f>SUM(T25:T25)</f>
        <v>950000</v>
      </c>
      <c r="U26" s="33"/>
      <c r="V26" s="33">
        <f>SUM(V25:V25)</f>
        <v>950000</v>
      </c>
      <c r="W26" s="33"/>
      <c r="X26" s="33"/>
      <c r="Y26" s="33"/>
      <c r="Z26" s="63"/>
      <c r="AA26" s="260"/>
      <c r="AB26" s="109"/>
      <c r="AF26" s="300"/>
    </row>
    <row r="27" spans="1:33" ht="14.25" customHeight="1">
      <c r="A27" s="2"/>
      <c r="B27" s="11"/>
      <c r="C27" s="11" t="s">
        <v>35</v>
      </c>
      <c r="D27" s="2"/>
      <c r="E27" s="4"/>
      <c r="G27" s="6" t="s">
        <v>65</v>
      </c>
      <c r="I27" s="10"/>
      <c r="J27" s="10"/>
      <c r="K27" s="32"/>
      <c r="P27" s="36"/>
      <c r="T27" s="11"/>
      <c r="U27" s="10"/>
      <c r="V27" s="11"/>
      <c r="W27" s="10"/>
      <c r="X27" s="10"/>
      <c r="Y27" s="10"/>
      <c r="Z27" s="61"/>
      <c r="AA27" s="55"/>
      <c r="AF27" s="300"/>
    </row>
    <row r="28" spans="1:33" ht="14.25" customHeight="1">
      <c r="A28" s="2"/>
      <c r="B28" s="11"/>
      <c r="C28" s="11" t="s">
        <v>35</v>
      </c>
      <c r="D28" s="2"/>
      <c r="E28" s="4"/>
      <c r="I28" s="10"/>
      <c r="J28" s="10"/>
      <c r="T28" s="10"/>
      <c r="U28" s="10"/>
      <c r="V28" s="10"/>
      <c r="W28" s="10"/>
      <c r="X28" s="10"/>
      <c r="Y28" s="10"/>
      <c r="Z28" s="61"/>
      <c r="AA28" s="55"/>
      <c r="AF28" s="300"/>
    </row>
    <row r="29" spans="1:33">
      <c r="A29" s="2"/>
      <c r="B29" s="11" t="s">
        <v>44</v>
      </c>
      <c r="C29" s="11" t="s">
        <v>35</v>
      </c>
      <c r="D29" s="2">
        <v>550070</v>
      </c>
      <c r="E29" s="4" t="s">
        <v>65</v>
      </c>
      <c r="F29" s="4" t="s">
        <v>66</v>
      </c>
      <c r="G29" s="14" t="s">
        <v>67</v>
      </c>
      <c r="H29" s="7">
        <v>2235</v>
      </c>
      <c r="I29" s="10">
        <f>H29</f>
        <v>2235</v>
      </c>
      <c r="J29" s="10">
        <v>2000</v>
      </c>
      <c r="K29" s="29" t="s">
        <v>68</v>
      </c>
      <c r="L29" s="30"/>
      <c r="M29" s="31"/>
      <c r="N29" s="31">
        <v>45754</v>
      </c>
      <c r="O29" s="31"/>
      <c r="P29" s="31"/>
      <c r="Q29" s="27">
        <v>0</v>
      </c>
      <c r="R29" s="10">
        <f>Q29</f>
        <v>0</v>
      </c>
      <c r="T29" s="10">
        <v>143000</v>
      </c>
      <c r="U29" s="10">
        <f>T29</f>
        <v>143000</v>
      </c>
      <c r="V29" s="10">
        <v>145000</v>
      </c>
      <c r="W29" s="10">
        <f>V29</f>
        <v>145000</v>
      </c>
      <c r="X29" s="299">
        <f>T29/H29</f>
        <v>63.982102908277405</v>
      </c>
      <c r="Y29" s="10" t="s">
        <v>69</v>
      </c>
      <c r="Z29" s="61"/>
      <c r="AA29" s="55"/>
      <c r="AB29" s="14" t="s">
        <v>40</v>
      </c>
      <c r="AC29" s="29" t="s">
        <v>70</v>
      </c>
      <c r="AF29" s="300"/>
    </row>
    <row r="30" spans="1:33" ht="14.25" customHeight="1">
      <c r="A30" s="2"/>
      <c r="B30" s="11"/>
      <c r="C30" s="11" t="s">
        <v>35</v>
      </c>
      <c r="D30" s="2"/>
      <c r="E30" s="4"/>
      <c r="H30" s="18"/>
      <c r="I30" s="10"/>
      <c r="J30" s="10"/>
      <c r="Q30" s="19"/>
      <c r="R30" s="19"/>
      <c r="S30" s="19"/>
      <c r="T30" s="19"/>
      <c r="U30" s="19"/>
      <c r="V30" s="19"/>
      <c r="W30" s="19"/>
      <c r="X30" s="19"/>
      <c r="Y30" s="19"/>
      <c r="Z30" s="62"/>
      <c r="AA30" s="55"/>
      <c r="AB30" s="14"/>
      <c r="AF30" s="300"/>
    </row>
    <row r="31" spans="1:33" ht="14.25" customHeight="1">
      <c r="A31" s="2"/>
      <c r="B31" s="11"/>
      <c r="C31" s="11" t="s">
        <v>35</v>
      </c>
      <c r="D31" s="2"/>
      <c r="E31" s="4"/>
      <c r="F31" s="92" t="s">
        <v>71</v>
      </c>
      <c r="H31" s="18">
        <f>SUM(H29:H29)</f>
        <v>2235</v>
      </c>
      <c r="I31" s="19"/>
      <c r="J31" s="19"/>
      <c r="Q31" s="38">
        <f>SUM(Q29:Q29)</f>
        <v>0</v>
      </c>
      <c r="R31" s="19"/>
      <c r="S31" s="19">
        <f>SUM(R29:R29)</f>
        <v>0</v>
      </c>
      <c r="T31" s="19">
        <f>SUM(T29:T29)</f>
        <v>143000</v>
      </c>
      <c r="U31" s="19"/>
      <c r="V31" s="19">
        <f>SUM(V29:V29)</f>
        <v>145000</v>
      </c>
      <c r="W31" s="19"/>
      <c r="X31" s="19"/>
      <c r="Y31" s="19"/>
      <c r="Z31" s="62"/>
      <c r="AA31" s="18">
        <v>4750000</v>
      </c>
      <c r="AB31" s="14"/>
      <c r="AE31" s="29"/>
      <c r="AF31" s="301"/>
      <c r="AG31" s="29"/>
    </row>
    <row r="32" spans="1:33" ht="14.25" customHeight="1">
      <c r="A32" s="2"/>
      <c r="B32" s="11"/>
      <c r="C32" s="11" t="s">
        <v>35</v>
      </c>
      <c r="D32" s="2"/>
      <c r="E32" s="4"/>
      <c r="F32" s="34"/>
      <c r="H32" s="18"/>
      <c r="I32" s="19"/>
      <c r="J32" s="19"/>
      <c r="Q32" s="19"/>
      <c r="R32" s="19"/>
      <c r="S32" s="19"/>
      <c r="T32" s="19"/>
      <c r="U32" s="19"/>
      <c r="V32" s="19"/>
      <c r="W32" s="19"/>
      <c r="X32" s="19"/>
      <c r="Y32" s="19"/>
      <c r="Z32" s="62"/>
      <c r="AA32" s="54"/>
      <c r="AB32" s="14"/>
      <c r="AF32" s="300"/>
    </row>
    <row r="33" spans="1:33" ht="14.25" customHeight="1">
      <c r="A33" s="2"/>
      <c r="B33" s="11"/>
      <c r="C33" s="11" t="s">
        <v>35</v>
      </c>
      <c r="D33" s="2"/>
      <c r="E33" s="4"/>
      <c r="G33" s="6" t="s">
        <v>72</v>
      </c>
      <c r="I33" s="10"/>
      <c r="J33" s="10"/>
      <c r="K33" s="32"/>
      <c r="T33" s="11"/>
      <c r="U33" s="10"/>
      <c r="V33" s="11"/>
      <c r="W33" s="10"/>
      <c r="X33" s="10"/>
      <c r="Y33" s="10"/>
      <c r="Z33" s="61"/>
      <c r="AA33" s="55"/>
      <c r="AB33" s="14"/>
      <c r="AF33" s="300"/>
    </row>
    <row r="34" spans="1:33" ht="14.25" customHeight="1">
      <c r="A34" s="2"/>
      <c r="B34" s="11"/>
      <c r="C34" s="11" t="s">
        <v>35</v>
      </c>
      <c r="D34" s="2"/>
      <c r="E34" s="4"/>
      <c r="G34" s="6"/>
      <c r="H34" s="131"/>
      <c r="I34" s="10"/>
      <c r="J34" s="10"/>
      <c r="K34" s="123"/>
      <c r="L34" s="127"/>
      <c r="T34" s="10"/>
      <c r="U34" s="10"/>
      <c r="V34" s="10"/>
      <c r="W34" s="10"/>
      <c r="X34" s="10"/>
      <c r="Y34" s="10"/>
      <c r="Z34" s="61"/>
      <c r="AA34" s="55"/>
      <c r="AB34" s="14"/>
      <c r="AF34" s="300"/>
    </row>
    <row r="35" spans="1:33" ht="24" customHeight="1">
      <c r="A35" s="2"/>
      <c r="B35" s="11" t="s">
        <v>44</v>
      </c>
      <c r="C35" s="11" t="s">
        <v>35</v>
      </c>
      <c r="D35" s="2">
        <v>550470</v>
      </c>
      <c r="E35" s="4" t="s">
        <v>72</v>
      </c>
      <c r="F35" s="4" t="s">
        <v>73</v>
      </c>
      <c r="G35" s="14" t="s">
        <v>74</v>
      </c>
      <c r="H35" s="7">
        <v>2945</v>
      </c>
      <c r="I35" s="7">
        <f>H35</f>
        <v>2945</v>
      </c>
      <c r="J35" s="7">
        <v>3000</v>
      </c>
      <c r="K35" s="4" t="s">
        <v>75</v>
      </c>
      <c r="L35" s="8">
        <v>41457</v>
      </c>
      <c r="M35" s="9">
        <v>46935</v>
      </c>
      <c r="O35" s="9">
        <v>45109</v>
      </c>
      <c r="Q35" s="10">
        <v>147500</v>
      </c>
      <c r="R35" s="10">
        <f>Q35</f>
        <v>147500</v>
      </c>
      <c r="T35" s="10">
        <v>147500</v>
      </c>
      <c r="U35" s="10">
        <f>T35</f>
        <v>147500</v>
      </c>
      <c r="V35" s="10">
        <v>147500</v>
      </c>
      <c r="W35" s="10">
        <f>V35</f>
        <v>147500</v>
      </c>
      <c r="X35" s="299">
        <f>T35/H35</f>
        <v>50.084889643463498</v>
      </c>
      <c r="Y35" s="10" t="s">
        <v>76</v>
      </c>
      <c r="Z35" s="61"/>
      <c r="AA35" s="55"/>
      <c r="AB35" s="14" t="s">
        <v>40</v>
      </c>
      <c r="AC35" s="4" t="s">
        <v>77</v>
      </c>
      <c r="AF35" s="300"/>
    </row>
    <row r="36" spans="1:33" ht="18" customHeight="1">
      <c r="A36" s="2"/>
      <c r="B36" s="11" t="s">
        <v>44</v>
      </c>
      <c r="C36" s="11" t="s">
        <v>35</v>
      </c>
      <c r="D36" s="2">
        <v>550470</v>
      </c>
      <c r="E36" s="4" t="s">
        <v>72</v>
      </c>
      <c r="F36" s="37" t="s">
        <v>78</v>
      </c>
      <c r="G36" s="28" t="s">
        <v>79</v>
      </c>
      <c r="H36" s="7">
        <v>2103</v>
      </c>
      <c r="I36" s="7">
        <f>H36</f>
        <v>2103</v>
      </c>
      <c r="J36" s="7">
        <v>2000</v>
      </c>
      <c r="K36" s="4" t="s">
        <v>80</v>
      </c>
      <c r="L36" s="8">
        <v>45669</v>
      </c>
      <c r="M36" s="9">
        <v>51146</v>
      </c>
      <c r="O36" s="9">
        <v>47495</v>
      </c>
      <c r="P36" s="9">
        <v>49320</v>
      </c>
      <c r="Q36" s="10">
        <v>220000</v>
      </c>
      <c r="R36" s="10">
        <f>Q36</f>
        <v>220000</v>
      </c>
      <c r="T36" s="10">
        <v>176200</v>
      </c>
      <c r="U36" s="10">
        <f>T36</f>
        <v>176200</v>
      </c>
      <c r="V36" s="10">
        <v>220000</v>
      </c>
      <c r="W36" s="10">
        <f>V36</f>
        <v>220000</v>
      </c>
      <c r="X36" s="299">
        <f>T36/H36</f>
        <v>83.785068949120301</v>
      </c>
      <c r="Y36" s="10" t="s">
        <v>58</v>
      </c>
      <c r="Z36" s="61"/>
      <c r="AA36" s="55"/>
      <c r="AB36" s="14" t="s">
        <v>40</v>
      </c>
      <c r="AC36" s="4" t="s">
        <v>81</v>
      </c>
      <c r="AF36" s="300"/>
    </row>
    <row r="37" spans="1:33" ht="36" customHeight="1">
      <c r="A37" s="2"/>
      <c r="B37" s="11" t="s">
        <v>44</v>
      </c>
      <c r="C37" s="11" t="s">
        <v>35</v>
      </c>
      <c r="D37" s="2">
        <v>550470</v>
      </c>
      <c r="E37" s="4" t="s">
        <v>72</v>
      </c>
      <c r="F37" s="37" t="s">
        <v>82</v>
      </c>
      <c r="G37" s="14" t="s">
        <v>83</v>
      </c>
      <c r="H37" s="7">
        <v>5667</v>
      </c>
      <c r="I37" s="7">
        <f>H37</f>
        <v>5667</v>
      </c>
      <c r="J37" s="7">
        <v>5500</v>
      </c>
      <c r="K37" s="4" t="s">
        <v>84</v>
      </c>
      <c r="L37" s="8">
        <v>45567</v>
      </c>
      <c r="M37" s="9">
        <v>51044</v>
      </c>
      <c r="O37" s="9">
        <v>47393</v>
      </c>
      <c r="Q37" s="10">
        <v>150000</v>
      </c>
      <c r="R37" s="10">
        <f>Q37</f>
        <v>150000</v>
      </c>
      <c r="T37" s="10">
        <v>255000</v>
      </c>
      <c r="U37" s="10">
        <f>T37</f>
        <v>255000</v>
      </c>
      <c r="V37" s="10">
        <v>300000</v>
      </c>
      <c r="W37" s="10">
        <f>V37</f>
        <v>300000</v>
      </c>
      <c r="X37" s="299">
        <f>T37/H37</f>
        <v>44.997353096876651</v>
      </c>
      <c r="Y37" s="10" t="s">
        <v>58</v>
      </c>
      <c r="Z37" s="61"/>
      <c r="AA37" s="55"/>
      <c r="AB37" s="14" t="s">
        <v>40</v>
      </c>
      <c r="AC37" s="4" t="s">
        <v>85</v>
      </c>
      <c r="AF37" s="300"/>
    </row>
    <row r="38" spans="1:33" ht="14.25" customHeight="1">
      <c r="A38" s="2"/>
      <c r="B38" s="11"/>
      <c r="C38" s="11" t="s">
        <v>35</v>
      </c>
      <c r="D38" s="2"/>
      <c r="E38" s="4"/>
      <c r="F38" s="92"/>
      <c r="H38" s="18"/>
      <c r="I38" s="19"/>
      <c r="J38" s="19"/>
      <c r="M38" s="40"/>
      <c r="N38" s="40"/>
      <c r="Q38" s="19"/>
      <c r="R38" s="19"/>
      <c r="S38" s="19"/>
      <c r="T38" s="19"/>
      <c r="U38" s="19"/>
      <c r="V38" s="19"/>
      <c r="W38" s="19"/>
      <c r="X38" s="19"/>
      <c r="Y38" s="19"/>
      <c r="Z38" s="62"/>
      <c r="AA38" s="54"/>
      <c r="AB38" s="14"/>
      <c r="AF38" s="300"/>
    </row>
    <row r="39" spans="1:33" ht="14.25" customHeight="1">
      <c r="A39" s="2"/>
      <c r="B39" s="11"/>
      <c r="C39" s="11" t="s">
        <v>35</v>
      </c>
      <c r="D39" s="2"/>
      <c r="E39" s="4"/>
      <c r="G39" s="6" t="s">
        <v>86</v>
      </c>
      <c r="I39" s="10"/>
      <c r="J39" s="10"/>
      <c r="K39" s="32"/>
      <c r="T39" s="11"/>
      <c r="U39" s="10"/>
      <c r="V39" s="11"/>
      <c r="W39" s="10"/>
      <c r="X39" s="10"/>
      <c r="Y39" s="10"/>
      <c r="Z39" s="61"/>
      <c r="AA39" s="55"/>
      <c r="AB39" s="14"/>
      <c r="AF39" s="300"/>
    </row>
    <row r="40" spans="1:33" ht="14.25" customHeight="1">
      <c r="A40" s="2"/>
      <c r="B40" s="11"/>
      <c r="C40" s="11" t="s">
        <v>35</v>
      </c>
      <c r="D40" s="2"/>
      <c r="E40" s="4"/>
      <c r="G40" s="12"/>
      <c r="I40" s="10"/>
      <c r="J40" s="10"/>
      <c r="K40" s="13"/>
      <c r="L40" s="9"/>
      <c r="T40" s="10"/>
      <c r="U40" s="10"/>
      <c r="V40" s="10"/>
      <c r="W40" s="10"/>
      <c r="X40" s="10"/>
      <c r="Y40" s="10"/>
      <c r="Z40" s="61"/>
      <c r="AA40" s="55"/>
      <c r="AB40" s="14"/>
      <c r="AF40" s="300"/>
    </row>
    <row r="41" spans="1:33" ht="24" customHeight="1">
      <c r="A41" s="2"/>
      <c r="B41" s="11" t="s">
        <v>44</v>
      </c>
      <c r="C41" s="11" t="s">
        <v>35</v>
      </c>
      <c r="D41" s="2">
        <v>550480</v>
      </c>
      <c r="E41" s="4" t="s">
        <v>86</v>
      </c>
      <c r="F41" s="4" t="s">
        <v>87</v>
      </c>
      <c r="G41" s="14" t="s">
        <v>46</v>
      </c>
      <c r="H41" s="7">
        <v>4958</v>
      </c>
      <c r="I41" s="7">
        <f>H41</f>
        <v>4958</v>
      </c>
      <c r="J41" s="7">
        <v>5000</v>
      </c>
      <c r="K41" s="4" t="s">
        <v>88</v>
      </c>
      <c r="L41" s="8">
        <v>45699</v>
      </c>
      <c r="M41" s="9">
        <v>47524</v>
      </c>
      <c r="P41" s="9">
        <v>46793</v>
      </c>
      <c r="Q41" s="10">
        <v>0</v>
      </c>
      <c r="R41" s="10">
        <f>Q41</f>
        <v>0</v>
      </c>
      <c r="T41" s="10">
        <v>337100</v>
      </c>
      <c r="U41" s="10">
        <f>T41</f>
        <v>337100</v>
      </c>
      <c r="V41" s="10">
        <v>380000</v>
      </c>
      <c r="W41" s="10">
        <f>V41</f>
        <v>380000</v>
      </c>
      <c r="X41" s="299">
        <f>T41/H41</f>
        <v>67.991125453812018</v>
      </c>
      <c r="Y41" s="10" t="s">
        <v>58</v>
      </c>
      <c r="Z41" s="61"/>
      <c r="AA41" s="55"/>
      <c r="AB41" s="14" t="s">
        <v>40</v>
      </c>
      <c r="AC41" s="4" t="s">
        <v>89</v>
      </c>
      <c r="AD41" s="322">
        <v>68</v>
      </c>
      <c r="AE41" s="4">
        <v>1</v>
      </c>
      <c r="AF41" s="300">
        <v>13</v>
      </c>
      <c r="AG41" s="4" t="s">
        <v>90</v>
      </c>
    </row>
    <row r="42" spans="1:33" ht="14.25" customHeight="1">
      <c r="A42" s="2"/>
      <c r="B42" s="11"/>
      <c r="C42" s="11" t="s">
        <v>35</v>
      </c>
      <c r="D42" s="2"/>
      <c r="E42" s="4"/>
      <c r="H42" s="18"/>
      <c r="I42" s="19"/>
      <c r="J42" s="19"/>
      <c r="Q42" s="19"/>
      <c r="R42" s="19"/>
      <c r="S42" s="19"/>
      <c r="T42" s="19"/>
      <c r="U42" s="19"/>
      <c r="V42" s="19"/>
      <c r="W42" s="19"/>
      <c r="X42" s="19"/>
      <c r="Y42" s="19"/>
      <c r="Z42" s="62"/>
      <c r="AA42" s="54"/>
      <c r="AB42" s="14"/>
      <c r="AF42" s="300"/>
    </row>
    <row r="43" spans="1:33" ht="14.25" customHeight="1">
      <c r="A43" s="2"/>
      <c r="B43" s="11"/>
      <c r="C43" s="11" t="s">
        <v>35</v>
      </c>
      <c r="D43" s="2"/>
      <c r="E43" s="4"/>
      <c r="G43" s="6" t="s">
        <v>91</v>
      </c>
      <c r="I43" s="10"/>
      <c r="J43" s="10"/>
      <c r="K43" s="32"/>
      <c r="T43" s="11"/>
      <c r="U43" s="10"/>
      <c r="V43" s="11"/>
      <c r="W43" s="10"/>
      <c r="X43" s="10"/>
      <c r="Y43" s="10"/>
      <c r="Z43" s="61"/>
      <c r="AA43" s="55"/>
      <c r="AB43" s="14"/>
      <c r="AF43" s="300"/>
    </row>
    <row r="44" spans="1:33" ht="14.25" customHeight="1">
      <c r="A44" s="2"/>
      <c r="B44" s="11"/>
      <c r="C44" s="11" t="s">
        <v>35</v>
      </c>
      <c r="D44" s="2"/>
      <c r="E44" s="4"/>
      <c r="G44" s="4"/>
      <c r="I44" s="10"/>
      <c r="J44" s="10"/>
      <c r="T44" s="10"/>
      <c r="U44" s="10"/>
      <c r="V44" s="10"/>
      <c r="W44" s="10"/>
      <c r="X44" s="10"/>
      <c r="Y44" s="10"/>
      <c r="Z44" s="61"/>
      <c r="AA44" s="55"/>
      <c r="AB44" s="14"/>
      <c r="AF44" s="300"/>
    </row>
    <row r="45" spans="1:33" ht="24" customHeight="1">
      <c r="A45" s="2"/>
      <c r="B45" s="11" t="s">
        <v>44</v>
      </c>
      <c r="C45" s="11" t="s">
        <v>35</v>
      </c>
      <c r="D45" s="2">
        <v>550530</v>
      </c>
      <c r="E45" s="4" t="s">
        <v>91</v>
      </c>
      <c r="F45" s="4" t="s">
        <v>36</v>
      </c>
      <c r="G45" s="14" t="s">
        <v>92</v>
      </c>
      <c r="H45" s="18">
        <v>9884</v>
      </c>
      <c r="I45" s="10">
        <f>H45</f>
        <v>9884</v>
      </c>
      <c r="J45" s="10">
        <v>10000</v>
      </c>
      <c r="K45" s="4" t="s">
        <v>93</v>
      </c>
      <c r="L45" s="8">
        <v>44856</v>
      </c>
      <c r="M45" s="9">
        <v>47411</v>
      </c>
      <c r="O45" s="9">
        <v>46682</v>
      </c>
      <c r="Q45" s="19">
        <v>580000</v>
      </c>
      <c r="R45" s="10">
        <f>Q45</f>
        <v>580000</v>
      </c>
      <c r="S45" s="19">
        <f>R45</f>
        <v>580000</v>
      </c>
      <c r="T45" s="19">
        <v>580000</v>
      </c>
      <c r="U45" s="10">
        <f>T45</f>
        <v>580000</v>
      </c>
      <c r="V45" s="19">
        <v>607100</v>
      </c>
      <c r="W45" s="10">
        <f>V45</f>
        <v>607100</v>
      </c>
      <c r="X45" s="299">
        <f>T45/H45</f>
        <v>58.680696074463782</v>
      </c>
      <c r="Y45" s="10" t="s">
        <v>58</v>
      </c>
      <c r="Z45" s="61"/>
      <c r="AA45" s="18">
        <v>10650000</v>
      </c>
      <c r="AB45" s="14" t="s">
        <v>94</v>
      </c>
      <c r="AF45" s="300"/>
    </row>
    <row r="46" spans="1:33" ht="14.25" customHeight="1">
      <c r="A46" s="2"/>
      <c r="B46" s="11"/>
      <c r="C46" s="11" t="s">
        <v>35</v>
      </c>
      <c r="D46" s="2"/>
      <c r="E46" s="4"/>
      <c r="F46" s="92" t="s">
        <v>95</v>
      </c>
      <c r="H46" s="33">
        <f>SUM(H45:H45)</f>
        <v>9884</v>
      </c>
      <c r="I46" s="18"/>
      <c r="J46" s="18"/>
      <c r="K46" s="34"/>
      <c r="L46" s="35"/>
      <c r="M46" s="36"/>
      <c r="N46" s="36"/>
      <c r="O46" s="36"/>
      <c r="P46" s="36"/>
      <c r="Q46" s="33">
        <f>SUM(Q45:Q45)</f>
        <v>580000</v>
      </c>
      <c r="R46" s="33"/>
      <c r="S46" s="33"/>
      <c r="T46" s="33">
        <f>SUM(T45:T45)</f>
        <v>580000</v>
      </c>
      <c r="U46" s="33"/>
      <c r="V46" s="33">
        <f>SUM(V45:V45)</f>
        <v>607100</v>
      </c>
      <c r="W46" s="33"/>
      <c r="X46" s="33"/>
      <c r="Y46" s="33"/>
      <c r="Z46" s="63"/>
      <c r="AA46" s="260"/>
      <c r="AB46" s="14"/>
      <c r="AF46" s="300"/>
    </row>
    <row r="47" spans="1:33" ht="14.25" customHeight="1">
      <c r="A47" s="2"/>
      <c r="B47" s="11"/>
      <c r="C47" s="11" t="s">
        <v>35</v>
      </c>
      <c r="D47" s="2"/>
      <c r="E47" s="4"/>
      <c r="I47" s="10"/>
      <c r="J47" s="10"/>
      <c r="T47" s="10"/>
      <c r="U47" s="10"/>
      <c r="V47" s="10"/>
      <c r="W47" s="10"/>
      <c r="X47" s="10"/>
      <c r="Y47" s="10"/>
      <c r="Z47" s="61"/>
      <c r="AA47" s="55"/>
      <c r="AB47" s="14"/>
      <c r="AF47" s="300"/>
    </row>
    <row r="48" spans="1:33" ht="14.25" customHeight="1">
      <c r="A48" s="2"/>
      <c r="B48" s="11"/>
      <c r="C48" s="11" t="s">
        <v>35</v>
      </c>
      <c r="D48" s="2"/>
      <c r="E48" s="4"/>
      <c r="G48" s="6" t="s">
        <v>96</v>
      </c>
      <c r="I48" s="10"/>
      <c r="J48" s="10"/>
      <c r="K48" s="32"/>
      <c r="T48" s="11"/>
      <c r="U48" s="10"/>
      <c r="V48" s="11"/>
      <c r="W48" s="10"/>
      <c r="X48" s="10"/>
      <c r="Y48" s="10"/>
      <c r="Z48" s="61"/>
      <c r="AA48" s="55"/>
      <c r="AB48" s="14"/>
      <c r="AF48" s="300"/>
    </row>
    <row r="49" spans="1:33" ht="14.25" customHeight="1">
      <c r="A49" s="2"/>
      <c r="B49" s="11"/>
      <c r="C49" s="11" t="s">
        <v>35</v>
      </c>
      <c r="D49" s="2"/>
      <c r="E49" s="4"/>
      <c r="G49" s="12"/>
      <c r="H49" s="24"/>
      <c r="I49" s="10"/>
      <c r="J49" s="10"/>
      <c r="K49" s="123"/>
      <c r="L49" s="127"/>
      <c r="M49" s="43"/>
      <c r="N49" s="43"/>
      <c r="O49" s="43"/>
      <c r="P49" s="43"/>
      <c r="T49" s="10"/>
      <c r="U49" s="10"/>
      <c r="V49" s="10"/>
      <c r="W49" s="10"/>
      <c r="X49" s="10"/>
      <c r="Y49" s="10"/>
      <c r="Z49" s="61"/>
      <c r="AA49" s="55"/>
      <c r="AB49" s="14"/>
      <c r="AF49" s="300"/>
    </row>
    <row r="50" spans="1:33">
      <c r="A50" s="2"/>
      <c r="B50" s="11" t="s">
        <v>97</v>
      </c>
      <c r="C50" s="11" t="s">
        <v>35</v>
      </c>
      <c r="D50" s="2">
        <v>550410</v>
      </c>
      <c r="E50" s="4" t="s">
        <v>98</v>
      </c>
      <c r="F50" s="4" t="s">
        <v>99</v>
      </c>
      <c r="G50" s="28" t="s">
        <v>100</v>
      </c>
      <c r="H50" s="7">
        <v>11225</v>
      </c>
      <c r="I50" s="7">
        <f>H50</f>
        <v>11225</v>
      </c>
      <c r="J50" s="7">
        <v>10000</v>
      </c>
      <c r="K50" s="4" t="s">
        <v>101</v>
      </c>
      <c r="L50" s="8">
        <v>44729</v>
      </c>
      <c r="M50" s="9">
        <v>50207</v>
      </c>
      <c r="O50" s="8">
        <v>46555</v>
      </c>
      <c r="P50" s="8">
        <v>48381</v>
      </c>
      <c r="Q50" s="10">
        <v>625000</v>
      </c>
      <c r="R50" s="10">
        <f>Q50</f>
        <v>625000</v>
      </c>
      <c r="T50" s="10">
        <v>750000</v>
      </c>
      <c r="U50" s="10">
        <f>T50</f>
        <v>750000</v>
      </c>
      <c r="V50" s="10">
        <v>650000</v>
      </c>
      <c r="W50" s="10">
        <f>V50</f>
        <v>650000</v>
      </c>
      <c r="X50" s="299">
        <f>T50/H50</f>
        <v>66.815144766147</v>
      </c>
      <c r="Y50" s="10" t="s">
        <v>58</v>
      </c>
      <c r="Z50" s="61"/>
      <c r="AA50" s="54"/>
      <c r="AB50" s="14" t="s">
        <v>40</v>
      </c>
      <c r="AC50" s="4" t="s">
        <v>102</v>
      </c>
    </row>
    <row r="51" spans="1:33" ht="14.25" customHeight="1">
      <c r="A51" s="2"/>
      <c r="B51" s="11"/>
      <c r="C51" s="11" t="s">
        <v>35</v>
      </c>
      <c r="D51" s="2"/>
      <c r="E51" s="4"/>
      <c r="G51" s="51"/>
      <c r="H51" s="18"/>
      <c r="I51" s="19"/>
      <c r="J51" s="19"/>
      <c r="Q51" s="19"/>
      <c r="R51" s="19"/>
      <c r="S51" s="19"/>
      <c r="T51" s="19"/>
      <c r="U51" s="19"/>
      <c r="V51" s="19"/>
      <c r="W51" s="19"/>
      <c r="X51" s="19"/>
      <c r="Y51" s="19"/>
      <c r="Z51" s="62"/>
      <c r="AA51" s="54"/>
      <c r="AB51" s="14"/>
      <c r="AF51" s="300"/>
    </row>
    <row r="52" spans="1:33" ht="14.25" customHeight="1">
      <c r="A52" s="2"/>
      <c r="B52" s="11"/>
      <c r="C52" s="11" t="s">
        <v>35</v>
      </c>
      <c r="D52" s="2"/>
      <c r="E52" s="4"/>
      <c r="G52" s="6" t="s">
        <v>103</v>
      </c>
      <c r="I52" s="10"/>
      <c r="J52" s="10"/>
      <c r="K52" s="32"/>
      <c r="T52" s="11"/>
      <c r="U52" s="10"/>
      <c r="V52" s="11"/>
      <c r="W52" s="10"/>
      <c r="X52" s="10"/>
      <c r="Y52" s="10"/>
      <c r="Z52" s="61"/>
      <c r="AA52" s="55"/>
      <c r="AB52" s="14"/>
      <c r="AF52" s="300"/>
    </row>
    <row r="53" spans="1:33" ht="14.25" customHeight="1">
      <c r="A53" s="2"/>
      <c r="B53" s="11"/>
      <c r="C53" s="11" t="s">
        <v>35</v>
      </c>
      <c r="D53" s="2"/>
      <c r="E53" s="4"/>
      <c r="G53" s="6"/>
      <c r="I53" s="10"/>
      <c r="J53" s="10"/>
      <c r="T53" s="10"/>
      <c r="U53" s="10"/>
      <c r="V53" s="10"/>
      <c r="W53" s="10"/>
      <c r="X53" s="10"/>
      <c r="Y53" s="10"/>
      <c r="Z53" s="61"/>
      <c r="AA53" s="55"/>
      <c r="AB53" s="14"/>
      <c r="AF53" s="300"/>
    </row>
    <row r="54" spans="1:33">
      <c r="A54" s="2"/>
      <c r="B54" s="11" t="s">
        <v>60</v>
      </c>
      <c r="C54" s="11" t="s">
        <v>35</v>
      </c>
      <c r="D54" s="2">
        <v>550795</v>
      </c>
      <c r="E54" s="4" t="s">
        <v>103</v>
      </c>
      <c r="F54" s="4" t="s">
        <v>104</v>
      </c>
      <c r="G54" s="14" t="s">
        <v>105</v>
      </c>
      <c r="H54" s="7">
        <v>1330</v>
      </c>
      <c r="I54" s="7">
        <f>H54</f>
        <v>1330</v>
      </c>
      <c r="K54" s="4" t="s">
        <v>106</v>
      </c>
      <c r="N54" s="9">
        <v>43670</v>
      </c>
      <c r="Q54" s="10">
        <v>0</v>
      </c>
      <c r="R54" s="10">
        <f>Q54</f>
        <v>0</v>
      </c>
      <c r="T54" s="10">
        <v>25000</v>
      </c>
      <c r="U54" s="10">
        <f>T54</f>
        <v>25000</v>
      </c>
      <c r="V54" s="10">
        <v>25000</v>
      </c>
      <c r="W54" s="10">
        <f>V54</f>
        <v>25000</v>
      </c>
      <c r="X54" s="299">
        <f>T54/H54</f>
        <v>18.796992481203006</v>
      </c>
      <c r="Y54" s="10" t="s">
        <v>69</v>
      </c>
      <c r="Z54" s="61"/>
      <c r="AA54" s="55"/>
      <c r="AB54" s="14" t="s">
        <v>40</v>
      </c>
      <c r="AF54" s="300"/>
    </row>
    <row r="55" spans="1:33">
      <c r="A55" s="2"/>
      <c r="B55" s="11" t="s">
        <v>60</v>
      </c>
      <c r="C55" s="11" t="s">
        <v>35</v>
      </c>
      <c r="D55" s="2">
        <v>550795</v>
      </c>
      <c r="E55" s="4" t="s">
        <v>103</v>
      </c>
      <c r="F55" s="4" t="s">
        <v>107</v>
      </c>
      <c r="G55" s="14" t="s">
        <v>46</v>
      </c>
      <c r="H55" s="7">
        <v>260</v>
      </c>
      <c r="I55" s="7">
        <f>H55</f>
        <v>260</v>
      </c>
      <c r="J55" s="7">
        <v>250</v>
      </c>
      <c r="K55" s="4" t="s">
        <v>108</v>
      </c>
      <c r="L55" s="8">
        <v>45645</v>
      </c>
      <c r="M55" s="9">
        <v>46739</v>
      </c>
      <c r="Q55" s="10">
        <v>18000</v>
      </c>
      <c r="R55" s="10">
        <f>Q55</f>
        <v>18000</v>
      </c>
      <c r="T55" s="10">
        <v>11700</v>
      </c>
      <c r="U55" s="10">
        <f>T55</f>
        <v>11700</v>
      </c>
      <c r="V55" s="10">
        <v>11700</v>
      </c>
      <c r="W55" s="10">
        <f>V55</f>
        <v>11700</v>
      </c>
      <c r="X55" s="299">
        <f>T55/H55</f>
        <v>45</v>
      </c>
      <c r="Y55" s="10" t="s">
        <v>39</v>
      </c>
      <c r="Z55" s="61"/>
      <c r="AA55" s="55"/>
      <c r="AB55" s="14" t="s">
        <v>40</v>
      </c>
      <c r="AF55" s="300">
        <v>1</v>
      </c>
      <c r="AG55" s="4" t="s">
        <v>109</v>
      </c>
    </row>
    <row r="56" spans="1:33" ht="14.25" customHeight="1">
      <c r="A56" s="2"/>
      <c r="B56" s="11" t="s">
        <v>60</v>
      </c>
      <c r="C56" s="11" t="s">
        <v>35</v>
      </c>
      <c r="D56" s="2">
        <v>550795</v>
      </c>
      <c r="E56" s="4" t="s">
        <v>103</v>
      </c>
      <c r="F56" s="37" t="s">
        <v>110</v>
      </c>
      <c r="G56" s="28" t="s">
        <v>46</v>
      </c>
      <c r="H56" s="7">
        <v>652</v>
      </c>
      <c r="I56" s="7">
        <f>H56</f>
        <v>652</v>
      </c>
      <c r="J56" s="7">
        <v>750</v>
      </c>
      <c r="K56" s="4" t="s">
        <v>111</v>
      </c>
      <c r="L56" s="8">
        <v>44851</v>
      </c>
      <c r="M56" s="9">
        <v>48503</v>
      </c>
      <c r="O56" s="9">
        <v>46677</v>
      </c>
      <c r="Q56" s="10">
        <v>55000</v>
      </c>
      <c r="R56" s="10">
        <f>Q56</f>
        <v>55000</v>
      </c>
      <c r="T56" s="10">
        <v>55000</v>
      </c>
      <c r="U56" s="10">
        <f>T56</f>
        <v>55000</v>
      </c>
      <c r="V56" s="10">
        <v>55000</v>
      </c>
      <c r="W56" s="10">
        <f>V56</f>
        <v>55000</v>
      </c>
      <c r="X56" s="299">
        <f>T56/H56</f>
        <v>84.355828220858896</v>
      </c>
      <c r="Y56" s="10" t="s">
        <v>69</v>
      </c>
      <c r="Z56" s="61"/>
      <c r="AA56" s="55"/>
      <c r="AB56" s="14" t="s">
        <v>40</v>
      </c>
      <c r="AF56" s="300"/>
    </row>
    <row r="57" spans="1:33" ht="14.25" customHeight="1">
      <c r="A57" s="2"/>
      <c r="B57" s="11"/>
      <c r="C57" s="11" t="s">
        <v>35</v>
      </c>
      <c r="D57" s="2"/>
      <c r="E57" s="4"/>
      <c r="H57" s="18"/>
      <c r="I57" s="19"/>
      <c r="J57" s="19"/>
      <c r="Q57" s="19"/>
      <c r="R57" s="19"/>
      <c r="S57" s="19"/>
      <c r="T57" s="19"/>
      <c r="U57" s="19"/>
      <c r="V57" s="19"/>
      <c r="W57" s="19"/>
      <c r="X57" s="19"/>
      <c r="Y57" s="19"/>
      <c r="Z57" s="62"/>
      <c r="AA57" s="54"/>
      <c r="AB57" s="14"/>
      <c r="AF57" s="300"/>
    </row>
    <row r="58" spans="1:33" ht="14.25" customHeight="1">
      <c r="A58" s="2"/>
      <c r="B58" s="11"/>
      <c r="C58" s="11" t="s">
        <v>35</v>
      </c>
      <c r="D58" s="2"/>
      <c r="E58" s="4"/>
      <c r="G58" s="6" t="s">
        <v>112</v>
      </c>
      <c r="I58" s="10"/>
      <c r="J58" s="10"/>
      <c r="K58" s="32"/>
      <c r="T58" s="11"/>
      <c r="U58" s="10"/>
      <c r="V58" s="11"/>
      <c r="W58" s="10"/>
      <c r="X58" s="10"/>
      <c r="Y58" s="10"/>
      <c r="Z58" s="61"/>
      <c r="AA58" s="55"/>
      <c r="AB58" s="14"/>
      <c r="AF58" s="300"/>
    </row>
    <row r="59" spans="1:33" ht="14.25" customHeight="1">
      <c r="A59" s="2"/>
      <c r="B59" s="11"/>
      <c r="C59" s="11" t="s">
        <v>35</v>
      </c>
      <c r="D59" s="2"/>
      <c r="E59" s="4"/>
      <c r="G59" s="6"/>
      <c r="I59" s="10"/>
      <c r="J59" s="10"/>
      <c r="L59" s="9"/>
      <c r="T59" s="10"/>
      <c r="U59" s="10"/>
      <c r="V59" s="10"/>
      <c r="W59" s="10"/>
      <c r="X59" s="10"/>
      <c r="Y59" s="10"/>
      <c r="Z59" s="61"/>
      <c r="AA59" s="55"/>
      <c r="AB59" s="14"/>
      <c r="AF59" s="300"/>
    </row>
    <row r="60" spans="1:33" ht="23.25" customHeight="1">
      <c r="A60" s="2"/>
      <c r="B60" s="11" t="s">
        <v>60</v>
      </c>
      <c r="C60" s="11" t="s">
        <v>35</v>
      </c>
      <c r="D60" s="2">
        <v>550080</v>
      </c>
      <c r="E60" s="4" t="s">
        <v>112</v>
      </c>
      <c r="F60" s="4" t="s">
        <v>66</v>
      </c>
      <c r="G60" s="14" t="s">
        <v>83</v>
      </c>
      <c r="H60" s="7">
        <v>3626</v>
      </c>
      <c r="I60" s="7">
        <f>H60</f>
        <v>3626</v>
      </c>
      <c r="J60" s="7">
        <v>3500</v>
      </c>
      <c r="K60" s="4" t="s">
        <v>113</v>
      </c>
      <c r="L60" s="8">
        <v>44635</v>
      </c>
      <c r="M60" s="9">
        <v>48287</v>
      </c>
      <c r="O60" s="9">
        <v>46461</v>
      </c>
      <c r="P60" s="9">
        <v>46460</v>
      </c>
      <c r="Q60" s="10">
        <v>220000</v>
      </c>
      <c r="R60" s="10">
        <f>Q60</f>
        <v>220000</v>
      </c>
      <c r="T60" s="10">
        <v>210000</v>
      </c>
      <c r="U60" s="10">
        <f>T60</f>
        <v>210000</v>
      </c>
      <c r="V60" s="10">
        <v>227900</v>
      </c>
      <c r="W60" s="10">
        <f>V60</f>
        <v>227900</v>
      </c>
      <c r="X60" s="299">
        <f>T60/H60</f>
        <v>57.915057915057915</v>
      </c>
      <c r="Y60" s="10" t="s">
        <v>69</v>
      </c>
      <c r="Z60" s="61"/>
      <c r="AA60" s="55"/>
      <c r="AB60" s="14" t="s">
        <v>40</v>
      </c>
      <c r="AC60" s="4" t="s">
        <v>114</v>
      </c>
      <c r="AF60" s="300"/>
    </row>
    <row r="61" spans="1:33" ht="14.25" customHeight="1">
      <c r="A61" s="2"/>
      <c r="B61" s="11"/>
      <c r="C61" s="11" t="s">
        <v>35</v>
      </c>
      <c r="D61" s="2"/>
      <c r="E61" s="4"/>
      <c r="H61" s="18"/>
      <c r="I61" s="19"/>
      <c r="J61" s="19"/>
      <c r="Q61" s="19"/>
      <c r="R61" s="19"/>
      <c r="S61" s="19"/>
      <c r="T61" s="19"/>
      <c r="U61" s="19"/>
      <c r="V61" s="19"/>
      <c r="W61" s="19"/>
      <c r="X61" s="19"/>
      <c r="Y61" s="19"/>
      <c r="Z61" s="62"/>
      <c r="AA61" s="54"/>
      <c r="AB61" s="14"/>
      <c r="AF61" s="300"/>
    </row>
    <row r="62" spans="1:33" ht="14.25" customHeight="1">
      <c r="A62" s="2"/>
      <c r="B62" s="11"/>
      <c r="C62" s="11" t="s">
        <v>35</v>
      </c>
      <c r="D62" s="2"/>
      <c r="E62" s="4"/>
      <c r="G62" s="6" t="s">
        <v>115</v>
      </c>
      <c r="I62" s="10"/>
      <c r="J62" s="10"/>
      <c r="K62" s="32"/>
      <c r="T62" s="11"/>
      <c r="U62" s="10"/>
      <c r="V62" s="11"/>
      <c r="W62" s="10"/>
      <c r="X62" s="10"/>
      <c r="Y62" s="10"/>
      <c r="Z62" s="61"/>
      <c r="AA62" s="55"/>
      <c r="AB62" s="14"/>
      <c r="AF62" s="300"/>
    </row>
    <row r="63" spans="1:33" ht="14.25" customHeight="1">
      <c r="A63" s="2"/>
      <c r="B63" s="11"/>
      <c r="C63" s="11" t="s">
        <v>35</v>
      </c>
      <c r="D63" s="2"/>
      <c r="E63" s="4"/>
      <c r="G63" s="12"/>
      <c r="H63" s="24"/>
      <c r="I63" s="10"/>
      <c r="J63" s="10"/>
      <c r="K63" s="20"/>
      <c r="L63" s="21"/>
      <c r="T63" s="11"/>
      <c r="U63" s="10"/>
      <c r="V63" s="11"/>
      <c r="W63" s="10"/>
      <c r="X63" s="10"/>
      <c r="Y63" s="10"/>
      <c r="Z63" s="61"/>
      <c r="AA63" s="55"/>
      <c r="AB63" s="14"/>
      <c r="AF63" s="300"/>
    </row>
    <row r="64" spans="1:33" ht="28.5" customHeight="1">
      <c r="A64" s="2"/>
      <c r="B64" s="11" t="s">
        <v>97</v>
      </c>
      <c r="C64" s="11" t="s">
        <v>35</v>
      </c>
      <c r="D64" s="2">
        <v>550400</v>
      </c>
      <c r="E64" s="4" t="s">
        <v>115</v>
      </c>
      <c r="F64" s="4" t="s">
        <v>66</v>
      </c>
      <c r="G64" s="14" t="s">
        <v>116</v>
      </c>
      <c r="H64" s="7">
        <v>2164</v>
      </c>
      <c r="I64" s="7">
        <f>H64</f>
        <v>2164</v>
      </c>
      <c r="J64" s="7">
        <v>2000</v>
      </c>
      <c r="K64" s="4" t="s">
        <v>117</v>
      </c>
      <c r="L64" s="8">
        <v>44995</v>
      </c>
      <c r="M64" s="9">
        <v>48647</v>
      </c>
      <c r="O64" s="9">
        <v>46822</v>
      </c>
      <c r="Q64" s="10">
        <v>165000</v>
      </c>
      <c r="R64" s="10">
        <f>Q64</f>
        <v>165000</v>
      </c>
      <c r="T64" s="10">
        <v>165000</v>
      </c>
      <c r="U64" s="10">
        <f>T64</f>
        <v>165000</v>
      </c>
      <c r="V64" s="10">
        <v>165000</v>
      </c>
      <c r="W64" s="10">
        <f>V64</f>
        <v>165000</v>
      </c>
      <c r="X64" s="299">
        <f>T64/H64</f>
        <v>76.247689463955638</v>
      </c>
      <c r="Y64" s="10" t="s">
        <v>69</v>
      </c>
      <c r="Z64" s="61"/>
      <c r="AA64" s="55"/>
      <c r="AB64" s="14" t="s">
        <v>40</v>
      </c>
      <c r="AF64" s="300"/>
    </row>
    <row r="65" spans="1:33" ht="14.25" customHeight="1">
      <c r="A65" s="2"/>
      <c r="B65" s="11"/>
      <c r="C65" s="11" t="s">
        <v>35</v>
      </c>
      <c r="D65" s="2"/>
      <c r="E65" s="4"/>
      <c r="F65" s="92"/>
      <c r="H65" s="18"/>
      <c r="I65" s="19"/>
      <c r="J65" s="19"/>
      <c r="Q65" s="19"/>
      <c r="R65" s="19"/>
      <c r="S65" s="19"/>
      <c r="T65" s="19"/>
      <c r="U65" s="19"/>
      <c r="V65" s="19"/>
      <c r="W65" s="19"/>
      <c r="X65" s="19"/>
      <c r="Y65" s="19"/>
      <c r="Z65" s="62"/>
      <c r="AA65" s="54"/>
      <c r="AB65" s="14"/>
      <c r="AF65" s="300"/>
    </row>
    <row r="66" spans="1:33" ht="14.25" customHeight="1">
      <c r="A66" s="2"/>
      <c r="B66" s="11"/>
      <c r="C66" s="11" t="s">
        <v>35</v>
      </c>
      <c r="D66" s="2"/>
      <c r="E66" s="4"/>
      <c r="G66" s="6" t="s">
        <v>118</v>
      </c>
      <c r="I66" s="10"/>
      <c r="J66" s="10"/>
      <c r="K66" s="32"/>
      <c r="T66" s="11"/>
      <c r="U66" s="10"/>
      <c r="V66" s="11"/>
      <c r="W66" s="10"/>
      <c r="X66" s="10"/>
      <c r="Y66" s="10"/>
      <c r="Z66" s="61"/>
      <c r="AA66" s="55"/>
      <c r="AB66" s="14"/>
      <c r="AF66" s="300"/>
    </row>
    <row r="67" spans="1:33" ht="14.25" customHeight="1">
      <c r="A67" s="2"/>
      <c r="B67" s="11"/>
      <c r="C67" s="11" t="s">
        <v>35</v>
      </c>
      <c r="D67" s="2"/>
      <c r="E67" s="4"/>
      <c r="G67" s="15"/>
      <c r="H67" s="24"/>
      <c r="I67" s="10"/>
      <c r="J67" s="10"/>
      <c r="M67" s="21"/>
      <c r="N67" s="21"/>
      <c r="T67" s="10"/>
      <c r="U67" s="10"/>
      <c r="V67" s="10"/>
      <c r="W67" s="10"/>
      <c r="X67" s="10"/>
      <c r="Y67" s="10"/>
      <c r="Z67" s="61"/>
      <c r="AA67" s="55"/>
      <c r="AB67" s="14"/>
      <c r="AF67" s="300"/>
    </row>
    <row r="68" spans="1:33" ht="17.25" customHeight="1">
      <c r="A68" s="2"/>
      <c r="B68" s="11" t="s">
        <v>119</v>
      </c>
      <c r="C68" s="11" t="s">
        <v>35</v>
      </c>
      <c r="D68" s="2">
        <v>550740</v>
      </c>
      <c r="E68" s="4" t="s">
        <v>118</v>
      </c>
      <c r="F68" s="4" t="s">
        <v>66</v>
      </c>
      <c r="G68" s="14" t="s">
        <v>120</v>
      </c>
      <c r="H68" s="7">
        <v>1524</v>
      </c>
      <c r="I68" s="7">
        <f>H68</f>
        <v>1524</v>
      </c>
      <c r="J68" s="7">
        <v>1500</v>
      </c>
      <c r="K68" s="37" t="s">
        <v>121</v>
      </c>
      <c r="L68" s="8">
        <v>44833</v>
      </c>
      <c r="M68" s="9">
        <v>45928</v>
      </c>
      <c r="Q68" s="10">
        <v>72000</v>
      </c>
      <c r="R68" s="10">
        <f>Q68</f>
        <v>72000</v>
      </c>
      <c r="T68" s="10">
        <v>72000</v>
      </c>
      <c r="U68" s="10">
        <f>T68</f>
        <v>72000</v>
      </c>
      <c r="V68" s="10">
        <v>72038</v>
      </c>
      <c r="W68" s="10">
        <f>V68</f>
        <v>72038</v>
      </c>
      <c r="X68" s="299">
        <f>T68/H68</f>
        <v>47.244094488188978</v>
      </c>
      <c r="Y68" s="10" t="s">
        <v>69</v>
      </c>
      <c r="Z68" s="61"/>
      <c r="AA68" s="55"/>
      <c r="AB68" s="14" t="s">
        <v>40</v>
      </c>
      <c r="AC68" s="37"/>
      <c r="AD68" s="325"/>
      <c r="AE68" s="37"/>
      <c r="AF68" s="302"/>
      <c r="AG68" s="37"/>
    </row>
    <row r="69" spans="1:33" ht="14.25" customHeight="1">
      <c r="A69" s="2"/>
      <c r="B69" s="11"/>
      <c r="C69" s="11" t="s">
        <v>35</v>
      </c>
      <c r="D69" s="2"/>
      <c r="E69" s="4"/>
      <c r="H69" s="18"/>
      <c r="I69" s="19"/>
      <c r="J69" s="19"/>
      <c r="Q69" s="19"/>
      <c r="R69" s="19"/>
      <c r="S69" s="19"/>
      <c r="T69" s="19"/>
      <c r="U69" s="19"/>
      <c r="V69" s="19"/>
      <c r="W69" s="19"/>
      <c r="X69" s="19"/>
      <c r="Y69" s="19"/>
      <c r="Z69" s="62"/>
      <c r="AA69" s="54"/>
      <c r="AB69" s="14"/>
      <c r="AF69" s="300"/>
    </row>
    <row r="70" spans="1:33" ht="14.25" customHeight="1">
      <c r="A70" s="2"/>
      <c r="B70" s="11"/>
      <c r="C70" s="11" t="s">
        <v>35</v>
      </c>
      <c r="D70" s="2"/>
      <c r="E70" s="4"/>
      <c r="G70" s="6" t="s">
        <v>122</v>
      </c>
      <c r="I70" s="10"/>
      <c r="J70" s="10"/>
      <c r="K70" s="32"/>
      <c r="T70" s="11"/>
      <c r="U70" s="10"/>
      <c r="V70" s="11"/>
      <c r="W70" s="10"/>
      <c r="X70" s="10"/>
      <c r="Y70" s="10"/>
      <c r="Z70" s="61"/>
      <c r="AA70" s="55"/>
      <c r="AB70" s="14"/>
      <c r="AF70" s="300"/>
    </row>
    <row r="71" spans="1:33" ht="14.25" customHeight="1">
      <c r="A71" s="2"/>
      <c r="B71" s="11"/>
      <c r="C71" s="11" t="s">
        <v>35</v>
      </c>
      <c r="D71" s="2"/>
      <c r="E71" s="4"/>
      <c r="F71" s="94"/>
      <c r="G71" s="15"/>
      <c r="H71" s="125"/>
      <c r="I71" s="17"/>
      <c r="J71" s="17"/>
      <c r="K71" s="26"/>
      <c r="L71" s="21"/>
      <c r="M71" s="16"/>
      <c r="N71" s="16"/>
      <c r="O71" s="16"/>
      <c r="P71" s="16"/>
      <c r="Q71" s="17"/>
      <c r="R71" s="17"/>
      <c r="S71" s="17"/>
      <c r="T71" s="232"/>
      <c r="U71" s="17"/>
      <c r="V71" s="232"/>
      <c r="W71" s="17"/>
      <c r="X71" s="17"/>
      <c r="Y71" s="17"/>
      <c r="Z71" s="66"/>
      <c r="AA71" s="261"/>
      <c r="AB71" s="14"/>
      <c r="AC71" s="122"/>
      <c r="AD71" s="326"/>
      <c r="AE71" s="122"/>
      <c r="AF71" s="303"/>
      <c r="AG71" s="122"/>
    </row>
    <row r="72" spans="1:33" ht="24" customHeight="1">
      <c r="A72" s="2"/>
      <c r="B72" s="11" t="s">
        <v>97</v>
      </c>
      <c r="C72" s="11" t="s">
        <v>35</v>
      </c>
      <c r="D72" s="2">
        <v>550840</v>
      </c>
      <c r="E72" s="4" t="s">
        <v>122</v>
      </c>
      <c r="F72" s="4" t="s">
        <v>123</v>
      </c>
      <c r="G72" s="14" t="s">
        <v>124</v>
      </c>
      <c r="H72" s="18">
        <v>2313</v>
      </c>
      <c r="I72" s="10">
        <f>H72</f>
        <v>2313</v>
      </c>
      <c r="J72" s="10">
        <v>2250</v>
      </c>
      <c r="K72" s="4" t="s">
        <v>125</v>
      </c>
      <c r="L72" s="8">
        <v>42339</v>
      </c>
      <c r="M72" s="9">
        <v>45991</v>
      </c>
      <c r="O72" s="9">
        <v>44166</v>
      </c>
      <c r="Q72" s="19">
        <v>112000</v>
      </c>
      <c r="R72" s="10">
        <f>Q72</f>
        <v>112000</v>
      </c>
      <c r="S72" s="19">
        <f>R72</f>
        <v>112000</v>
      </c>
      <c r="T72" s="18">
        <v>106600</v>
      </c>
      <c r="U72" s="10">
        <f>T72</f>
        <v>106600</v>
      </c>
      <c r="V72" s="18">
        <v>102100</v>
      </c>
      <c r="W72" s="10">
        <f>V72</f>
        <v>102100</v>
      </c>
      <c r="X72" s="299">
        <f>T72/H72</f>
        <v>46.087332468655426</v>
      </c>
      <c r="Y72" s="10" t="s">
        <v>76</v>
      </c>
      <c r="Z72" s="61"/>
      <c r="AA72" s="18">
        <v>1750000</v>
      </c>
      <c r="AB72" s="14" t="s">
        <v>40</v>
      </c>
      <c r="AF72" s="300"/>
    </row>
    <row r="73" spans="1:33" ht="14.25" customHeight="1">
      <c r="A73" s="2"/>
      <c r="B73" s="11"/>
      <c r="C73" s="11" t="s">
        <v>35</v>
      </c>
      <c r="D73" s="2"/>
      <c r="E73" s="4"/>
      <c r="G73" s="28"/>
      <c r="H73" s="18"/>
      <c r="I73" s="19"/>
      <c r="J73" s="19"/>
      <c r="Q73" s="19"/>
      <c r="R73" s="19"/>
      <c r="S73" s="19"/>
      <c r="T73" s="18"/>
      <c r="U73" s="19"/>
      <c r="V73" s="18"/>
      <c r="W73" s="19"/>
      <c r="X73" s="19"/>
      <c r="Y73" s="19"/>
      <c r="Z73" s="62"/>
      <c r="AA73" s="54"/>
      <c r="AB73" s="14"/>
      <c r="AF73" s="300"/>
    </row>
    <row r="74" spans="1:33" ht="14.25" customHeight="1">
      <c r="A74" s="2"/>
      <c r="B74" s="11"/>
      <c r="C74" s="11" t="s">
        <v>35</v>
      </c>
      <c r="D74" s="2"/>
      <c r="E74" s="4"/>
      <c r="G74" s="6" t="s">
        <v>126</v>
      </c>
      <c r="I74" s="10"/>
      <c r="J74" s="10"/>
      <c r="K74" s="32"/>
      <c r="T74" s="11"/>
      <c r="U74" s="10"/>
      <c r="V74" s="11"/>
      <c r="W74" s="10"/>
      <c r="X74" s="10"/>
      <c r="Y74" s="10"/>
      <c r="Z74" s="61"/>
      <c r="AA74" s="55"/>
      <c r="AB74" s="14"/>
      <c r="AF74" s="300"/>
    </row>
    <row r="75" spans="1:33" ht="14.25" customHeight="1">
      <c r="A75" s="2"/>
      <c r="B75" s="11"/>
      <c r="C75" s="11" t="s">
        <v>35</v>
      </c>
      <c r="D75" s="2"/>
      <c r="E75" s="4"/>
      <c r="G75" s="6"/>
      <c r="I75" s="10"/>
      <c r="J75" s="10"/>
      <c r="K75" s="32"/>
      <c r="T75" s="11"/>
      <c r="U75" s="10"/>
      <c r="V75" s="11"/>
      <c r="W75" s="10"/>
      <c r="X75" s="10"/>
      <c r="Y75" s="10"/>
      <c r="Z75" s="61"/>
      <c r="AA75" s="55"/>
      <c r="AB75" s="14"/>
      <c r="AF75" s="300"/>
    </row>
    <row r="76" spans="1:33">
      <c r="A76" s="2"/>
      <c r="B76" s="11" t="s">
        <v>119</v>
      </c>
      <c r="C76" s="11" t="s">
        <v>35</v>
      </c>
      <c r="D76" s="2">
        <v>550830</v>
      </c>
      <c r="E76" s="4" t="s">
        <v>126</v>
      </c>
      <c r="F76" s="4" t="s">
        <v>127</v>
      </c>
      <c r="G76" s="11" t="s">
        <v>128</v>
      </c>
      <c r="H76" s="7">
        <v>4259</v>
      </c>
      <c r="I76" s="7">
        <f>H76</f>
        <v>4259</v>
      </c>
      <c r="J76" s="7">
        <v>4250</v>
      </c>
      <c r="K76" s="4" t="s">
        <v>129</v>
      </c>
      <c r="L76" s="8">
        <v>44967</v>
      </c>
      <c r="M76" s="9">
        <v>48619</v>
      </c>
      <c r="O76" s="9">
        <v>46793</v>
      </c>
      <c r="P76" s="9">
        <v>46792</v>
      </c>
      <c r="Q76" s="10">
        <v>215000</v>
      </c>
      <c r="R76" s="10">
        <f>Q76</f>
        <v>215000</v>
      </c>
      <c r="T76" s="7">
        <v>215000</v>
      </c>
      <c r="U76" s="10">
        <f>T76</f>
        <v>215000</v>
      </c>
      <c r="V76" s="7">
        <v>215000</v>
      </c>
      <c r="W76" s="10">
        <f>V76</f>
        <v>215000</v>
      </c>
      <c r="X76" s="299">
        <f>T76/H76</f>
        <v>50.481333646395868</v>
      </c>
      <c r="Y76" s="10" t="s">
        <v>39</v>
      </c>
      <c r="Z76" s="65"/>
      <c r="AA76" s="55"/>
      <c r="AB76" s="14" t="s">
        <v>40</v>
      </c>
      <c r="AC76" s="4" t="s">
        <v>130</v>
      </c>
      <c r="AF76" s="300"/>
    </row>
    <row r="77" spans="1:33" ht="14.25" customHeight="1">
      <c r="A77" s="2"/>
      <c r="B77" s="11"/>
      <c r="C77" s="11" t="s">
        <v>35</v>
      </c>
      <c r="D77" s="2"/>
      <c r="E77" s="4"/>
      <c r="I77" s="10"/>
      <c r="J77" s="10"/>
      <c r="T77" s="11"/>
      <c r="U77" s="10"/>
      <c r="V77" s="11"/>
      <c r="W77" s="10"/>
      <c r="X77" s="10"/>
      <c r="Y77" s="10"/>
      <c r="Z77" s="61"/>
      <c r="AA77" s="55"/>
      <c r="AB77" s="14"/>
      <c r="AF77" s="300"/>
    </row>
    <row r="78" spans="1:33" ht="14.25" customHeight="1">
      <c r="A78" s="2"/>
      <c r="B78" s="11"/>
      <c r="C78" s="11" t="s">
        <v>35</v>
      </c>
      <c r="D78" s="2"/>
      <c r="E78" s="4"/>
      <c r="G78" s="6" t="s">
        <v>131</v>
      </c>
      <c r="I78" s="10"/>
      <c r="J78" s="10"/>
      <c r="K78" s="32"/>
      <c r="T78" s="11"/>
      <c r="U78" s="10"/>
      <c r="V78" s="11"/>
      <c r="W78" s="10"/>
      <c r="X78" s="10"/>
      <c r="Y78" s="10"/>
      <c r="Z78" s="61"/>
      <c r="AA78" s="55"/>
      <c r="AB78" s="14"/>
      <c r="AF78" s="300"/>
    </row>
    <row r="79" spans="1:33" ht="14.25" customHeight="1">
      <c r="A79" s="2"/>
      <c r="B79" s="11"/>
      <c r="C79" s="11" t="s">
        <v>35</v>
      </c>
      <c r="D79" s="2"/>
      <c r="E79" s="4"/>
      <c r="G79" s="6"/>
      <c r="H79" s="24"/>
      <c r="I79" s="10"/>
      <c r="J79" s="10"/>
      <c r="T79" s="10"/>
      <c r="U79" s="10"/>
      <c r="V79" s="10"/>
      <c r="W79" s="10"/>
      <c r="X79" s="10"/>
      <c r="Y79" s="10"/>
      <c r="Z79" s="61"/>
      <c r="AA79" s="55"/>
      <c r="AB79" s="14"/>
      <c r="AF79" s="300"/>
    </row>
    <row r="80" spans="1:33" ht="24" customHeight="1">
      <c r="A80" s="2"/>
      <c r="B80" s="11" t="s">
        <v>44</v>
      </c>
      <c r="C80" s="11" t="s">
        <v>35</v>
      </c>
      <c r="D80" s="2">
        <v>550600</v>
      </c>
      <c r="E80" s="4" t="s">
        <v>131</v>
      </c>
      <c r="F80" s="4" t="s">
        <v>132</v>
      </c>
      <c r="G80" s="14" t="s">
        <v>120</v>
      </c>
      <c r="H80" s="7">
        <v>1449</v>
      </c>
      <c r="I80" s="7">
        <f>H80</f>
        <v>1449</v>
      </c>
      <c r="J80" s="7">
        <v>1500</v>
      </c>
      <c r="K80" s="4" t="s">
        <v>133</v>
      </c>
      <c r="L80" s="8">
        <v>45624</v>
      </c>
      <c r="M80" s="9">
        <v>49275</v>
      </c>
      <c r="Q80" s="10">
        <v>70000</v>
      </c>
      <c r="R80" s="10">
        <f>Q80</f>
        <v>70000</v>
      </c>
      <c r="T80" s="10">
        <v>76500</v>
      </c>
      <c r="U80" s="10">
        <f>T80</f>
        <v>76500</v>
      </c>
      <c r="V80" s="10">
        <v>76800</v>
      </c>
      <c r="W80" s="10">
        <f>V80</f>
        <v>76800</v>
      </c>
      <c r="X80" s="299">
        <f>T80/H80</f>
        <v>52.795031055900623</v>
      </c>
      <c r="Y80" s="10" t="s">
        <v>39</v>
      </c>
      <c r="Z80" s="61"/>
      <c r="AA80" s="55"/>
      <c r="AB80" s="14" t="s">
        <v>40</v>
      </c>
      <c r="AC80" s="4" t="s">
        <v>134</v>
      </c>
      <c r="AD80" s="324"/>
      <c r="AF80" s="300"/>
    </row>
    <row r="81" spans="1:32" ht="28.5" customHeight="1">
      <c r="A81" s="2"/>
      <c r="B81" s="11" t="s">
        <v>44</v>
      </c>
      <c r="C81" s="11" t="s">
        <v>35</v>
      </c>
      <c r="D81" s="2">
        <v>550600</v>
      </c>
      <c r="E81" s="4" t="s">
        <v>131</v>
      </c>
      <c r="F81" s="37" t="s">
        <v>135</v>
      </c>
      <c r="G81" s="14" t="s">
        <v>136</v>
      </c>
      <c r="H81" s="7">
        <v>1550</v>
      </c>
      <c r="I81" s="7">
        <f>H81</f>
        <v>1550</v>
      </c>
      <c r="J81" s="7">
        <v>1500</v>
      </c>
      <c r="K81" s="4" t="s">
        <v>137</v>
      </c>
      <c r="L81" s="8">
        <v>43293</v>
      </c>
      <c r="M81" s="9">
        <v>46214</v>
      </c>
      <c r="Q81" s="10">
        <v>120000</v>
      </c>
      <c r="R81" s="10">
        <f>Q81</f>
        <v>120000</v>
      </c>
      <c r="T81" s="10">
        <v>81000</v>
      </c>
      <c r="U81" s="10">
        <f>T81</f>
        <v>81000</v>
      </c>
      <c r="V81" s="10">
        <v>97300</v>
      </c>
      <c r="W81" s="10">
        <f>V81</f>
        <v>97300</v>
      </c>
      <c r="X81" s="299">
        <f>T81/H81</f>
        <v>52.258064516129032</v>
      </c>
      <c r="Y81" s="10" t="s">
        <v>39</v>
      </c>
      <c r="Z81" s="61"/>
      <c r="AA81" s="55"/>
      <c r="AB81" s="14" t="s">
        <v>40</v>
      </c>
      <c r="AF81" s="300"/>
    </row>
    <row r="82" spans="1:32" ht="14.25" customHeight="1">
      <c r="A82" s="2"/>
      <c r="B82" s="11"/>
      <c r="C82" s="11" t="s">
        <v>35</v>
      </c>
      <c r="D82" s="2"/>
      <c r="E82" s="4"/>
      <c r="F82" s="92"/>
      <c r="H82" s="18"/>
      <c r="I82" s="19"/>
      <c r="J82" s="19"/>
      <c r="Q82" s="19"/>
      <c r="R82" s="19"/>
      <c r="S82" s="19"/>
      <c r="T82" s="19"/>
      <c r="U82" s="19"/>
      <c r="V82" s="19"/>
      <c r="W82" s="19"/>
      <c r="X82" s="19"/>
      <c r="Y82" s="19"/>
      <c r="Z82" s="62"/>
      <c r="AA82" s="54"/>
      <c r="AB82" s="14"/>
      <c r="AF82" s="300"/>
    </row>
    <row r="83" spans="1:32" ht="14.25" customHeight="1">
      <c r="A83" s="2"/>
      <c r="B83" s="11"/>
      <c r="C83" s="11" t="s">
        <v>35</v>
      </c>
      <c r="D83" s="2"/>
      <c r="E83" s="4"/>
      <c r="G83" s="6" t="s">
        <v>138</v>
      </c>
      <c r="I83" s="10"/>
      <c r="J83" s="10"/>
      <c r="K83" s="32"/>
      <c r="T83" s="11"/>
      <c r="U83" s="10"/>
      <c r="V83" s="11"/>
      <c r="W83" s="10"/>
      <c r="X83" s="10"/>
      <c r="Y83" s="10"/>
      <c r="Z83" s="61"/>
      <c r="AA83" s="55"/>
      <c r="AB83" s="14"/>
      <c r="AF83" s="300"/>
    </row>
    <row r="84" spans="1:32" ht="14.25" customHeight="1">
      <c r="A84" s="2"/>
      <c r="B84" s="11"/>
      <c r="C84" s="11" t="s">
        <v>35</v>
      </c>
      <c r="D84" s="2"/>
      <c r="E84" s="4"/>
      <c r="I84" s="10"/>
      <c r="J84" s="10"/>
      <c r="T84" s="10"/>
      <c r="U84" s="10"/>
      <c r="V84" s="10"/>
      <c r="W84" s="10"/>
      <c r="X84" s="10"/>
      <c r="Y84" s="10"/>
      <c r="Z84" s="61"/>
      <c r="AA84" s="55"/>
      <c r="AB84" s="14"/>
      <c r="AF84" s="300"/>
    </row>
    <row r="85" spans="1:32">
      <c r="A85" s="2"/>
      <c r="B85" s="11" t="s">
        <v>97</v>
      </c>
      <c r="C85" s="11" t="s">
        <v>35</v>
      </c>
      <c r="D85" s="2">
        <v>550990</v>
      </c>
      <c r="E85" s="4" t="s">
        <v>138</v>
      </c>
      <c r="F85" s="4" t="s">
        <v>139</v>
      </c>
      <c r="G85" s="14" t="s">
        <v>46</v>
      </c>
      <c r="H85" s="7">
        <v>1361</v>
      </c>
      <c r="I85" s="7">
        <f>H85</f>
        <v>1361</v>
      </c>
      <c r="K85" s="4" t="s">
        <v>140</v>
      </c>
      <c r="L85" s="8">
        <v>45352</v>
      </c>
      <c r="M85" s="9">
        <v>49003</v>
      </c>
      <c r="O85" s="9">
        <v>47178</v>
      </c>
      <c r="P85" s="9">
        <v>47177</v>
      </c>
      <c r="Q85" s="10">
        <v>60000</v>
      </c>
      <c r="R85" s="10">
        <f>Q85</f>
        <v>60000</v>
      </c>
      <c r="T85" s="10">
        <v>55600</v>
      </c>
      <c r="U85" s="10">
        <f>T85</f>
        <v>55600</v>
      </c>
      <c r="V85" s="10">
        <v>59000</v>
      </c>
      <c r="W85" s="10">
        <f>V85</f>
        <v>59000</v>
      </c>
      <c r="X85" s="299">
        <f>T85/H85</f>
        <v>40.852314474650989</v>
      </c>
      <c r="Y85" s="10" t="s">
        <v>58</v>
      </c>
      <c r="Z85" s="61"/>
      <c r="AA85" s="55"/>
      <c r="AB85" s="14" t="s">
        <v>40</v>
      </c>
      <c r="AC85" s="4" t="s">
        <v>141</v>
      </c>
      <c r="AF85" s="300"/>
    </row>
    <row r="86" spans="1:32" ht="14.25" customHeight="1">
      <c r="A86" s="2"/>
      <c r="B86" s="11"/>
      <c r="C86" s="11" t="s">
        <v>35</v>
      </c>
      <c r="D86" s="2"/>
      <c r="E86" s="4"/>
      <c r="F86" s="92"/>
      <c r="H86" s="18"/>
      <c r="I86" s="19"/>
      <c r="J86" s="19"/>
      <c r="Q86" s="19"/>
      <c r="R86" s="19"/>
      <c r="S86" s="19"/>
      <c r="T86" s="19"/>
      <c r="U86" s="19"/>
      <c r="V86" s="19"/>
      <c r="W86" s="19"/>
      <c r="X86" s="19"/>
      <c r="Y86" s="19"/>
      <c r="Z86" s="62"/>
      <c r="AA86" s="54"/>
      <c r="AB86" s="14"/>
      <c r="AF86" s="300"/>
    </row>
    <row r="87" spans="1:32" ht="14.25" customHeight="1">
      <c r="A87" s="2"/>
      <c r="B87" s="11"/>
      <c r="C87" s="11" t="s">
        <v>35</v>
      </c>
      <c r="D87" s="2"/>
      <c r="E87" s="4"/>
      <c r="G87" s="6" t="s">
        <v>142</v>
      </c>
      <c r="I87" s="10"/>
      <c r="J87" s="10"/>
      <c r="K87" s="32"/>
      <c r="T87" s="11"/>
      <c r="U87" s="10"/>
      <c r="V87" s="11"/>
      <c r="W87" s="10"/>
      <c r="X87" s="10"/>
      <c r="Y87" s="10"/>
      <c r="Z87" s="61"/>
      <c r="AA87" s="55"/>
      <c r="AB87" s="14"/>
      <c r="AF87" s="300"/>
    </row>
    <row r="88" spans="1:32" ht="14.25" customHeight="1">
      <c r="A88" s="2"/>
      <c r="B88" s="11"/>
      <c r="C88" s="11" t="s">
        <v>35</v>
      </c>
      <c r="D88" s="2"/>
      <c r="E88" s="4"/>
      <c r="I88" s="10"/>
      <c r="J88" s="10"/>
      <c r="T88" s="10"/>
      <c r="U88" s="10"/>
      <c r="V88" s="10"/>
      <c r="W88" s="10"/>
      <c r="X88" s="10"/>
      <c r="Y88" s="10"/>
      <c r="Z88" s="61"/>
      <c r="AA88" s="55"/>
      <c r="AB88" s="14"/>
      <c r="AF88" s="300"/>
    </row>
    <row r="89" spans="1:32">
      <c r="A89" s="2"/>
      <c r="B89" s="11" t="s">
        <v>60</v>
      </c>
      <c r="C89" s="11" t="s">
        <v>35</v>
      </c>
      <c r="D89" s="2">
        <v>550700</v>
      </c>
      <c r="E89" s="4" t="s">
        <v>142</v>
      </c>
      <c r="F89" s="4" t="s">
        <v>139</v>
      </c>
      <c r="G89" s="14" t="s">
        <v>46</v>
      </c>
      <c r="H89" s="7">
        <v>750</v>
      </c>
      <c r="I89" s="7">
        <f>H89</f>
        <v>750</v>
      </c>
      <c r="K89" s="4" t="s">
        <v>143</v>
      </c>
      <c r="L89" s="8">
        <v>45377</v>
      </c>
      <c r="M89" s="9">
        <v>49028</v>
      </c>
      <c r="O89" s="9">
        <v>47203</v>
      </c>
      <c r="Q89" s="10">
        <v>45000</v>
      </c>
      <c r="R89" s="10">
        <f>Q89</f>
        <v>45000</v>
      </c>
      <c r="T89" s="10">
        <v>39000</v>
      </c>
      <c r="U89" s="10">
        <f>T89</f>
        <v>39000</v>
      </c>
      <c r="V89" s="10">
        <v>39000</v>
      </c>
      <c r="W89" s="10">
        <f>V89</f>
        <v>39000</v>
      </c>
      <c r="X89" s="299">
        <f>T89/H89</f>
        <v>52</v>
      </c>
      <c r="Y89" s="10" t="s">
        <v>69</v>
      </c>
      <c r="Z89" s="61"/>
      <c r="AA89" s="55"/>
      <c r="AB89" s="14" t="s">
        <v>40</v>
      </c>
    </row>
    <row r="90" spans="1:32" ht="14.25" customHeight="1">
      <c r="A90" s="2"/>
      <c r="B90" s="11"/>
      <c r="C90" s="11" t="s">
        <v>35</v>
      </c>
      <c r="D90" s="2"/>
      <c r="E90" s="4"/>
      <c r="I90" s="10"/>
      <c r="J90" s="10"/>
      <c r="T90" s="10"/>
      <c r="U90" s="10"/>
      <c r="V90" s="10"/>
      <c r="W90" s="10"/>
      <c r="X90" s="10"/>
      <c r="Y90" s="10"/>
      <c r="Z90" s="61"/>
      <c r="AA90" s="55"/>
      <c r="AB90" s="14"/>
      <c r="AF90" s="300"/>
    </row>
    <row r="91" spans="1:32" ht="14.25" customHeight="1">
      <c r="A91" s="2"/>
      <c r="B91" s="11"/>
      <c r="C91" s="11" t="s">
        <v>35</v>
      </c>
      <c r="D91" s="2"/>
      <c r="E91" s="4"/>
      <c r="G91" s="6" t="s">
        <v>144</v>
      </c>
      <c r="I91" s="10"/>
      <c r="J91" s="10"/>
      <c r="K91" s="32"/>
      <c r="T91" s="11"/>
      <c r="U91" s="10"/>
      <c r="V91" s="11"/>
      <c r="W91" s="10"/>
      <c r="X91" s="10"/>
      <c r="Y91" s="10"/>
      <c r="Z91" s="61"/>
      <c r="AA91" s="55"/>
      <c r="AB91" s="14"/>
      <c r="AF91" s="300"/>
    </row>
    <row r="92" spans="1:32" ht="14.25" customHeight="1">
      <c r="A92" s="2"/>
      <c r="B92" s="11"/>
      <c r="C92" s="11" t="s">
        <v>35</v>
      </c>
      <c r="D92" s="2"/>
      <c r="E92" s="4"/>
      <c r="I92" s="10"/>
      <c r="J92" s="10"/>
      <c r="T92" s="10"/>
      <c r="U92" s="10"/>
      <c r="V92" s="10"/>
      <c r="W92" s="10"/>
      <c r="X92" s="10"/>
      <c r="Y92" s="10"/>
      <c r="Z92" s="61"/>
      <c r="AA92" s="55"/>
      <c r="AB92" s="14"/>
      <c r="AC92" s="29"/>
      <c r="AF92" s="300"/>
    </row>
    <row r="93" spans="1:32" ht="20.25" customHeight="1">
      <c r="A93" s="2"/>
      <c r="B93" s="11" t="s">
        <v>60</v>
      </c>
      <c r="C93" s="11" t="s">
        <v>35</v>
      </c>
      <c r="D93" s="2">
        <v>550710</v>
      </c>
      <c r="E93" s="4" t="s">
        <v>144</v>
      </c>
      <c r="F93" s="4" t="s">
        <v>139</v>
      </c>
      <c r="G93" s="14" t="s">
        <v>145</v>
      </c>
      <c r="H93" s="7">
        <v>807</v>
      </c>
      <c r="I93" s="7">
        <f>H93</f>
        <v>807</v>
      </c>
      <c r="J93" s="7">
        <v>1000</v>
      </c>
      <c r="K93" s="4" t="s">
        <v>146</v>
      </c>
      <c r="L93" s="8">
        <v>42179</v>
      </c>
      <c r="M93" s="9">
        <v>45831</v>
      </c>
      <c r="Q93" s="10">
        <v>34320</v>
      </c>
      <c r="R93" s="10">
        <f>Q93</f>
        <v>34320</v>
      </c>
      <c r="T93" s="10">
        <v>34320</v>
      </c>
      <c r="U93" s="10">
        <f>T93</f>
        <v>34320</v>
      </c>
      <c r="V93" s="10">
        <v>34481</v>
      </c>
      <c r="W93" s="10">
        <f>V93</f>
        <v>34481</v>
      </c>
      <c r="X93" s="299">
        <f>T93/H93</f>
        <v>42.52788104089219</v>
      </c>
      <c r="Y93" s="10" t="s">
        <v>76</v>
      </c>
      <c r="Z93" s="61"/>
      <c r="AA93" s="55"/>
      <c r="AB93" s="14" t="s">
        <v>40</v>
      </c>
      <c r="AC93" s="29" t="s">
        <v>147</v>
      </c>
      <c r="AF93" s="300"/>
    </row>
    <row r="94" spans="1:32" ht="14.25" customHeight="1">
      <c r="A94" s="2"/>
      <c r="B94" s="11" t="s">
        <v>60</v>
      </c>
      <c r="C94" s="11" t="s">
        <v>35</v>
      </c>
      <c r="D94" s="2">
        <v>550710</v>
      </c>
      <c r="E94" s="4" t="s">
        <v>144</v>
      </c>
      <c r="F94" s="37" t="s">
        <v>78</v>
      </c>
      <c r="G94" s="14" t="s">
        <v>148</v>
      </c>
      <c r="H94" s="7">
        <v>60</v>
      </c>
      <c r="I94" s="7">
        <f>H94</f>
        <v>60</v>
      </c>
      <c r="K94" s="4" t="s">
        <v>149</v>
      </c>
      <c r="L94" s="8">
        <v>44075</v>
      </c>
      <c r="M94" s="9">
        <v>45900</v>
      </c>
      <c r="Q94" s="10">
        <v>12500</v>
      </c>
      <c r="R94" s="10">
        <f>Q94</f>
        <v>12500</v>
      </c>
      <c r="T94" s="10">
        <v>12000</v>
      </c>
      <c r="U94" s="10">
        <f>T94</f>
        <v>12000</v>
      </c>
      <c r="V94" s="10">
        <v>12000</v>
      </c>
      <c r="W94" s="10">
        <f>V94</f>
        <v>12000</v>
      </c>
      <c r="X94" s="299">
        <f>T94/H94</f>
        <v>200</v>
      </c>
      <c r="Y94" s="10" t="s">
        <v>76</v>
      </c>
      <c r="Z94" s="61"/>
      <c r="AA94" s="55"/>
      <c r="AB94" s="14" t="s">
        <v>40</v>
      </c>
      <c r="AC94" s="4" t="s">
        <v>150</v>
      </c>
      <c r="AF94" s="300"/>
    </row>
    <row r="95" spans="1:32" ht="14.25" customHeight="1">
      <c r="A95" s="2"/>
      <c r="B95" s="11"/>
      <c r="C95" s="11" t="s">
        <v>35</v>
      </c>
      <c r="D95" s="2"/>
      <c r="E95" s="4"/>
      <c r="F95" s="92"/>
      <c r="H95" s="18"/>
      <c r="I95" s="19"/>
      <c r="J95" s="19"/>
      <c r="Q95" s="19"/>
      <c r="R95" s="19"/>
      <c r="S95" s="19"/>
      <c r="T95" s="19"/>
      <c r="U95" s="19"/>
      <c r="V95" s="19"/>
      <c r="W95" s="19"/>
      <c r="X95" s="19"/>
      <c r="Y95" s="19"/>
      <c r="Z95" s="62"/>
      <c r="AA95" s="54"/>
      <c r="AB95" s="14"/>
      <c r="AF95" s="300"/>
    </row>
    <row r="96" spans="1:32" ht="14.25" customHeight="1">
      <c r="A96" s="2"/>
      <c r="B96" s="11"/>
      <c r="C96" s="11" t="s">
        <v>35</v>
      </c>
      <c r="D96" s="2"/>
      <c r="E96" s="4"/>
      <c r="G96" s="6" t="s">
        <v>151</v>
      </c>
      <c r="I96" s="10"/>
      <c r="J96" s="10"/>
      <c r="K96" s="32"/>
      <c r="T96" s="11"/>
      <c r="U96" s="10"/>
      <c r="V96" s="11"/>
      <c r="W96" s="10"/>
      <c r="X96" s="10"/>
      <c r="Y96" s="10"/>
      <c r="Z96" s="61"/>
      <c r="AA96" s="55"/>
      <c r="AB96" s="14"/>
      <c r="AF96" s="300"/>
    </row>
    <row r="97" spans="1:33" ht="14.25" customHeight="1">
      <c r="A97" s="2"/>
      <c r="B97" s="11"/>
      <c r="C97" s="11" t="s">
        <v>35</v>
      </c>
      <c r="D97" s="2"/>
      <c r="E97" s="4"/>
      <c r="G97" s="6"/>
      <c r="I97" s="10"/>
      <c r="J97" s="10"/>
      <c r="T97" s="10"/>
      <c r="U97" s="10"/>
      <c r="V97" s="10"/>
      <c r="W97" s="10"/>
      <c r="X97" s="10"/>
      <c r="Y97" s="10"/>
      <c r="Z97" s="61"/>
      <c r="AA97" s="55"/>
      <c r="AB97" s="14"/>
      <c r="AF97" s="300"/>
    </row>
    <row r="98" spans="1:33">
      <c r="A98" s="2"/>
      <c r="B98" s="11" t="s">
        <v>119</v>
      </c>
      <c r="C98" s="11" t="s">
        <v>35</v>
      </c>
      <c r="D98" s="2">
        <v>550090</v>
      </c>
      <c r="E98" s="4" t="s">
        <v>151</v>
      </c>
      <c r="F98" s="4" t="s">
        <v>152</v>
      </c>
      <c r="G98" s="14" t="s">
        <v>120</v>
      </c>
      <c r="H98" s="7">
        <v>607</v>
      </c>
      <c r="I98" s="7">
        <f>H98</f>
        <v>607</v>
      </c>
      <c r="J98" s="7">
        <v>500</v>
      </c>
      <c r="K98" s="4" t="s">
        <v>146</v>
      </c>
      <c r="L98" s="8">
        <v>44340</v>
      </c>
      <c r="M98" s="9">
        <v>47991</v>
      </c>
      <c r="O98" s="9">
        <v>46166</v>
      </c>
      <c r="Q98" s="10">
        <v>25000</v>
      </c>
      <c r="R98" s="10">
        <f>Q98</f>
        <v>25000</v>
      </c>
      <c r="T98" s="10">
        <v>25000</v>
      </c>
      <c r="U98" s="10">
        <f>T98</f>
        <v>25000</v>
      </c>
      <c r="V98" s="10">
        <v>25000</v>
      </c>
      <c r="W98" s="10">
        <f>V98</f>
        <v>25000</v>
      </c>
      <c r="X98" s="299">
        <f>T98/H98</f>
        <v>41.186161449752881</v>
      </c>
      <c r="Y98" s="10" t="s">
        <v>58</v>
      </c>
      <c r="Z98" s="61"/>
      <c r="AA98" s="55"/>
      <c r="AB98" s="14" t="s">
        <v>40</v>
      </c>
      <c r="AF98" s="300"/>
    </row>
    <row r="99" spans="1:33">
      <c r="A99" s="2"/>
      <c r="B99" s="11" t="s">
        <v>119</v>
      </c>
      <c r="C99" s="11" t="s">
        <v>35</v>
      </c>
      <c r="D99" s="2">
        <v>550090</v>
      </c>
      <c r="E99" s="4" t="s">
        <v>151</v>
      </c>
      <c r="F99" s="37" t="s">
        <v>153</v>
      </c>
      <c r="G99" s="14" t="s">
        <v>83</v>
      </c>
      <c r="H99" s="7">
        <v>662</v>
      </c>
      <c r="I99" s="7">
        <f>H99</f>
        <v>662</v>
      </c>
      <c r="J99" s="7">
        <v>500</v>
      </c>
      <c r="K99" s="4" t="s">
        <v>146</v>
      </c>
      <c r="L99" s="8">
        <v>43879</v>
      </c>
      <c r="M99" s="9">
        <v>45705</v>
      </c>
      <c r="Q99" s="10">
        <v>20500</v>
      </c>
      <c r="R99" s="10">
        <f>Q99</f>
        <v>20500</v>
      </c>
      <c r="T99" s="10">
        <v>20000</v>
      </c>
      <c r="U99" s="10">
        <f>T99</f>
        <v>20000</v>
      </c>
      <c r="V99" s="10">
        <v>20000</v>
      </c>
      <c r="W99" s="10">
        <f>V99</f>
        <v>20000</v>
      </c>
      <c r="X99" s="299">
        <f>T99/H99</f>
        <v>30.211480362537763</v>
      </c>
      <c r="Y99" s="10" t="s">
        <v>58</v>
      </c>
      <c r="Z99" s="61"/>
      <c r="AA99" s="55"/>
      <c r="AB99" s="14" t="s">
        <v>40</v>
      </c>
      <c r="AC99" s="4" t="s">
        <v>154</v>
      </c>
      <c r="AF99" s="300"/>
    </row>
    <row r="100" spans="1:33" ht="14.25" customHeight="1">
      <c r="A100" s="2"/>
      <c r="B100" s="11"/>
      <c r="C100" s="11" t="s">
        <v>35</v>
      </c>
      <c r="D100" s="2"/>
      <c r="E100" s="4"/>
      <c r="I100" s="10"/>
      <c r="J100" s="10"/>
      <c r="T100" s="10"/>
      <c r="U100" s="10"/>
      <c r="V100" s="10"/>
      <c r="W100" s="10"/>
      <c r="X100" s="10"/>
      <c r="Y100" s="10"/>
      <c r="Z100" s="61"/>
      <c r="AA100" s="55"/>
      <c r="AB100" s="14"/>
      <c r="AF100" s="300"/>
    </row>
    <row r="101" spans="1:33" ht="14.25" customHeight="1">
      <c r="A101" s="2"/>
      <c r="B101" s="11"/>
      <c r="C101" s="11" t="s">
        <v>35</v>
      </c>
      <c r="D101" s="2"/>
      <c r="E101" s="4"/>
      <c r="G101" s="6" t="s">
        <v>155</v>
      </c>
      <c r="I101" s="10"/>
      <c r="J101" s="10"/>
      <c r="K101" s="32"/>
      <c r="T101" s="11"/>
      <c r="U101" s="10"/>
      <c r="V101" s="11"/>
      <c r="W101" s="10"/>
      <c r="X101" s="10"/>
      <c r="Y101" s="10"/>
      <c r="Z101" s="61"/>
      <c r="AA101" s="55"/>
      <c r="AB101" s="14"/>
      <c r="AF101" s="300"/>
    </row>
    <row r="102" spans="1:33" ht="14.25" customHeight="1">
      <c r="A102" s="2"/>
      <c r="B102" s="11"/>
      <c r="C102" s="11" t="s">
        <v>35</v>
      </c>
      <c r="D102" s="2"/>
      <c r="E102" s="4"/>
      <c r="G102" s="6"/>
      <c r="H102" s="24"/>
      <c r="I102" s="10"/>
      <c r="J102" s="10"/>
      <c r="K102" s="20"/>
      <c r="L102" s="21"/>
      <c r="T102" s="10"/>
      <c r="U102" s="10"/>
      <c r="V102" s="10"/>
      <c r="W102" s="10"/>
      <c r="X102" s="10"/>
      <c r="Y102" s="10"/>
      <c r="Z102" s="61"/>
      <c r="AA102" s="55"/>
      <c r="AB102" s="14"/>
      <c r="AF102" s="300"/>
    </row>
    <row r="103" spans="1:33" ht="24" customHeight="1">
      <c r="A103" s="2"/>
      <c r="B103" s="11" t="s">
        <v>60</v>
      </c>
      <c r="C103" s="11" t="s">
        <v>35</v>
      </c>
      <c r="D103" s="2">
        <v>550750</v>
      </c>
      <c r="E103" s="4" t="s">
        <v>155</v>
      </c>
      <c r="F103" s="37" t="s">
        <v>156</v>
      </c>
      <c r="G103" s="14" t="s">
        <v>157</v>
      </c>
      <c r="H103" s="18">
        <v>1305</v>
      </c>
      <c r="I103" s="10">
        <f>H103</f>
        <v>1305</v>
      </c>
      <c r="J103" s="10">
        <v>1250</v>
      </c>
      <c r="K103" s="29" t="s">
        <v>158</v>
      </c>
      <c r="L103" s="30">
        <v>45748</v>
      </c>
      <c r="M103" s="31">
        <v>49399</v>
      </c>
      <c r="N103" s="31"/>
      <c r="O103" s="31">
        <v>47574</v>
      </c>
      <c r="P103" s="31">
        <v>47573</v>
      </c>
      <c r="Q103" s="27">
        <v>0</v>
      </c>
      <c r="R103" s="10">
        <f>Q103</f>
        <v>0</v>
      </c>
      <c r="S103" s="19">
        <f>R103</f>
        <v>0</v>
      </c>
      <c r="T103" s="19">
        <v>90000</v>
      </c>
      <c r="U103" s="10">
        <f>T103</f>
        <v>90000</v>
      </c>
      <c r="V103" s="19">
        <v>90000</v>
      </c>
      <c r="W103" s="10">
        <f>V103</f>
        <v>90000</v>
      </c>
      <c r="X103" s="299">
        <f>T103/H103</f>
        <v>68.965517241379317</v>
      </c>
      <c r="Y103" s="10" t="s">
        <v>69</v>
      </c>
      <c r="Z103" s="61"/>
      <c r="AA103" s="19">
        <v>1630000</v>
      </c>
      <c r="AB103" s="14" t="s">
        <v>40</v>
      </c>
      <c r="AC103" s="29" t="s">
        <v>159</v>
      </c>
      <c r="AD103" s="322">
        <v>69</v>
      </c>
      <c r="AF103" s="300">
        <v>10</v>
      </c>
      <c r="AG103" s="4" t="s">
        <v>160</v>
      </c>
    </row>
    <row r="104" spans="1:33" ht="14.25" customHeight="1">
      <c r="A104" s="2"/>
      <c r="B104" s="11"/>
      <c r="C104" s="11" t="s">
        <v>35</v>
      </c>
      <c r="D104" s="2"/>
      <c r="E104" s="4"/>
      <c r="F104" s="92" t="s">
        <v>155</v>
      </c>
      <c r="H104" s="33">
        <f>SUM(H103:H103)</f>
        <v>1305</v>
      </c>
      <c r="I104" s="18"/>
      <c r="J104" s="18"/>
      <c r="K104" s="34"/>
      <c r="L104" s="35"/>
      <c r="M104" s="36"/>
      <c r="N104" s="36"/>
      <c r="O104" s="36"/>
      <c r="P104" s="36"/>
      <c r="Q104" s="33"/>
      <c r="R104" s="33"/>
      <c r="S104" s="33"/>
      <c r="T104" s="33">
        <f>SUM(T103:T103)</f>
        <v>90000</v>
      </c>
      <c r="U104" s="33"/>
      <c r="V104" s="33">
        <f>SUM(V103:V103)</f>
        <v>90000</v>
      </c>
      <c r="W104" s="33"/>
      <c r="X104" s="33"/>
      <c r="Y104" s="33"/>
      <c r="Z104" s="63"/>
      <c r="AA104" s="260"/>
      <c r="AB104" s="14"/>
      <c r="AF104" s="300"/>
    </row>
    <row r="105" spans="1:33" ht="14.25" customHeight="1">
      <c r="A105" s="2"/>
      <c r="B105" s="11"/>
      <c r="C105" s="11" t="s">
        <v>35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1"/>
      <c r="AA105" s="55"/>
      <c r="AB105" s="14"/>
      <c r="AF105" s="300"/>
    </row>
    <row r="106" spans="1:33" ht="14.25" customHeight="1">
      <c r="A106" s="2"/>
      <c r="B106" s="11"/>
      <c r="C106" s="11" t="s">
        <v>35</v>
      </c>
      <c r="D106" s="2"/>
      <c r="E106" s="4"/>
      <c r="G106" s="6" t="s">
        <v>161</v>
      </c>
      <c r="I106" s="10"/>
      <c r="J106" s="10"/>
      <c r="K106" s="32"/>
      <c r="T106" s="11"/>
      <c r="U106" s="10"/>
      <c r="V106" s="11"/>
      <c r="W106" s="10"/>
      <c r="X106" s="10"/>
      <c r="Y106" s="10"/>
      <c r="Z106" s="61"/>
      <c r="AA106" s="55"/>
      <c r="AB106" s="14"/>
      <c r="AF106" s="300"/>
    </row>
    <row r="107" spans="1:33" ht="14.25" customHeight="1">
      <c r="A107" s="2"/>
      <c r="B107" s="11"/>
      <c r="C107" s="11" t="s">
        <v>35</v>
      </c>
      <c r="D107" s="2"/>
      <c r="E107" s="4"/>
      <c r="G107" s="6"/>
      <c r="H107" s="131"/>
      <c r="I107" s="10"/>
      <c r="J107" s="10"/>
      <c r="K107" s="13"/>
      <c r="L107" s="9"/>
      <c r="T107" s="10"/>
      <c r="U107" s="10"/>
      <c r="V107" s="10"/>
      <c r="W107" s="10"/>
      <c r="X107" s="10"/>
      <c r="Y107" s="10"/>
      <c r="Z107" s="61"/>
      <c r="AA107" s="55"/>
      <c r="AB107" s="14"/>
      <c r="AF107" s="300"/>
    </row>
    <row r="108" spans="1:33">
      <c r="A108" s="2"/>
      <c r="B108" s="11" t="s">
        <v>119</v>
      </c>
      <c r="C108" s="11" t="s">
        <v>35</v>
      </c>
      <c r="D108" s="2">
        <v>550880</v>
      </c>
      <c r="E108" s="4" t="s">
        <v>161</v>
      </c>
      <c r="F108" s="4" t="s">
        <v>87</v>
      </c>
      <c r="G108" s="14" t="s">
        <v>83</v>
      </c>
      <c r="H108" s="114">
        <v>1440</v>
      </c>
      <c r="I108" s="10">
        <f>H108</f>
        <v>1440</v>
      </c>
      <c r="J108" s="10">
        <v>1500</v>
      </c>
      <c r="K108" s="4" t="s">
        <v>162</v>
      </c>
      <c r="L108" s="9">
        <v>43430</v>
      </c>
      <c r="M108" s="9">
        <v>47082</v>
      </c>
      <c r="O108" s="9">
        <v>45256</v>
      </c>
      <c r="Q108" s="10">
        <v>100000</v>
      </c>
      <c r="R108" s="10">
        <f>Q108</f>
        <v>100000</v>
      </c>
      <c r="T108" s="10">
        <v>100000</v>
      </c>
      <c r="U108" s="10">
        <f>T108</f>
        <v>100000</v>
      </c>
      <c r="V108" s="10">
        <v>100000</v>
      </c>
      <c r="W108" s="10">
        <f>V108</f>
        <v>100000</v>
      </c>
      <c r="X108" s="299">
        <f>T108/H108</f>
        <v>69.444444444444443</v>
      </c>
      <c r="Y108" s="10" t="s">
        <v>39</v>
      </c>
      <c r="Z108" s="61"/>
      <c r="AA108" s="55"/>
      <c r="AB108" s="14" t="s">
        <v>40</v>
      </c>
      <c r="AC108" s="4" t="s">
        <v>163</v>
      </c>
      <c r="AF108" s="300"/>
    </row>
    <row r="109" spans="1:33" ht="14.25" customHeight="1">
      <c r="A109" s="2"/>
      <c r="B109" s="11"/>
      <c r="C109" s="11" t="s">
        <v>35</v>
      </c>
      <c r="D109" s="2"/>
      <c r="E109" s="4"/>
      <c r="I109" s="10"/>
      <c r="J109" s="10"/>
      <c r="T109" s="10"/>
      <c r="U109" s="10"/>
      <c r="V109" s="10"/>
      <c r="W109" s="10"/>
      <c r="X109" s="10"/>
      <c r="Y109" s="10"/>
      <c r="Z109" s="61"/>
      <c r="AA109" s="55"/>
      <c r="AB109" s="14"/>
      <c r="AF109" s="300"/>
    </row>
    <row r="110" spans="1:33" ht="14.25" customHeight="1">
      <c r="A110" s="2"/>
      <c r="B110" s="11"/>
      <c r="C110" s="11" t="s">
        <v>35</v>
      </c>
      <c r="D110" s="2"/>
      <c r="E110" s="4"/>
      <c r="G110" s="6" t="s">
        <v>164</v>
      </c>
      <c r="I110" s="10"/>
      <c r="J110" s="10"/>
      <c r="K110" s="32"/>
      <c r="T110" s="11"/>
      <c r="U110" s="10"/>
      <c r="V110" s="11"/>
      <c r="W110" s="10"/>
      <c r="X110" s="10"/>
      <c r="Y110" s="10"/>
      <c r="Z110" s="61"/>
      <c r="AA110" s="55"/>
      <c r="AB110" s="14"/>
      <c r="AF110" s="300"/>
    </row>
    <row r="111" spans="1:33" ht="14.25" customHeight="1">
      <c r="A111" s="2"/>
      <c r="B111" s="11"/>
      <c r="C111" s="11" t="s">
        <v>35</v>
      </c>
      <c r="D111" s="2"/>
      <c r="E111" s="4"/>
      <c r="G111" s="12"/>
      <c r="H111" s="24"/>
      <c r="I111" s="10"/>
      <c r="J111" s="10"/>
      <c r="K111" s="132"/>
      <c r="L111" s="21"/>
      <c r="M111" s="21"/>
      <c r="N111" s="21"/>
      <c r="T111" s="10"/>
      <c r="U111" s="10"/>
      <c r="V111" s="10"/>
      <c r="W111" s="10"/>
      <c r="X111" s="10"/>
      <c r="Y111" s="10"/>
      <c r="Z111" s="61"/>
      <c r="AA111" s="55"/>
      <c r="AB111" s="14"/>
      <c r="AF111" s="300"/>
    </row>
    <row r="112" spans="1:33" ht="24" customHeight="1">
      <c r="A112" s="2"/>
      <c r="B112" s="11" t="s">
        <v>60</v>
      </c>
      <c r="C112" s="11" t="s">
        <v>35</v>
      </c>
      <c r="D112" s="2">
        <v>550180</v>
      </c>
      <c r="E112" s="4" t="s">
        <v>164</v>
      </c>
      <c r="F112" s="4" t="s">
        <v>165</v>
      </c>
      <c r="G112" s="14" t="s">
        <v>120</v>
      </c>
      <c r="H112" s="7">
        <v>2026</v>
      </c>
      <c r="I112" s="7">
        <f>H112</f>
        <v>2026</v>
      </c>
      <c r="J112" s="7">
        <v>2000</v>
      </c>
      <c r="K112" s="4" t="s">
        <v>166</v>
      </c>
      <c r="L112" s="8">
        <v>45247</v>
      </c>
      <c r="M112" s="9">
        <v>48899</v>
      </c>
      <c r="O112" s="9">
        <v>47074</v>
      </c>
      <c r="P112" s="9">
        <v>47073</v>
      </c>
      <c r="Q112" s="10">
        <v>100000</v>
      </c>
      <c r="R112" s="10">
        <f>Q112</f>
        <v>100000</v>
      </c>
      <c r="T112" s="10">
        <v>71800</v>
      </c>
      <c r="U112" s="10">
        <f>T112</f>
        <v>71800</v>
      </c>
      <c r="V112" s="10">
        <v>100000</v>
      </c>
      <c r="W112" s="10">
        <f>V112</f>
        <v>100000</v>
      </c>
      <c r="X112" s="299">
        <f>T112/H112</f>
        <v>35.439289239881539</v>
      </c>
      <c r="Y112" s="10" t="s">
        <v>39</v>
      </c>
      <c r="Z112" s="61"/>
      <c r="AA112" s="55"/>
      <c r="AB112" s="14" t="s">
        <v>40</v>
      </c>
      <c r="AC112" s="4" t="s">
        <v>167</v>
      </c>
      <c r="AF112" s="300"/>
    </row>
    <row r="113" spans="1:33" ht="28.5" customHeight="1">
      <c r="A113" s="2"/>
      <c r="B113" s="11" t="s">
        <v>60</v>
      </c>
      <c r="C113" s="11" t="s">
        <v>35</v>
      </c>
      <c r="D113" s="2">
        <v>550180</v>
      </c>
      <c r="E113" s="4" t="s">
        <v>164</v>
      </c>
      <c r="F113" s="4" t="s">
        <v>132</v>
      </c>
      <c r="G113" s="14" t="s">
        <v>120</v>
      </c>
      <c r="H113" s="7">
        <v>2202</v>
      </c>
      <c r="I113" s="7">
        <f>H113</f>
        <v>2202</v>
      </c>
      <c r="J113" s="7">
        <v>2000</v>
      </c>
      <c r="K113" s="4" t="s">
        <v>168</v>
      </c>
      <c r="L113" s="8">
        <v>44497</v>
      </c>
      <c r="M113" s="9">
        <v>46322</v>
      </c>
      <c r="Q113" s="10">
        <v>96000</v>
      </c>
      <c r="R113" s="10">
        <f>Q113</f>
        <v>96000</v>
      </c>
      <c r="T113" s="10">
        <v>78600</v>
      </c>
      <c r="U113" s="10">
        <f>T113</f>
        <v>78600</v>
      </c>
      <c r="V113" s="10">
        <v>96000</v>
      </c>
      <c r="W113" s="10">
        <f>V113</f>
        <v>96000</v>
      </c>
      <c r="X113" s="299">
        <f>T113/H113</f>
        <v>35.694822888283376</v>
      </c>
      <c r="Y113" s="10" t="s">
        <v>39</v>
      </c>
      <c r="Z113" s="61"/>
      <c r="AA113" s="55"/>
      <c r="AB113" s="14" t="s">
        <v>40</v>
      </c>
      <c r="AF113" s="300"/>
    </row>
    <row r="114" spans="1:33" ht="14.25" customHeight="1">
      <c r="A114" s="2"/>
      <c r="B114" s="11"/>
      <c r="C114" s="11" t="s">
        <v>35</v>
      </c>
      <c r="D114" s="2"/>
      <c r="E114" s="4"/>
      <c r="H114" s="18"/>
      <c r="I114" s="19"/>
      <c r="J114" s="19"/>
      <c r="Q114" s="19"/>
      <c r="R114" s="19"/>
      <c r="S114" s="19"/>
      <c r="T114" s="19"/>
      <c r="U114" s="19"/>
      <c r="V114" s="19"/>
      <c r="W114" s="19"/>
      <c r="X114" s="19"/>
      <c r="Y114" s="19"/>
      <c r="Z114" s="62"/>
      <c r="AA114" s="54"/>
      <c r="AB114" s="14"/>
      <c r="AF114" s="300"/>
    </row>
    <row r="115" spans="1:33" ht="14.25" customHeight="1">
      <c r="A115" s="2"/>
      <c r="B115" s="11"/>
      <c r="C115" s="11" t="s">
        <v>35</v>
      </c>
      <c r="D115" s="2"/>
      <c r="E115" s="4"/>
      <c r="G115" s="6" t="s">
        <v>169</v>
      </c>
      <c r="I115" s="10"/>
      <c r="J115" s="10"/>
      <c r="K115" s="32"/>
      <c r="P115" s="143"/>
      <c r="T115" s="11"/>
      <c r="U115" s="10"/>
      <c r="V115" s="11"/>
      <c r="W115" s="10"/>
      <c r="X115" s="10"/>
      <c r="Y115" s="10"/>
      <c r="Z115" s="61"/>
      <c r="AA115" s="55"/>
      <c r="AB115" s="14"/>
      <c r="AF115" s="300"/>
    </row>
    <row r="116" spans="1:33" ht="14.25" customHeight="1">
      <c r="A116" s="2"/>
      <c r="B116" s="11"/>
      <c r="C116" s="11" t="s">
        <v>35</v>
      </c>
      <c r="D116" s="2"/>
      <c r="E116" s="4"/>
      <c r="I116" s="10"/>
      <c r="J116" s="10"/>
      <c r="P116" s="223"/>
      <c r="T116" s="10"/>
      <c r="U116" s="10"/>
      <c r="V116" s="10"/>
      <c r="W116" s="10"/>
      <c r="X116" s="10"/>
      <c r="Y116" s="10"/>
      <c r="Z116" s="61"/>
      <c r="AA116" s="55"/>
      <c r="AB116" s="14"/>
      <c r="AF116" s="300"/>
    </row>
    <row r="117" spans="1:33" ht="24" customHeight="1">
      <c r="A117" s="2"/>
      <c r="B117" s="11" t="s">
        <v>34</v>
      </c>
      <c r="C117" s="11" t="s">
        <v>35</v>
      </c>
      <c r="D117" s="2">
        <v>550420</v>
      </c>
      <c r="E117" s="4" t="s">
        <v>169</v>
      </c>
      <c r="F117" s="4" t="s">
        <v>170</v>
      </c>
      <c r="G117" s="14" t="s">
        <v>120</v>
      </c>
      <c r="H117" s="7">
        <v>1115</v>
      </c>
      <c r="I117" s="7">
        <f>H117</f>
        <v>1115</v>
      </c>
      <c r="J117" s="7">
        <v>1000</v>
      </c>
      <c r="K117" s="4" t="s">
        <v>171</v>
      </c>
      <c r="L117" s="8">
        <v>45504</v>
      </c>
      <c r="M117" s="9">
        <v>47329</v>
      </c>
      <c r="P117" s="9">
        <v>46599</v>
      </c>
      <c r="Q117" s="10">
        <v>60000</v>
      </c>
      <c r="R117" s="10">
        <f>Q117</f>
        <v>60000</v>
      </c>
      <c r="T117" s="10">
        <v>50400</v>
      </c>
      <c r="U117" s="10">
        <f>T117</f>
        <v>50400</v>
      </c>
      <c r="V117" s="10">
        <v>63500</v>
      </c>
      <c r="W117" s="10">
        <f>V117</f>
        <v>63500</v>
      </c>
      <c r="X117" s="299">
        <f>T117/H117</f>
        <v>45.201793721973097</v>
      </c>
      <c r="Y117" s="10" t="s">
        <v>39</v>
      </c>
      <c r="Z117" s="61"/>
      <c r="AA117" s="55"/>
      <c r="AB117" s="14" t="s">
        <v>40</v>
      </c>
      <c r="AC117" s="4" t="s">
        <v>172</v>
      </c>
      <c r="AE117" s="29"/>
      <c r="AF117" s="301"/>
      <c r="AG117" s="29"/>
    </row>
    <row r="118" spans="1:33" ht="14.25" customHeight="1">
      <c r="A118" s="2"/>
      <c r="B118" s="11"/>
      <c r="C118" s="11" t="s">
        <v>35</v>
      </c>
      <c r="D118" s="2"/>
      <c r="E118" s="4"/>
      <c r="F118" s="92"/>
      <c r="H118" s="18"/>
      <c r="I118" s="19"/>
      <c r="J118" s="19"/>
      <c r="Q118" s="19"/>
      <c r="R118" s="19"/>
      <c r="S118" s="19"/>
      <c r="T118" s="19"/>
      <c r="U118" s="19"/>
      <c r="V118" s="19"/>
      <c r="W118" s="19"/>
      <c r="X118" s="19"/>
      <c r="Y118" s="19"/>
      <c r="Z118" s="62"/>
      <c r="AA118" s="54"/>
      <c r="AB118" s="14"/>
      <c r="AF118" s="300"/>
    </row>
    <row r="119" spans="1:33" ht="14.25" customHeight="1">
      <c r="A119" s="2"/>
      <c r="B119" s="11"/>
      <c r="C119" s="11" t="s">
        <v>35</v>
      </c>
      <c r="D119" s="2"/>
      <c r="E119" s="4"/>
      <c r="F119" s="92"/>
      <c r="G119" s="6" t="s">
        <v>173</v>
      </c>
      <c r="H119" s="18"/>
      <c r="I119" s="19"/>
      <c r="J119" s="19"/>
      <c r="Q119" s="19"/>
      <c r="R119" s="19"/>
      <c r="S119" s="19"/>
      <c r="T119" s="19"/>
      <c r="U119" s="19"/>
      <c r="V119" s="19"/>
      <c r="W119" s="19"/>
      <c r="X119" s="19"/>
      <c r="Y119" s="19"/>
      <c r="Z119" s="62"/>
      <c r="AA119" s="54"/>
      <c r="AB119" s="14"/>
      <c r="AF119" s="300"/>
    </row>
    <row r="120" spans="1:33" ht="14.25" customHeight="1">
      <c r="A120" s="2"/>
      <c r="B120" s="11"/>
      <c r="C120" s="11" t="s">
        <v>35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1"/>
      <c r="AA120" s="55"/>
      <c r="AB120" s="14"/>
      <c r="AF120" s="300"/>
    </row>
    <row r="121" spans="1:33" ht="24" customHeight="1">
      <c r="A121" s="2"/>
      <c r="B121" s="11" t="s">
        <v>34</v>
      </c>
      <c r="C121" s="11" t="s">
        <v>35</v>
      </c>
      <c r="D121" s="2">
        <v>550190</v>
      </c>
      <c r="E121" s="4" t="s">
        <v>173</v>
      </c>
      <c r="F121" s="4" t="s">
        <v>174</v>
      </c>
      <c r="G121" s="14" t="s">
        <v>175</v>
      </c>
      <c r="H121" s="7">
        <v>3443</v>
      </c>
      <c r="I121" s="7">
        <f>H121</f>
        <v>3443</v>
      </c>
      <c r="J121" s="7">
        <v>3500</v>
      </c>
      <c r="K121" s="4" t="s">
        <v>176</v>
      </c>
      <c r="L121" s="8">
        <v>44348</v>
      </c>
      <c r="M121" s="9">
        <v>47999</v>
      </c>
      <c r="O121" s="9">
        <v>46174</v>
      </c>
      <c r="P121" s="9">
        <v>46173</v>
      </c>
      <c r="Q121" s="10">
        <v>75000</v>
      </c>
      <c r="R121" s="10">
        <f>Q121</f>
        <v>75000</v>
      </c>
      <c r="T121" s="10">
        <v>75800</v>
      </c>
      <c r="U121" s="10">
        <f>T121</f>
        <v>75800</v>
      </c>
      <c r="V121" s="10">
        <v>75000</v>
      </c>
      <c r="W121" s="10">
        <f>V121</f>
        <v>75000</v>
      </c>
      <c r="X121" s="299">
        <f>T121/H121</f>
        <v>22.015683996514667</v>
      </c>
      <c r="Y121" s="10" t="s">
        <v>58</v>
      </c>
      <c r="Z121" s="61"/>
      <c r="AA121" s="55"/>
      <c r="AB121" s="14" t="s">
        <v>40</v>
      </c>
      <c r="AC121" s="4" t="s">
        <v>177</v>
      </c>
      <c r="AF121" s="300"/>
    </row>
    <row r="122" spans="1:33" ht="14.25" customHeight="1">
      <c r="A122" s="2"/>
      <c r="B122" s="11"/>
      <c r="C122" s="11" t="s">
        <v>35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2"/>
      <c r="AA122" s="54"/>
      <c r="AB122" s="14"/>
      <c r="AF122" s="300"/>
    </row>
    <row r="123" spans="1:33" ht="14.25" customHeight="1">
      <c r="A123" s="2"/>
      <c r="B123" s="11"/>
      <c r="C123" s="11" t="s">
        <v>35</v>
      </c>
      <c r="D123" s="2"/>
      <c r="E123" s="4"/>
      <c r="G123" s="6" t="s">
        <v>178</v>
      </c>
      <c r="I123" s="10"/>
      <c r="J123" s="10"/>
      <c r="K123" s="32"/>
      <c r="T123" s="11"/>
      <c r="U123" s="10"/>
      <c r="V123" s="11"/>
      <c r="W123" s="10"/>
      <c r="X123" s="10"/>
      <c r="Y123" s="10"/>
      <c r="Z123" s="61"/>
      <c r="AA123" s="55"/>
      <c r="AB123" s="14"/>
      <c r="AF123" s="300"/>
    </row>
    <row r="124" spans="1:33">
      <c r="A124" s="2"/>
      <c r="B124" s="11"/>
      <c r="C124" s="11" t="s">
        <v>35</v>
      </c>
      <c r="D124" s="2"/>
      <c r="E124" s="4"/>
      <c r="G124" s="6"/>
      <c r="H124" s="24"/>
      <c r="I124" s="10"/>
      <c r="J124" s="10"/>
      <c r="K124" s="132"/>
      <c r="L124" s="21"/>
      <c r="M124" s="21"/>
      <c r="N124" s="21"/>
      <c r="T124" s="10"/>
      <c r="U124" s="10"/>
      <c r="V124" s="10"/>
      <c r="W124" s="10"/>
      <c r="X124" s="10"/>
      <c r="Y124" s="10"/>
      <c r="Z124" s="61"/>
      <c r="AA124" s="55"/>
      <c r="AB124" s="14"/>
      <c r="AF124" s="300"/>
    </row>
    <row r="125" spans="1:33" ht="24" customHeight="1">
      <c r="A125" s="2"/>
      <c r="B125" s="11" t="s">
        <v>34</v>
      </c>
      <c r="C125" s="11" t="s">
        <v>35</v>
      </c>
      <c r="D125" s="2">
        <v>550570</v>
      </c>
      <c r="E125" s="4" t="s">
        <v>178</v>
      </c>
      <c r="F125" s="4" t="s">
        <v>179</v>
      </c>
      <c r="G125" s="14" t="s">
        <v>180</v>
      </c>
      <c r="H125" s="7">
        <v>2604</v>
      </c>
      <c r="I125" s="7">
        <f>H125</f>
        <v>2604</v>
      </c>
      <c r="J125" s="7">
        <v>2500</v>
      </c>
      <c r="K125" s="4" t="s">
        <v>181</v>
      </c>
      <c r="L125" s="8">
        <v>44941</v>
      </c>
      <c r="M125" s="9">
        <v>47057</v>
      </c>
      <c r="Q125" s="10">
        <v>75000</v>
      </c>
      <c r="R125" s="10">
        <f>Q125</f>
        <v>75000</v>
      </c>
      <c r="T125" s="10">
        <v>80000</v>
      </c>
      <c r="U125" s="10">
        <f>T125</f>
        <v>80000</v>
      </c>
      <c r="V125" s="10">
        <v>70000</v>
      </c>
      <c r="W125" s="10">
        <f>V125</f>
        <v>70000</v>
      </c>
      <c r="X125" s="299">
        <f>T125/H125</f>
        <v>30.721966205837173</v>
      </c>
      <c r="Y125" s="10" t="s">
        <v>69</v>
      </c>
      <c r="Z125" s="61"/>
      <c r="AA125" s="55"/>
      <c r="AB125" s="14" t="s">
        <v>40</v>
      </c>
      <c r="AC125" s="4" t="s">
        <v>182</v>
      </c>
      <c r="AF125" s="300"/>
    </row>
    <row r="126" spans="1:33" ht="28.5" customHeight="1">
      <c r="A126" s="2"/>
      <c r="B126" s="11" t="s">
        <v>34</v>
      </c>
      <c r="C126" s="11" t="s">
        <v>35</v>
      </c>
      <c r="D126" s="2">
        <v>550570</v>
      </c>
      <c r="E126" s="4" t="s">
        <v>178</v>
      </c>
      <c r="F126" s="37" t="s">
        <v>183</v>
      </c>
      <c r="G126" s="14" t="s">
        <v>184</v>
      </c>
      <c r="H126" s="7">
        <v>1452</v>
      </c>
      <c r="I126" s="7">
        <f>H126</f>
        <v>1452</v>
      </c>
      <c r="J126" s="7">
        <v>1500</v>
      </c>
      <c r="K126" s="4" t="s">
        <v>185</v>
      </c>
      <c r="L126" s="8">
        <v>45586</v>
      </c>
      <c r="M126" s="9">
        <v>46827</v>
      </c>
      <c r="P126" s="9">
        <v>46097</v>
      </c>
      <c r="Q126" s="10">
        <v>117500</v>
      </c>
      <c r="R126" s="10">
        <f>Q126</f>
        <v>117500</v>
      </c>
      <c r="T126" s="10">
        <v>115000</v>
      </c>
      <c r="U126" s="10">
        <f>T126</f>
        <v>115000</v>
      </c>
      <c r="V126" s="10">
        <v>115000</v>
      </c>
      <c r="W126" s="10">
        <f>V126</f>
        <v>115000</v>
      </c>
      <c r="X126" s="299">
        <f>T126/H126</f>
        <v>79.201101928374655</v>
      </c>
      <c r="Y126" s="10" t="s">
        <v>58</v>
      </c>
      <c r="Z126" s="61"/>
      <c r="AA126" s="55"/>
      <c r="AB126" s="14" t="s">
        <v>40</v>
      </c>
      <c r="AC126" s="4" t="s">
        <v>130</v>
      </c>
      <c r="AF126" s="300"/>
    </row>
    <row r="127" spans="1:33" ht="27.75" customHeight="1">
      <c r="A127" s="2"/>
      <c r="B127" s="11" t="s">
        <v>34</v>
      </c>
      <c r="C127" s="11" t="s">
        <v>35</v>
      </c>
      <c r="D127" s="2">
        <v>550570</v>
      </c>
      <c r="E127" s="4" t="s">
        <v>178</v>
      </c>
      <c r="F127" s="4" t="s">
        <v>186</v>
      </c>
      <c r="G127" s="28" t="s">
        <v>187</v>
      </c>
      <c r="H127" s="7">
        <v>1949</v>
      </c>
      <c r="I127" s="7">
        <f>H127</f>
        <v>1949</v>
      </c>
      <c r="J127" s="7">
        <v>2000</v>
      </c>
      <c r="K127" s="4" t="s">
        <v>188</v>
      </c>
      <c r="L127" s="8">
        <v>45687</v>
      </c>
      <c r="M127" s="9">
        <v>49338</v>
      </c>
      <c r="O127" s="9">
        <v>47513</v>
      </c>
      <c r="Q127" s="27">
        <v>59000</v>
      </c>
      <c r="R127" s="10">
        <f>Q127</f>
        <v>59000</v>
      </c>
      <c r="T127" s="10">
        <v>91000</v>
      </c>
      <c r="U127" s="10">
        <f>T127</f>
        <v>91000</v>
      </c>
      <c r="V127" s="10">
        <v>115000</v>
      </c>
      <c r="W127" s="10">
        <f>V127</f>
        <v>115000</v>
      </c>
      <c r="X127" s="299">
        <f>T127/H127</f>
        <v>46.690610569522832</v>
      </c>
      <c r="Y127" s="10" t="s">
        <v>69</v>
      </c>
      <c r="Z127" s="61"/>
      <c r="AA127" s="55"/>
      <c r="AB127" s="14" t="s">
        <v>40</v>
      </c>
      <c r="AC127" s="4" t="s">
        <v>189</v>
      </c>
      <c r="AF127" s="300">
        <v>3</v>
      </c>
      <c r="AG127" s="4" t="s">
        <v>160</v>
      </c>
    </row>
    <row r="128" spans="1:33" ht="24" customHeight="1">
      <c r="A128" s="2"/>
      <c r="B128" s="11" t="s">
        <v>34</v>
      </c>
      <c r="C128" s="11" t="s">
        <v>35</v>
      </c>
      <c r="D128" s="2">
        <v>550570</v>
      </c>
      <c r="E128" s="4" t="s">
        <v>178</v>
      </c>
      <c r="F128" s="4" t="s">
        <v>190</v>
      </c>
      <c r="G128" s="14" t="s">
        <v>180</v>
      </c>
      <c r="H128" s="7">
        <v>4976</v>
      </c>
      <c r="I128" s="7">
        <f>H128</f>
        <v>4976</v>
      </c>
      <c r="J128" s="7">
        <v>5000</v>
      </c>
      <c r="K128" s="4" t="s">
        <v>191</v>
      </c>
      <c r="L128" s="8">
        <v>44722</v>
      </c>
      <c r="M128" s="9">
        <v>48374</v>
      </c>
      <c r="O128" s="9">
        <v>46548</v>
      </c>
      <c r="P128" s="9">
        <v>46547</v>
      </c>
      <c r="Q128" s="10">
        <v>230000</v>
      </c>
      <c r="R128" s="10">
        <f>Q128</f>
        <v>230000</v>
      </c>
      <c r="T128" s="10">
        <v>230000</v>
      </c>
      <c r="U128" s="10">
        <f>T128</f>
        <v>230000</v>
      </c>
      <c r="V128" s="10">
        <v>230000</v>
      </c>
      <c r="W128" s="10">
        <f>V128</f>
        <v>230000</v>
      </c>
      <c r="X128" s="299">
        <f>T128/H128</f>
        <v>46.221864951768488</v>
      </c>
      <c r="Y128" s="10" t="s">
        <v>58</v>
      </c>
      <c r="Z128" s="61"/>
      <c r="AA128" s="55"/>
      <c r="AB128" s="14" t="s">
        <v>40</v>
      </c>
      <c r="AC128" s="13" t="s">
        <v>192</v>
      </c>
      <c r="AE128" s="13"/>
      <c r="AF128" s="304"/>
      <c r="AG128" s="13"/>
    </row>
    <row r="129" spans="1:33" ht="14.25" customHeight="1">
      <c r="A129" s="2"/>
      <c r="B129" s="11"/>
      <c r="C129" s="11" t="s">
        <v>35</v>
      </c>
      <c r="D129" s="2"/>
      <c r="E129" s="4"/>
      <c r="H129" s="18"/>
      <c r="I129" s="19"/>
      <c r="J129" s="19"/>
      <c r="Q129" s="19"/>
      <c r="R129" s="19"/>
      <c r="S129" s="19"/>
      <c r="T129" s="19"/>
      <c r="U129" s="19"/>
      <c r="V129" s="19"/>
      <c r="W129" s="19"/>
      <c r="X129" s="19"/>
      <c r="Y129" s="19"/>
      <c r="Z129" s="62"/>
      <c r="AA129" s="54"/>
      <c r="AB129" s="14"/>
      <c r="AF129" s="300"/>
    </row>
    <row r="130" spans="1:33" ht="14.25" customHeight="1">
      <c r="A130" s="2"/>
      <c r="B130" s="11"/>
      <c r="C130" s="11" t="s">
        <v>35</v>
      </c>
      <c r="D130" s="2"/>
      <c r="E130" s="4"/>
      <c r="G130" s="6" t="s">
        <v>193</v>
      </c>
      <c r="I130" s="10"/>
      <c r="J130" s="10"/>
      <c r="K130" s="32"/>
      <c r="P130" s="143"/>
      <c r="T130" s="11"/>
      <c r="U130" s="10"/>
      <c r="V130" s="11"/>
      <c r="W130" s="10"/>
      <c r="X130" s="10"/>
      <c r="Y130" s="10"/>
      <c r="Z130" s="61"/>
      <c r="AA130" s="55"/>
      <c r="AB130" s="14"/>
      <c r="AF130" s="300"/>
    </row>
    <row r="131" spans="1:33" ht="14.25" customHeight="1">
      <c r="A131" s="2"/>
      <c r="B131" s="11"/>
      <c r="C131" s="11" t="s">
        <v>35</v>
      </c>
      <c r="D131" s="2"/>
      <c r="E131" s="4"/>
      <c r="I131" s="10"/>
      <c r="J131" s="10"/>
      <c r="P131" s="143"/>
      <c r="T131" s="11"/>
      <c r="U131" s="10"/>
      <c r="V131" s="11"/>
      <c r="W131" s="10"/>
      <c r="X131" s="10"/>
      <c r="Y131" s="10"/>
      <c r="Z131" s="61"/>
      <c r="AA131" s="55"/>
      <c r="AB131" s="14"/>
      <c r="AF131" s="300"/>
    </row>
    <row r="132" spans="1:33" ht="17.25" customHeight="1">
      <c r="A132" s="2"/>
      <c r="B132" s="11" t="s">
        <v>97</v>
      </c>
      <c r="C132" s="11" t="s">
        <v>35</v>
      </c>
      <c r="D132" s="2">
        <v>550430</v>
      </c>
      <c r="E132" s="4" t="s">
        <v>193</v>
      </c>
      <c r="F132" s="4" t="s">
        <v>36</v>
      </c>
      <c r="G132" s="14" t="s">
        <v>46</v>
      </c>
      <c r="H132" s="18">
        <v>2692</v>
      </c>
      <c r="I132" s="10">
        <f>H132</f>
        <v>2692</v>
      </c>
      <c r="J132" s="10">
        <v>2750</v>
      </c>
      <c r="K132" s="4" t="s">
        <v>194</v>
      </c>
      <c r="L132" s="8">
        <v>39814</v>
      </c>
      <c r="M132" s="9">
        <v>45577</v>
      </c>
      <c r="Q132" s="19">
        <v>104500</v>
      </c>
      <c r="R132" s="10">
        <f>Q132</f>
        <v>104500</v>
      </c>
      <c r="S132" s="19">
        <f>R132</f>
        <v>104500</v>
      </c>
      <c r="T132" s="19">
        <v>94400</v>
      </c>
      <c r="U132" s="10">
        <f>T132</f>
        <v>94400</v>
      </c>
      <c r="V132" s="19">
        <v>94400</v>
      </c>
      <c r="W132" s="10">
        <f>V132</f>
        <v>94400</v>
      </c>
      <c r="X132" s="299">
        <f>T132/H132</f>
        <v>35.066864784546809</v>
      </c>
      <c r="Y132" s="10" t="s">
        <v>58</v>
      </c>
      <c r="Z132" s="61"/>
      <c r="AA132" s="19">
        <v>1425000</v>
      </c>
      <c r="AB132" s="14" t="s">
        <v>94</v>
      </c>
      <c r="AC132" s="4" t="s">
        <v>195</v>
      </c>
      <c r="AF132" s="300"/>
    </row>
    <row r="133" spans="1:33" ht="14.25" customHeight="1">
      <c r="A133" s="2"/>
      <c r="B133" s="11"/>
      <c r="C133" s="11" t="s">
        <v>35</v>
      </c>
      <c r="D133" s="2"/>
      <c r="E133" s="4"/>
      <c r="I133" s="10"/>
      <c r="J133" s="10"/>
      <c r="T133" s="10"/>
      <c r="U133" s="10"/>
      <c r="V133" s="10"/>
      <c r="W133" s="10"/>
      <c r="X133" s="10"/>
      <c r="Y133" s="10"/>
      <c r="Z133" s="61"/>
      <c r="AA133" s="19"/>
      <c r="AB133" s="14"/>
      <c r="AF133" s="300"/>
    </row>
    <row r="134" spans="1:33" ht="14.25" customHeight="1">
      <c r="A134" s="2"/>
      <c r="B134" s="11"/>
      <c r="C134" s="11" t="s">
        <v>35</v>
      </c>
      <c r="D134" s="2"/>
      <c r="E134" s="4"/>
      <c r="G134" s="6" t="s">
        <v>196</v>
      </c>
      <c r="I134" s="10"/>
      <c r="J134" s="10"/>
      <c r="K134" s="32"/>
      <c r="T134" s="11"/>
      <c r="U134" s="10"/>
      <c r="V134" s="11"/>
      <c r="W134" s="10"/>
      <c r="X134" s="10"/>
      <c r="Y134" s="10"/>
      <c r="Z134" s="61"/>
      <c r="AA134" s="19"/>
      <c r="AB134" s="14"/>
      <c r="AF134" s="300"/>
    </row>
    <row r="135" spans="1:33" ht="14.25" customHeight="1">
      <c r="A135" s="2"/>
      <c r="B135" s="11"/>
      <c r="C135" s="11" t="s">
        <v>35</v>
      </c>
      <c r="D135" s="2"/>
      <c r="E135" s="4"/>
      <c r="G135" s="6"/>
      <c r="H135" s="133"/>
      <c r="I135" s="10"/>
      <c r="J135" s="10"/>
      <c r="K135" s="20"/>
      <c r="L135" s="120"/>
      <c r="T135" s="10"/>
      <c r="U135" s="10"/>
      <c r="V135" s="10"/>
      <c r="W135" s="10"/>
      <c r="X135" s="10"/>
      <c r="Y135" s="10"/>
      <c r="Z135" s="61"/>
      <c r="AA135" s="19"/>
      <c r="AB135" s="14"/>
      <c r="AF135" s="300"/>
    </row>
    <row r="136" spans="1:33">
      <c r="A136" s="2"/>
      <c r="B136" s="11" t="s">
        <v>97</v>
      </c>
      <c r="C136" s="11" t="s">
        <v>35</v>
      </c>
      <c r="D136" s="2">
        <v>550440</v>
      </c>
      <c r="E136" s="4" t="s">
        <v>196</v>
      </c>
      <c r="F136" s="4" t="s">
        <v>66</v>
      </c>
      <c r="G136" s="14" t="s">
        <v>46</v>
      </c>
      <c r="H136" s="7">
        <v>1171</v>
      </c>
      <c r="I136" s="10">
        <f>H136</f>
        <v>1171</v>
      </c>
      <c r="J136" s="10">
        <v>1000</v>
      </c>
      <c r="K136" s="4" t="s">
        <v>194</v>
      </c>
      <c r="L136" s="8">
        <v>39814</v>
      </c>
      <c r="M136" s="9">
        <v>45577</v>
      </c>
      <c r="Q136" s="10">
        <v>50425</v>
      </c>
      <c r="R136" s="10">
        <f>Q136</f>
        <v>50425</v>
      </c>
      <c r="T136" s="10">
        <v>41000</v>
      </c>
      <c r="U136" s="10">
        <f>T136</f>
        <v>41000</v>
      </c>
      <c r="V136" s="10">
        <v>41000</v>
      </c>
      <c r="W136" s="10">
        <f>V136</f>
        <v>41000</v>
      </c>
      <c r="X136" s="299">
        <f>T136/H136</f>
        <v>35.012809564474807</v>
      </c>
      <c r="Y136" s="10" t="s">
        <v>58</v>
      </c>
      <c r="Z136" s="61"/>
      <c r="AA136" s="19"/>
      <c r="AB136" s="14" t="s">
        <v>94</v>
      </c>
      <c r="AC136" s="4" t="s">
        <v>195</v>
      </c>
      <c r="AF136" s="300"/>
    </row>
    <row r="137" spans="1:33" ht="28.5" customHeight="1">
      <c r="A137" s="2"/>
      <c r="B137" s="11" t="s">
        <v>97</v>
      </c>
      <c r="C137" s="11" t="s">
        <v>35</v>
      </c>
      <c r="D137" s="2">
        <v>550440</v>
      </c>
      <c r="E137" s="4" t="s">
        <v>196</v>
      </c>
      <c r="F137" s="4" t="s">
        <v>197</v>
      </c>
      <c r="G137" s="14" t="s">
        <v>198</v>
      </c>
      <c r="H137" s="7">
        <v>1120</v>
      </c>
      <c r="I137" s="10">
        <f>H137</f>
        <v>1120</v>
      </c>
      <c r="J137" s="10">
        <v>1000</v>
      </c>
      <c r="K137" s="4" t="s">
        <v>194</v>
      </c>
      <c r="L137" s="8">
        <v>45292</v>
      </c>
      <c r="Q137" s="10">
        <v>61575</v>
      </c>
      <c r="R137" s="10">
        <f>Q137</f>
        <v>61575</v>
      </c>
      <c r="T137" s="10">
        <v>58800</v>
      </c>
      <c r="U137" s="10">
        <f>T137</f>
        <v>58800</v>
      </c>
      <c r="V137" s="10">
        <v>58800</v>
      </c>
      <c r="W137" s="10">
        <f>V137</f>
        <v>58800</v>
      </c>
      <c r="X137" s="10"/>
      <c r="Y137" s="10" t="s">
        <v>76</v>
      </c>
      <c r="Z137" s="61"/>
      <c r="AA137" s="19"/>
      <c r="AB137" s="14" t="s">
        <v>40</v>
      </c>
      <c r="AC137" s="4" t="s">
        <v>147</v>
      </c>
      <c r="AF137" s="300"/>
    </row>
    <row r="138" spans="1:33" ht="14.25" customHeight="1">
      <c r="A138" s="2"/>
      <c r="B138" s="11"/>
      <c r="C138" s="11" t="s">
        <v>35</v>
      </c>
      <c r="D138" s="2"/>
      <c r="E138" s="4"/>
      <c r="I138" s="10"/>
      <c r="J138" s="10"/>
      <c r="T138" s="10"/>
      <c r="U138" s="10"/>
      <c r="V138" s="10"/>
      <c r="W138" s="10"/>
      <c r="X138" s="10"/>
      <c r="Y138" s="10"/>
      <c r="Z138" s="61"/>
      <c r="AA138" s="19"/>
      <c r="AB138" s="14"/>
      <c r="AF138" s="300"/>
    </row>
    <row r="139" spans="1:33" ht="14.25" customHeight="1">
      <c r="A139" s="2"/>
      <c r="B139" s="11"/>
      <c r="C139" s="11" t="s">
        <v>35</v>
      </c>
      <c r="D139" s="2"/>
      <c r="E139" s="4"/>
      <c r="F139" s="92" t="s">
        <v>196</v>
      </c>
      <c r="H139" s="18">
        <f>SUM(H136:H137)</f>
        <v>2291</v>
      </c>
      <c r="I139" s="19"/>
      <c r="J139" s="19"/>
      <c r="Q139" s="19">
        <f>SUM(Q136:Q137)</f>
        <v>112000</v>
      </c>
      <c r="R139" s="19"/>
      <c r="S139" s="19">
        <f>SUM(R135:R138)</f>
        <v>112000</v>
      </c>
      <c r="T139" s="19">
        <f>SUM(T136:T137)</f>
        <v>99800</v>
      </c>
      <c r="U139" s="19"/>
      <c r="V139" s="19">
        <f>SUM(V136:V137)</f>
        <v>99800</v>
      </c>
      <c r="W139" s="19"/>
      <c r="X139" s="19"/>
      <c r="Y139" s="19"/>
      <c r="Z139" s="62"/>
      <c r="AA139" s="19">
        <v>1525000</v>
      </c>
      <c r="AB139" s="14"/>
      <c r="AF139" s="300"/>
    </row>
    <row r="140" spans="1:33" ht="14.25" customHeight="1">
      <c r="A140" s="2"/>
      <c r="B140" s="11"/>
      <c r="C140" s="11" t="s">
        <v>35</v>
      </c>
      <c r="D140" s="2"/>
      <c r="E140" s="4"/>
      <c r="I140" s="10"/>
      <c r="J140" s="10"/>
      <c r="T140" s="10"/>
      <c r="U140" s="10"/>
      <c r="V140" s="10"/>
      <c r="W140" s="10"/>
      <c r="X140" s="10"/>
      <c r="Y140" s="10"/>
      <c r="Z140" s="61"/>
      <c r="AA140" s="19"/>
      <c r="AB140" s="14"/>
      <c r="AF140" s="300"/>
    </row>
    <row r="141" spans="1:33" ht="14.25" customHeight="1">
      <c r="A141" s="2"/>
      <c r="B141" s="11"/>
      <c r="C141" s="11" t="s">
        <v>35</v>
      </c>
      <c r="D141" s="2"/>
      <c r="E141" s="4"/>
      <c r="G141" s="6" t="s">
        <v>199</v>
      </c>
      <c r="I141" s="10"/>
      <c r="J141" s="10"/>
      <c r="K141" s="32"/>
      <c r="T141" s="11"/>
      <c r="U141" s="10"/>
      <c r="V141" s="11"/>
      <c r="W141" s="10"/>
      <c r="X141" s="10"/>
      <c r="Y141" s="10"/>
      <c r="Z141" s="61"/>
      <c r="AA141" s="19"/>
      <c r="AB141" s="14"/>
      <c r="AF141" s="300"/>
    </row>
    <row r="142" spans="1:33" ht="14.25" customHeight="1">
      <c r="A142" s="2"/>
      <c r="B142" s="11"/>
      <c r="C142" s="11" t="s">
        <v>35</v>
      </c>
      <c r="D142" s="2"/>
      <c r="E142" s="4"/>
      <c r="I142" s="10"/>
      <c r="J142" s="10"/>
      <c r="T142" s="10"/>
      <c r="U142" s="10"/>
      <c r="V142" s="10"/>
      <c r="W142" s="10"/>
      <c r="X142" s="10"/>
      <c r="Y142" s="10"/>
      <c r="Z142" s="61"/>
      <c r="AA142" s="19"/>
      <c r="AB142" s="14"/>
      <c r="AF142" s="300"/>
    </row>
    <row r="143" spans="1:33" ht="24" customHeight="1">
      <c r="A143" s="2"/>
      <c r="B143" s="11" t="s">
        <v>60</v>
      </c>
      <c r="C143" s="11" t="s">
        <v>35</v>
      </c>
      <c r="D143" s="2">
        <v>550220</v>
      </c>
      <c r="E143" s="4" t="s">
        <v>199</v>
      </c>
      <c r="F143" s="4" t="s">
        <v>200</v>
      </c>
      <c r="G143" s="14" t="s">
        <v>201</v>
      </c>
      <c r="H143" s="39">
        <v>4284</v>
      </c>
      <c r="I143" s="10">
        <f>H143</f>
        <v>4284</v>
      </c>
      <c r="J143" s="10">
        <v>4250</v>
      </c>
      <c r="K143" s="4" t="s">
        <v>68</v>
      </c>
      <c r="N143" s="9">
        <v>44387</v>
      </c>
      <c r="Q143" s="19">
        <v>0</v>
      </c>
      <c r="R143" s="10">
        <f>Q143</f>
        <v>0</v>
      </c>
      <c r="S143" s="19">
        <f>R143</f>
        <v>0</v>
      </c>
      <c r="T143" s="19">
        <v>0</v>
      </c>
      <c r="U143" s="10">
        <f>T143</f>
        <v>0</v>
      </c>
      <c r="V143" s="19">
        <v>0</v>
      </c>
      <c r="W143" s="10">
        <f>V143</f>
        <v>0</v>
      </c>
      <c r="X143" s="10"/>
      <c r="Y143" s="10"/>
      <c r="Z143" s="61"/>
      <c r="AA143" s="19">
        <v>1500000</v>
      </c>
      <c r="AB143" s="14" t="s">
        <v>40</v>
      </c>
      <c r="AC143" s="4" t="s">
        <v>202</v>
      </c>
      <c r="AE143" s="29"/>
      <c r="AF143" s="301"/>
      <c r="AG143" s="29"/>
    </row>
    <row r="144" spans="1:33" ht="14.25" customHeight="1">
      <c r="A144" s="2"/>
      <c r="B144" s="11"/>
      <c r="C144" s="11" t="s">
        <v>35</v>
      </c>
      <c r="D144" s="2"/>
      <c r="E144" s="4"/>
      <c r="I144" s="10"/>
      <c r="J144" s="10"/>
      <c r="T144" s="10"/>
      <c r="U144" s="10"/>
      <c r="V144" s="10"/>
      <c r="W144" s="10"/>
      <c r="X144" s="10"/>
      <c r="Y144" s="10"/>
      <c r="Z144" s="61"/>
      <c r="AA144" s="55"/>
      <c r="AB144" s="14"/>
      <c r="AF144" s="300"/>
    </row>
    <row r="145" spans="1:33" ht="14.25" customHeight="1">
      <c r="A145" s="2"/>
      <c r="B145" s="11"/>
      <c r="C145" s="11" t="s">
        <v>35</v>
      </c>
      <c r="D145" s="2"/>
      <c r="E145" s="4"/>
      <c r="F145" s="92" t="s">
        <v>203</v>
      </c>
      <c r="H145" s="33">
        <f>SUM(H143:H144)</f>
        <v>4284</v>
      </c>
      <c r="I145" s="18"/>
      <c r="J145" s="18"/>
      <c r="K145" s="34"/>
      <c r="L145" s="35"/>
      <c r="M145" s="36"/>
      <c r="N145" s="36"/>
      <c r="O145" s="36"/>
      <c r="P145" s="36"/>
      <c r="Q145" s="33"/>
      <c r="R145" s="33"/>
      <c r="S145" s="33"/>
      <c r="T145" s="33">
        <f>SUM(T143:T144)</f>
        <v>0</v>
      </c>
      <c r="U145" s="33"/>
      <c r="V145" s="33">
        <f>SUM(V143:V144)</f>
        <v>0</v>
      </c>
      <c r="W145" s="33"/>
      <c r="X145" s="33"/>
      <c r="Y145" s="33"/>
      <c r="Z145" s="63"/>
      <c r="AA145" s="260"/>
      <c r="AB145" s="14"/>
      <c r="AF145" s="300"/>
    </row>
    <row r="146" spans="1:33" ht="14.25" customHeight="1">
      <c r="A146" s="2"/>
      <c r="B146" s="11"/>
      <c r="C146" s="11" t="s">
        <v>35</v>
      </c>
      <c r="D146" s="2"/>
      <c r="E146" s="4"/>
      <c r="G146" s="6" t="s">
        <v>204</v>
      </c>
      <c r="I146" s="10"/>
      <c r="J146" s="10"/>
      <c r="K146" s="32"/>
      <c r="T146" s="11"/>
      <c r="U146" s="10"/>
      <c r="V146" s="11"/>
      <c r="W146" s="10"/>
      <c r="X146" s="10"/>
      <c r="Y146" s="10"/>
      <c r="Z146" s="61"/>
      <c r="AA146" s="19"/>
      <c r="AB146" s="14"/>
      <c r="AF146" s="300"/>
    </row>
    <row r="147" spans="1:33" ht="14.25" customHeight="1">
      <c r="A147" s="2"/>
      <c r="B147" s="11"/>
      <c r="C147" s="11" t="s">
        <v>35</v>
      </c>
      <c r="D147" s="2"/>
      <c r="E147" s="4"/>
      <c r="G147" s="6"/>
      <c r="I147" s="10"/>
      <c r="J147" s="10"/>
      <c r="T147" s="10"/>
      <c r="U147" s="10"/>
      <c r="V147" s="10"/>
      <c r="W147" s="10"/>
      <c r="X147" s="10"/>
      <c r="Y147" s="10"/>
      <c r="Z147" s="61"/>
      <c r="AA147" s="19"/>
      <c r="AB147" s="14"/>
      <c r="AF147" s="300"/>
    </row>
    <row r="148" spans="1:33" ht="41.25" customHeight="1">
      <c r="A148" s="2"/>
      <c r="B148" s="11" t="s">
        <v>60</v>
      </c>
      <c r="C148" s="11" t="s">
        <v>35</v>
      </c>
      <c r="D148" s="2">
        <v>550890</v>
      </c>
      <c r="E148" s="4" t="s">
        <v>204</v>
      </c>
      <c r="F148" s="4" t="s">
        <v>36</v>
      </c>
      <c r="G148" s="14" t="s">
        <v>205</v>
      </c>
      <c r="H148" s="18">
        <v>23500</v>
      </c>
      <c r="I148" s="10">
        <f>H148</f>
        <v>23500</v>
      </c>
      <c r="J148" s="10">
        <v>23500</v>
      </c>
      <c r="K148" s="4" t="s">
        <v>206</v>
      </c>
      <c r="L148" s="8">
        <v>45651</v>
      </c>
      <c r="M148" s="9">
        <v>49302</v>
      </c>
      <c r="O148" s="8">
        <v>47477</v>
      </c>
      <c r="P148" s="8"/>
      <c r="Q148" s="19">
        <v>660000</v>
      </c>
      <c r="R148" s="10">
        <f>Q148</f>
        <v>660000</v>
      </c>
      <c r="S148" s="19">
        <f>R148</f>
        <v>660000</v>
      </c>
      <c r="T148" s="19">
        <v>0</v>
      </c>
      <c r="U148" s="10">
        <f>T148</f>
        <v>0</v>
      </c>
      <c r="V148" s="19">
        <v>0</v>
      </c>
      <c r="W148" s="10">
        <f>V148</f>
        <v>0</v>
      </c>
      <c r="X148" s="10"/>
      <c r="Y148" s="10" t="s">
        <v>58</v>
      </c>
      <c r="Z148" s="61"/>
      <c r="AA148" s="19">
        <v>17500000</v>
      </c>
      <c r="AB148" s="14" t="s">
        <v>40</v>
      </c>
      <c r="AC148" s="135" t="s">
        <v>207</v>
      </c>
      <c r="AD148" s="327"/>
      <c r="AE148" s="135"/>
      <c r="AF148" s="305"/>
      <c r="AG148" s="135"/>
    </row>
    <row r="149" spans="1:33" ht="14.25" customHeight="1">
      <c r="A149" s="2"/>
      <c r="B149" s="11"/>
      <c r="C149" s="11" t="s">
        <v>35</v>
      </c>
      <c r="D149" s="2"/>
      <c r="E149" s="4"/>
      <c r="H149" s="18"/>
      <c r="I149" s="10"/>
      <c r="J149" s="10"/>
      <c r="Q149" s="19"/>
      <c r="R149" s="19"/>
      <c r="S149" s="19"/>
      <c r="T149" s="19"/>
      <c r="U149" s="19"/>
      <c r="V149" s="19"/>
      <c r="W149" s="19"/>
      <c r="X149" s="19"/>
      <c r="Y149" s="19"/>
      <c r="Z149" s="62"/>
      <c r="AA149" s="19"/>
      <c r="AB149" s="14"/>
      <c r="AF149" s="300"/>
    </row>
    <row r="150" spans="1:33" ht="14.25" customHeight="1">
      <c r="A150" s="2"/>
      <c r="B150" s="11"/>
      <c r="C150" s="11" t="s">
        <v>35</v>
      </c>
      <c r="D150" s="2"/>
      <c r="E150" s="4"/>
      <c r="G150" s="6" t="s">
        <v>208</v>
      </c>
      <c r="I150" s="10"/>
      <c r="J150" s="10"/>
      <c r="K150" s="32"/>
      <c r="T150" s="11"/>
      <c r="U150" s="10"/>
      <c r="V150" s="11"/>
      <c r="W150" s="10"/>
      <c r="X150" s="10"/>
      <c r="Y150" s="10"/>
      <c r="Z150" s="61"/>
      <c r="AA150" s="19"/>
      <c r="AB150" s="14"/>
      <c r="AF150" s="300"/>
    </row>
    <row r="151" spans="1:33" ht="14.25" customHeight="1">
      <c r="A151" s="2"/>
      <c r="B151" s="11"/>
      <c r="C151" s="11" t="s">
        <v>35</v>
      </c>
      <c r="D151" s="2"/>
      <c r="E151" s="4"/>
      <c r="H151" s="18"/>
      <c r="I151" s="19"/>
      <c r="J151" s="19"/>
      <c r="K151" s="37"/>
      <c r="L151" s="46"/>
      <c r="Q151" s="19"/>
      <c r="R151" s="19"/>
      <c r="S151" s="19"/>
      <c r="T151" s="19"/>
      <c r="U151" s="19"/>
      <c r="V151" s="19"/>
      <c r="W151" s="19"/>
      <c r="X151" s="19"/>
      <c r="Y151" s="19"/>
      <c r="Z151" s="62"/>
      <c r="AA151" s="19"/>
      <c r="AB151" s="14"/>
      <c r="AC151" s="37"/>
      <c r="AD151" s="325"/>
      <c r="AE151" s="37"/>
      <c r="AF151" s="302"/>
      <c r="AG151" s="37"/>
    </row>
    <row r="152" spans="1:33">
      <c r="A152" s="2"/>
      <c r="B152" s="11" t="s">
        <v>119</v>
      </c>
      <c r="C152" s="11" t="s">
        <v>35</v>
      </c>
      <c r="D152" s="2">
        <v>550586</v>
      </c>
      <c r="E152" s="4" t="s">
        <v>208</v>
      </c>
      <c r="F152" s="4" t="s">
        <v>209</v>
      </c>
      <c r="G152" s="14" t="s">
        <v>210</v>
      </c>
      <c r="H152" s="18">
        <v>420</v>
      </c>
      <c r="I152" s="10">
        <f>H152</f>
        <v>420</v>
      </c>
      <c r="J152" s="10">
        <v>500</v>
      </c>
      <c r="K152" s="4" t="s">
        <v>211</v>
      </c>
      <c r="L152" s="8">
        <v>45664</v>
      </c>
      <c r="M152" s="9">
        <v>46028</v>
      </c>
      <c r="P152" s="9">
        <v>45814</v>
      </c>
      <c r="Q152" s="19">
        <v>25220</v>
      </c>
      <c r="R152" s="10">
        <f>Q152</f>
        <v>25220</v>
      </c>
      <c r="S152" s="19">
        <f>R152</f>
        <v>25220</v>
      </c>
      <c r="T152" s="19">
        <v>27000</v>
      </c>
      <c r="U152" s="10">
        <f>T152</f>
        <v>27000</v>
      </c>
      <c r="V152" s="19">
        <v>27000</v>
      </c>
      <c r="W152" s="10">
        <f>V152</f>
        <v>27000</v>
      </c>
      <c r="X152" s="10"/>
      <c r="Y152" s="10" t="s">
        <v>69</v>
      </c>
      <c r="Z152" s="61"/>
      <c r="AA152" s="19">
        <v>590000</v>
      </c>
      <c r="AB152" s="14" t="s">
        <v>40</v>
      </c>
      <c r="AC152" s="4" t="s">
        <v>212</v>
      </c>
      <c r="AE152" s="29"/>
      <c r="AF152" s="301"/>
      <c r="AG152" s="29"/>
    </row>
    <row r="153" spans="1:33" ht="14.25" customHeight="1">
      <c r="A153" s="2"/>
      <c r="B153" s="11"/>
      <c r="C153" s="11" t="s">
        <v>35</v>
      </c>
      <c r="D153" s="2"/>
      <c r="E153" s="4"/>
      <c r="H153" s="18"/>
      <c r="I153" s="19"/>
      <c r="J153" s="19"/>
      <c r="Q153" s="19"/>
      <c r="R153" s="19"/>
      <c r="S153" s="19"/>
      <c r="T153" s="19"/>
      <c r="U153" s="19"/>
      <c r="V153" s="19"/>
      <c r="W153" s="19"/>
      <c r="X153" s="19"/>
      <c r="Y153" s="19"/>
      <c r="Z153" s="62"/>
      <c r="AA153" s="54"/>
      <c r="AB153" s="14"/>
      <c r="AF153" s="300"/>
    </row>
    <row r="154" spans="1:33" ht="14.25" customHeight="1">
      <c r="A154" s="2"/>
      <c r="B154" s="11"/>
      <c r="C154" s="11" t="s">
        <v>35</v>
      </c>
      <c r="D154" s="2"/>
      <c r="E154" s="4"/>
      <c r="F154" s="92" t="s">
        <v>213</v>
      </c>
      <c r="H154" s="33">
        <f>SUM(H152:H153)</f>
        <v>420</v>
      </c>
      <c r="I154" s="18"/>
      <c r="J154" s="18"/>
      <c r="K154" s="34"/>
      <c r="L154" s="35"/>
      <c r="M154" s="36"/>
      <c r="N154" s="36"/>
      <c r="O154" s="36"/>
      <c r="P154" s="36"/>
      <c r="Q154" s="33"/>
      <c r="R154" s="33"/>
      <c r="S154" s="33"/>
      <c r="T154" s="33">
        <f>SUM(T152:T153)</f>
        <v>27000</v>
      </c>
      <c r="U154" s="33"/>
      <c r="V154" s="33">
        <f>SUM(V152:V153)</f>
        <v>27000</v>
      </c>
      <c r="W154" s="33"/>
      <c r="X154" s="33"/>
      <c r="Y154" s="33"/>
      <c r="Z154" s="63"/>
      <c r="AA154" s="260"/>
      <c r="AB154" s="14"/>
      <c r="AF154" s="300"/>
    </row>
    <row r="155" spans="1:33" ht="14.25" customHeight="1">
      <c r="A155" s="2"/>
      <c r="B155" s="11"/>
      <c r="C155" s="11" t="s">
        <v>35</v>
      </c>
      <c r="D155" s="2"/>
      <c r="E155" s="4"/>
      <c r="G155" s="6" t="s">
        <v>214</v>
      </c>
      <c r="I155" s="10"/>
      <c r="J155" s="10"/>
      <c r="K155" s="32"/>
      <c r="T155" s="11"/>
      <c r="U155" s="10"/>
      <c r="V155" s="11"/>
      <c r="W155" s="10"/>
      <c r="X155" s="10"/>
      <c r="Y155" s="10"/>
      <c r="Z155" s="61"/>
      <c r="AA155" s="55"/>
      <c r="AB155" s="14"/>
      <c r="AF155" s="300"/>
    </row>
    <row r="156" spans="1:33" ht="14.25" customHeight="1">
      <c r="A156" s="2"/>
      <c r="B156" s="11"/>
      <c r="C156" s="11" t="s">
        <v>35</v>
      </c>
      <c r="D156" s="2"/>
      <c r="E156" s="4"/>
      <c r="G156" s="6"/>
      <c r="H156" s="126"/>
      <c r="I156" s="10"/>
      <c r="J156" s="10"/>
      <c r="K156" s="123"/>
      <c r="T156" s="10"/>
      <c r="U156" s="10"/>
      <c r="V156" s="10"/>
      <c r="W156" s="10"/>
      <c r="X156" s="10"/>
      <c r="Y156" s="10"/>
      <c r="Z156" s="61"/>
      <c r="AA156" s="55"/>
      <c r="AB156" s="14"/>
      <c r="AF156" s="300"/>
    </row>
    <row r="157" spans="1:33" ht="24" customHeight="1">
      <c r="A157" s="2"/>
      <c r="B157" s="11" t="s">
        <v>97</v>
      </c>
      <c r="C157" s="11" t="s">
        <v>35</v>
      </c>
      <c r="D157" s="2">
        <v>550300</v>
      </c>
      <c r="E157" s="4" t="s">
        <v>214</v>
      </c>
      <c r="F157" s="37" t="s">
        <v>215</v>
      </c>
      <c r="G157" s="14" t="s">
        <v>216</v>
      </c>
      <c r="H157" s="7">
        <v>1911</v>
      </c>
      <c r="I157" s="7">
        <f>H157</f>
        <v>1911</v>
      </c>
      <c r="J157" s="7">
        <v>2000</v>
      </c>
      <c r="K157" s="4" t="s">
        <v>217</v>
      </c>
      <c r="L157" s="8">
        <v>44774</v>
      </c>
      <c r="M157" s="9">
        <v>46599</v>
      </c>
      <c r="P157" s="9">
        <v>45870</v>
      </c>
      <c r="Q157" s="10">
        <v>44735</v>
      </c>
      <c r="R157" s="10">
        <f>Q157</f>
        <v>44735</v>
      </c>
      <c r="T157" s="10">
        <v>45700</v>
      </c>
      <c r="U157" s="10">
        <f>T157</f>
        <v>45700</v>
      </c>
      <c r="V157" s="10">
        <v>47800</v>
      </c>
      <c r="W157" s="10">
        <f>V157</f>
        <v>47800</v>
      </c>
      <c r="X157" s="299">
        <f>T157/H157</f>
        <v>23.914181057038199</v>
      </c>
      <c r="Y157" s="10" t="s">
        <v>76</v>
      </c>
      <c r="Z157" s="61"/>
      <c r="AA157" s="55"/>
      <c r="AB157" s="14" t="s">
        <v>40</v>
      </c>
      <c r="AC157" s="4" t="s">
        <v>218</v>
      </c>
      <c r="AF157" s="300"/>
    </row>
    <row r="158" spans="1:33" ht="24" customHeight="1">
      <c r="A158" s="2"/>
      <c r="B158" s="11" t="s">
        <v>97</v>
      </c>
      <c r="C158" s="11" t="s">
        <v>35</v>
      </c>
      <c r="D158" s="2">
        <v>550300</v>
      </c>
      <c r="E158" s="4" t="s">
        <v>214</v>
      </c>
      <c r="F158" s="37" t="s">
        <v>219</v>
      </c>
      <c r="G158" s="14" t="s">
        <v>220</v>
      </c>
      <c r="H158" s="7">
        <v>0</v>
      </c>
      <c r="I158" s="7">
        <f>H158</f>
        <v>0</v>
      </c>
      <c r="K158" s="4" t="s">
        <v>106</v>
      </c>
      <c r="N158" s="9">
        <v>45456</v>
      </c>
      <c r="Q158" s="10">
        <v>0</v>
      </c>
      <c r="R158" s="10">
        <f>Q158</f>
        <v>0</v>
      </c>
      <c r="T158" s="10">
        <v>0</v>
      </c>
      <c r="U158" s="10">
        <f>T158</f>
        <v>0</v>
      </c>
      <c r="V158" s="10">
        <v>0</v>
      </c>
      <c r="W158" s="10">
        <f>V158</f>
        <v>0</v>
      </c>
      <c r="X158" s="299"/>
      <c r="Y158" s="10" t="s">
        <v>76</v>
      </c>
      <c r="Z158" s="61"/>
      <c r="AA158" s="55"/>
      <c r="AB158" s="14" t="s">
        <v>40</v>
      </c>
      <c r="AF158" s="300"/>
    </row>
    <row r="159" spans="1:33" ht="14.25" customHeight="1">
      <c r="A159" s="2"/>
      <c r="B159" s="11" t="s">
        <v>97</v>
      </c>
      <c r="C159" s="11" t="s">
        <v>35</v>
      </c>
      <c r="D159" s="2">
        <v>550300</v>
      </c>
      <c r="E159" s="4" t="s">
        <v>214</v>
      </c>
      <c r="F159" s="4" t="s">
        <v>221</v>
      </c>
      <c r="G159" s="14" t="s">
        <v>120</v>
      </c>
      <c r="H159" s="7">
        <v>495</v>
      </c>
      <c r="I159" s="7">
        <f>H159</f>
        <v>495</v>
      </c>
      <c r="J159" s="7">
        <v>500</v>
      </c>
      <c r="K159" s="4" t="s">
        <v>222</v>
      </c>
      <c r="L159" s="8">
        <v>45010</v>
      </c>
      <c r="M159" s="9">
        <v>48662</v>
      </c>
      <c r="O159" s="9">
        <v>46837</v>
      </c>
      <c r="Q159" s="10">
        <v>35000</v>
      </c>
      <c r="R159" s="10">
        <f>Q159</f>
        <v>35000</v>
      </c>
      <c r="T159" s="10">
        <v>35400</v>
      </c>
      <c r="U159" s="10">
        <f>T159</f>
        <v>35400</v>
      </c>
      <c r="V159" s="10">
        <v>35000</v>
      </c>
      <c r="W159" s="10">
        <f>V159</f>
        <v>35000</v>
      </c>
      <c r="X159" s="299">
        <f>T159/H159</f>
        <v>71.515151515151516</v>
      </c>
      <c r="Y159" s="10" t="s">
        <v>76</v>
      </c>
      <c r="Z159" s="61"/>
      <c r="AA159" s="55"/>
      <c r="AB159" s="14" t="s">
        <v>40</v>
      </c>
      <c r="AF159" s="300"/>
    </row>
    <row r="160" spans="1:33" ht="14.25" customHeight="1">
      <c r="A160" s="2"/>
      <c r="B160" s="11"/>
      <c r="C160" s="11" t="s">
        <v>35</v>
      </c>
      <c r="D160" s="2"/>
      <c r="E160" s="4"/>
      <c r="H160" s="18"/>
      <c r="I160" s="19"/>
      <c r="J160" s="19"/>
      <c r="Q160" s="19"/>
      <c r="R160" s="19"/>
      <c r="S160" s="19"/>
      <c r="T160" s="19"/>
      <c r="U160" s="19"/>
      <c r="V160" s="19"/>
      <c r="W160" s="19"/>
      <c r="X160" s="19"/>
      <c r="Y160" s="19"/>
      <c r="Z160" s="62"/>
      <c r="AA160" s="19"/>
      <c r="AB160" s="14"/>
      <c r="AF160" s="300"/>
    </row>
    <row r="161" spans="1:32" ht="14.25" customHeight="1">
      <c r="A161" s="2"/>
      <c r="B161" s="11"/>
      <c r="C161" s="11" t="s">
        <v>35</v>
      </c>
      <c r="D161" s="2"/>
      <c r="E161" s="4"/>
      <c r="G161" s="6" t="s">
        <v>223</v>
      </c>
      <c r="I161" s="10"/>
      <c r="J161" s="10"/>
      <c r="K161" s="32"/>
      <c r="T161" s="11"/>
      <c r="U161" s="10"/>
      <c r="V161" s="11"/>
      <c r="W161" s="10"/>
      <c r="X161" s="10"/>
      <c r="Y161" s="10"/>
      <c r="Z161" s="61"/>
      <c r="AA161" s="19"/>
      <c r="AB161" s="14"/>
      <c r="AF161" s="300"/>
    </row>
    <row r="162" spans="1:32" ht="14.25" customHeight="1">
      <c r="A162" s="2"/>
      <c r="B162" s="11"/>
      <c r="C162" s="11" t="s">
        <v>35</v>
      </c>
      <c r="D162" s="2"/>
      <c r="E162" s="4"/>
      <c r="G162" s="6"/>
      <c r="H162" s="24"/>
      <c r="I162" s="10"/>
      <c r="J162" s="10"/>
      <c r="T162" s="10"/>
      <c r="U162" s="10"/>
      <c r="V162" s="10"/>
      <c r="W162" s="10"/>
      <c r="X162" s="10"/>
      <c r="Y162" s="10"/>
      <c r="Z162" s="61"/>
      <c r="AA162" s="19"/>
      <c r="AB162" s="14"/>
      <c r="AF162" s="300"/>
    </row>
    <row r="163" spans="1:32" ht="24" customHeight="1">
      <c r="A163" s="2"/>
      <c r="B163" s="11" t="s">
        <v>97</v>
      </c>
      <c r="C163" s="11" t="s">
        <v>35</v>
      </c>
      <c r="D163" s="2">
        <v>550500</v>
      </c>
      <c r="E163" s="4" t="s">
        <v>223</v>
      </c>
      <c r="F163" s="4" t="s">
        <v>224</v>
      </c>
      <c r="G163" s="14" t="s">
        <v>225</v>
      </c>
      <c r="H163" s="7">
        <v>2520</v>
      </c>
      <c r="I163" s="10">
        <f>H163</f>
        <v>2520</v>
      </c>
      <c r="J163" s="10">
        <v>2500</v>
      </c>
      <c r="K163" s="4" t="s">
        <v>226</v>
      </c>
      <c r="L163" s="8">
        <v>43571</v>
      </c>
      <c r="M163" s="9">
        <v>47223</v>
      </c>
      <c r="O163" s="9">
        <v>45398</v>
      </c>
      <c r="Q163" s="10">
        <v>82500</v>
      </c>
      <c r="R163" s="10">
        <f>Q163</f>
        <v>82500</v>
      </c>
      <c r="T163" s="10">
        <v>70000</v>
      </c>
      <c r="U163" s="10">
        <f>T163</f>
        <v>70000</v>
      </c>
      <c r="V163" s="10">
        <v>70000</v>
      </c>
      <c r="W163" s="10">
        <f>V163</f>
        <v>70000</v>
      </c>
      <c r="X163" s="299">
        <f>T163/H163</f>
        <v>27.777777777777779</v>
      </c>
      <c r="Y163" s="10" t="s">
        <v>58</v>
      </c>
      <c r="Z163" s="61"/>
      <c r="AA163" s="19"/>
      <c r="AB163" s="14" t="s">
        <v>40</v>
      </c>
      <c r="AF163" s="300"/>
    </row>
    <row r="164" spans="1:32" ht="14.25" customHeight="1">
      <c r="A164" s="2"/>
      <c r="B164" s="11"/>
      <c r="C164" s="11" t="s">
        <v>35</v>
      </c>
      <c r="D164" s="2"/>
      <c r="E164" s="4"/>
      <c r="I164" s="10"/>
      <c r="J164" s="10"/>
      <c r="T164" s="10"/>
      <c r="U164" s="10"/>
      <c r="V164" s="10"/>
      <c r="W164" s="10"/>
      <c r="X164" s="10"/>
      <c r="Y164" s="10"/>
      <c r="Z164" s="61"/>
      <c r="AA164" s="19"/>
      <c r="AB164" s="14"/>
      <c r="AF164" s="300"/>
    </row>
    <row r="165" spans="1:32" ht="14.25" customHeight="1">
      <c r="A165" s="2"/>
      <c r="B165" s="11"/>
      <c r="C165" s="11" t="s">
        <v>35</v>
      </c>
      <c r="D165" s="2"/>
      <c r="E165" s="4"/>
      <c r="G165" s="6" t="s">
        <v>227</v>
      </c>
      <c r="I165" s="10"/>
      <c r="J165" s="10"/>
      <c r="K165" s="32"/>
      <c r="T165" s="11"/>
      <c r="U165" s="10"/>
      <c r="V165" s="11"/>
      <c r="W165" s="10"/>
      <c r="X165" s="10"/>
      <c r="Y165" s="10"/>
      <c r="Z165" s="61"/>
      <c r="AA165" s="19"/>
      <c r="AB165" s="14"/>
      <c r="AF165" s="300"/>
    </row>
    <row r="166" spans="1:32" ht="14.25" customHeight="1">
      <c r="A166" s="2"/>
      <c r="B166" s="11"/>
      <c r="C166" s="11" t="s">
        <v>35</v>
      </c>
      <c r="D166" s="2"/>
      <c r="E166" s="4"/>
      <c r="G166" s="6"/>
      <c r="H166" s="24"/>
      <c r="I166" s="10"/>
      <c r="J166" s="10"/>
      <c r="K166" s="132"/>
      <c r="L166" s="21"/>
      <c r="M166" s="21"/>
      <c r="N166" s="21"/>
      <c r="T166" s="10"/>
      <c r="U166" s="10"/>
      <c r="V166" s="10"/>
      <c r="W166" s="10"/>
      <c r="X166" s="10"/>
      <c r="Y166" s="10"/>
      <c r="Z166" s="61"/>
      <c r="AA166" s="19"/>
      <c r="AB166" s="14"/>
      <c r="AF166" s="300"/>
    </row>
    <row r="167" spans="1:32" ht="29.25" customHeight="1">
      <c r="A167" s="2"/>
      <c r="B167" s="11" t="s">
        <v>97</v>
      </c>
      <c r="C167" s="11" t="s">
        <v>35</v>
      </c>
      <c r="D167" s="2">
        <v>550310</v>
      </c>
      <c r="E167" s="4" t="s">
        <v>227</v>
      </c>
      <c r="F167" s="4" t="s">
        <v>228</v>
      </c>
      <c r="G167" s="14" t="s">
        <v>83</v>
      </c>
      <c r="H167" s="7">
        <v>4430</v>
      </c>
      <c r="I167" s="10">
        <f>H167</f>
        <v>4430</v>
      </c>
      <c r="J167" s="10">
        <v>4500</v>
      </c>
      <c r="K167" s="4" t="s">
        <v>229</v>
      </c>
      <c r="L167" s="8">
        <v>41585</v>
      </c>
      <c r="M167" s="9">
        <v>47063</v>
      </c>
      <c r="O167" s="9">
        <v>45237</v>
      </c>
      <c r="Q167" s="10">
        <v>170000</v>
      </c>
      <c r="R167" s="10">
        <f>Q167</f>
        <v>170000</v>
      </c>
      <c r="T167" s="10">
        <v>146900</v>
      </c>
      <c r="U167" s="10">
        <f>T167</f>
        <v>146900</v>
      </c>
      <c r="V167" s="10">
        <v>152100</v>
      </c>
      <c r="W167" s="10">
        <f>V167</f>
        <v>152100</v>
      </c>
      <c r="X167" s="299">
        <f>T167/H167</f>
        <v>33.160270880361175</v>
      </c>
      <c r="Y167" s="10" t="s">
        <v>58</v>
      </c>
      <c r="Z167" s="61"/>
      <c r="AA167" s="19"/>
      <c r="AB167" s="14" t="s">
        <v>40</v>
      </c>
      <c r="AC167" s="4" t="s">
        <v>230</v>
      </c>
      <c r="AF167" s="300"/>
    </row>
    <row r="168" spans="1:32" ht="14.25" customHeight="1">
      <c r="A168" s="2"/>
      <c r="B168" s="11"/>
      <c r="C168" s="11" t="s">
        <v>35</v>
      </c>
      <c r="D168" s="2"/>
      <c r="E168" s="4"/>
      <c r="F168" s="92"/>
      <c r="H168" s="18"/>
      <c r="I168" s="19"/>
      <c r="J168" s="19"/>
      <c r="Q168" s="19"/>
      <c r="R168" s="19"/>
      <c r="S168" s="19"/>
      <c r="T168" s="19"/>
      <c r="U168" s="19"/>
      <c r="V168" s="19"/>
      <c r="W168" s="19"/>
      <c r="X168" s="19"/>
      <c r="Y168" s="19"/>
      <c r="Z168" s="62"/>
      <c r="AA168" s="54"/>
      <c r="AB168" s="14"/>
      <c r="AF168" s="300"/>
    </row>
    <row r="169" spans="1:32" ht="14.25" customHeight="1">
      <c r="A169" s="2"/>
      <c r="B169" s="11"/>
      <c r="C169" s="11" t="s">
        <v>35</v>
      </c>
      <c r="D169" s="2"/>
      <c r="E169" s="4"/>
      <c r="F169" s="92"/>
      <c r="G169" s="6" t="s">
        <v>231</v>
      </c>
      <c r="H169" s="18"/>
      <c r="I169" s="19"/>
      <c r="J169" s="19"/>
      <c r="Q169" s="19"/>
      <c r="R169" s="19"/>
      <c r="S169" s="19"/>
      <c r="T169" s="19"/>
      <c r="U169" s="19"/>
      <c r="V169" s="19"/>
      <c r="W169" s="19"/>
      <c r="X169" s="19"/>
      <c r="Y169" s="19"/>
      <c r="Z169" s="62"/>
      <c r="AA169" s="54"/>
      <c r="AB169" s="14"/>
      <c r="AF169" s="300"/>
    </row>
    <row r="170" spans="1:32" ht="14.25" customHeight="1">
      <c r="A170" s="2"/>
      <c r="B170" s="11"/>
      <c r="C170" s="11" t="s">
        <v>35</v>
      </c>
      <c r="D170" s="2"/>
      <c r="E170" s="4"/>
      <c r="F170" s="92"/>
      <c r="H170" s="18"/>
      <c r="I170" s="19"/>
      <c r="J170" s="19"/>
      <c r="Q170" s="19"/>
      <c r="R170" s="19"/>
      <c r="S170" s="19"/>
      <c r="T170" s="19"/>
      <c r="U170" s="19"/>
      <c r="V170" s="19"/>
      <c r="W170" s="19"/>
      <c r="X170" s="19"/>
      <c r="Y170" s="19"/>
      <c r="Z170" s="62"/>
      <c r="AA170" s="54"/>
      <c r="AB170" s="14"/>
      <c r="AF170" s="300"/>
    </row>
    <row r="171" spans="1:32">
      <c r="A171" s="2"/>
      <c r="B171" s="11" t="s">
        <v>97</v>
      </c>
      <c r="C171" s="11" t="s">
        <v>35</v>
      </c>
      <c r="D171" s="2">
        <v>551010</v>
      </c>
      <c r="E171" s="25" t="s">
        <v>231</v>
      </c>
      <c r="F171" s="4" t="s">
        <v>232</v>
      </c>
      <c r="G171" s="14" t="s">
        <v>233</v>
      </c>
      <c r="H171" s="7">
        <v>747</v>
      </c>
      <c r="I171" s="10">
        <f>H171</f>
        <v>747</v>
      </c>
      <c r="J171" s="10">
        <v>750</v>
      </c>
      <c r="K171" s="4" t="s">
        <v>234</v>
      </c>
      <c r="L171" s="8">
        <v>44724</v>
      </c>
      <c r="Q171" s="10">
        <v>45000</v>
      </c>
      <c r="R171" s="10">
        <f>Q171</f>
        <v>45000</v>
      </c>
      <c r="T171" s="10">
        <v>41700</v>
      </c>
      <c r="U171" s="10">
        <f>T171</f>
        <v>41700</v>
      </c>
      <c r="V171" s="10">
        <v>45000</v>
      </c>
      <c r="W171" s="10">
        <f>V171</f>
        <v>45000</v>
      </c>
      <c r="X171" s="299">
        <f>T171/H171</f>
        <v>55.823293172690761</v>
      </c>
      <c r="Y171" s="10" t="s">
        <v>76</v>
      </c>
      <c r="Z171" s="61"/>
      <c r="AA171" s="55"/>
      <c r="AB171" s="14" t="s">
        <v>40</v>
      </c>
      <c r="AC171" s="4" t="s">
        <v>235</v>
      </c>
      <c r="AF171" s="300"/>
    </row>
    <row r="172" spans="1:32" ht="14.25" customHeight="1">
      <c r="A172" s="2"/>
      <c r="B172" s="11"/>
      <c r="C172" s="11" t="s">
        <v>35</v>
      </c>
      <c r="D172" s="2"/>
      <c r="E172" s="4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2"/>
      <c r="AA172" s="18"/>
      <c r="AB172" s="14"/>
      <c r="AF172" s="300"/>
    </row>
    <row r="173" spans="1:32" ht="14.25" customHeight="1">
      <c r="A173" s="2"/>
      <c r="B173" s="11"/>
      <c r="C173" s="11" t="s">
        <v>35</v>
      </c>
      <c r="D173" s="2"/>
      <c r="E173" s="4"/>
      <c r="G173" s="6" t="s">
        <v>236</v>
      </c>
      <c r="I173" s="10"/>
      <c r="J173" s="10"/>
      <c r="K173" s="32"/>
      <c r="T173" s="11"/>
      <c r="U173" s="10"/>
      <c r="V173" s="11"/>
      <c r="W173" s="10"/>
      <c r="X173" s="10"/>
      <c r="Y173" s="10"/>
      <c r="Z173" s="61"/>
      <c r="AA173" s="18"/>
      <c r="AB173" s="14"/>
      <c r="AF173" s="300"/>
    </row>
    <row r="174" spans="1:32" ht="14.25" customHeight="1">
      <c r="A174" s="2"/>
      <c r="B174" s="11"/>
      <c r="C174" s="11" t="s">
        <v>35</v>
      </c>
      <c r="D174" s="2"/>
      <c r="E174" s="4"/>
      <c r="G174" s="5"/>
      <c r="H174" s="26"/>
      <c r="I174" s="19"/>
      <c r="J174" s="19"/>
      <c r="K174" s="26"/>
      <c r="Q174" s="19"/>
      <c r="R174" s="19"/>
      <c r="S174" s="19"/>
      <c r="T174" s="19"/>
      <c r="U174" s="19"/>
      <c r="V174" s="19"/>
      <c r="W174" s="19"/>
      <c r="X174" s="19"/>
      <c r="Y174" s="19"/>
      <c r="Z174" s="62"/>
      <c r="AA174" s="18"/>
      <c r="AB174" s="14"/>
      <c r="AF174" s="300"/>
    </row>
    <row r="175" spans="1:32" ht="24" customHeight="1">
      <c r="A175" s="2"/>
      <c r="B175" s="11" t="s">
        <v>34</v>
      </c>
      <c r="C175" s="11" t="s">
        <v>35</v>
      </c>
      <c r="D175" s="2">
        <v>550960</v>
      </c>
      <c r="E175" s="4" t="s">
        <v>236</v>
      </c>
      <c r="F175" s="4" t="s">
        <v>232</v>
      </c>
      <c r="G175" s="14" t="s">
        <v>37</v>
      </c>
      <c r="H175" s="7">
        <v>2820</v>
      </c>
      <c r="I175" s="10">
        <f>H175</f>
        <v>2820</v>
      </c>
      <c r="J175" s="10">
        <v>3000</v>
      </c>
      <c r="K175" s="4" t="s">
        <v>237</v>
      </c>
      <c r="L175" s="8">
        <v>43794</v>
      </c>
      <c r="M175" s="9">
        <v>47446</v>
      </c>
      <c r="O175" s="9">
        <v>45621</v>
      </c>
      <c r="Q175" s="10">
        <v>124773</v>
      </c>
      <c r="R175" s="10">
        <f>Q175</f>
        <v>124773</v>
      </c>
      <c r="T175" s="10">
        <v>126900</v>
      </c>
      <c r="U175" s="10">
        <f>T175</f>
        <v>126900</v>
      </c>
      <c r="V175" s="10">
        <v>141000</v>
      </c>
      <c r="W175" s="10">
        <f>V175</f>
        <v>141000</v>
      </c>
      <c r="X175" s="299">
        <f>T175/H175</f>
        <v>45</v>
      </c>
      <c r="Y175" s="10" t="s">
        <v>69</v>
      </c>
      <c r="Z175" s="61"/>
      <c r="AA175" s="18"/>
      <c r="AB175" s="14" t="s">
        <v>40</v>
      </c>
      <c r="AC175" s="4" t="s">
        <v>238</v>
      </c>
      <c r="AF175" s="300"/>
    </row>
    <row r="176" spans="1:32" s="4" customFormat="1" ht="14.25" customHeight="1">
      <c r="A176" s="2"/>
      <c r="B176" s="11"/>
      <c r="C176" s="11" t="s">
        <v>35</v>
      </c>
      <c r="D176" s="2"/>
      <c r="G176" s="14"/>
      <c r="H176" s="18"/>
      <c r="I176" s="19"/>
      <c r="J176" s="19"/>
      <c r="L176" s="8"/>
      <c r="M176" s="9"/>
      <c r="N176" s="9"/>
      <c r="O176" s="9"/>
      <c r="P176" s="9"/>
      <c r="Q176" s="19"/>
      <c r="R176" s="19"/>
      <c r="S176" s="19"/>
      <c r="T176" s="19"/>
      <c r="U176" s="19"/>
      <c r="V176" s="19"/>
      <c r="W176" s="19"/>
      <c r="X176" s="19"/>
      <c r="Y176" s="19"/>
      <c r="Z176" s="62"/>
      <c r="AA176" s="18"/>
      <c r="AB176" s="14"/>
      <c r="AD176" s="322"/>
      <c r="AF176" s="300"/>
    </row>
    <row r="177" spans="1:32" s="4" customFormat="1" ht="14.25" customHeight="1">
      <c r="A177" s="2"/>
      <c r="B177" s="11"/>
      <c r="C177" s="11" t="s">
        <v>35</v>
      </c>
      <c r="D177" s="2"/>
      <c r="G177" s="6" t="s">
        <v>239</v>
      </c>
      <c r="H177" s="7"/>
      <c r="I177" s="10"/>
      <c r="J177" s="10"/>
      <c r="K177" s="32"/>
      <c r="L177" s="8"/>
      <c r="M177" s="9"/>
      <c r="N177" s="9"/>
      <c r="O177" s="9"/>
      <c r="P177" s="9"/>
      <c r="Q177" s="10"/>
      <c r="R177" s="10"/>
      <c r="S177" s="10"/>
      <c r="T177" s="11"/>
      <c r="U177" s="10"/>
      <c r="V177" s="11"/>
      <c r="W177" s="10"/>
      <c r="X177" s="10"/>
      <c r="Y177" s="10"/>
      <c r="Z177" s="61"/>
      <c r="AA177" s="18"/>
      <c r="AB177" s="14"/>
      <c r="AD177" s="322"/>
      <c r="AF177" s="300"/>
    </row>
    <row r="178" spans="1:32" s="4" customFormat="1" ht="14.25" customHeight="1">
      <c r="A178" s="2"/>
      <c r="B178" s="11"/>
      <c r="C178" s="11" t="s">
        <v>35</v>
      </c>
      <c r="D178" s="2"/>
      <c r="G178" s="6"/>
      <c r="H178" s="24"/>
      <c r="I178" s="10"/>
      <c r="J178" s="10"/>
      <c r="K178" s="20"/>
      <c r="L178" s="21"/>
      <c r="M178" s="9"/>
      <c r="N178" s="9"/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61"/>
      <c r="AA178" s="18"/>
      <c r="AB178" s="14"/>
      <c r="AD178" s="322"/>
      <c r="AF178" s="300"/>
    </row>
    <row r="179" spans="1:32" s="4" customFormat="1" ht="28.5" customHeight="1">
      <c r="A179" s="2"/>
      <c r="B179" s="11" t="s">
        <v>34</v>
      </c>
      <c r="C179" s="11" t="s">
        <v>35</v>
      </c>
      <c r="D179" s="2">
        <v>550320</v>
      </c>
      <c r="E179" s="4" t="s">
        <v>240</v>
      </c>
      <c r="F179" s="4" t="s">
        <v>36</v>
      </c>
      <c r="G179" s="14" t="s">
        <v>241</v>
      </c>
      <c r="H179" s="18">
        <v>9776</v>
      </c>
      <c r="I179" s="10">
        <f>H179</f>
        <v>9776</v>
      </c>
      <c r="J179" s="10">
        <v>10000</v>
      </c>
      <c r="K179" s="37" t="s">
        <v>242</v>
      </c>
      <c r="L179" s="8">
        <v>45463</v>
      </c>
      <c r="M179" s="9">
        <v>49114</v>
      </c>
      <c r="N179" s="9"/>
      <c r="O179" s="9">
        <v>47289</v>
      </c>
      <c r="P179" s="9">
        <v>47288</v>
      </c>
      <c r="Q179" s="19">
        <v>715000</v>
      </c>
      <c r="R179" s="19">
        <f>Q179</f>
        <v>715000</v>
      </c>
      <c r="S179" s="19">
        <f>R179</f>
        <v>715000</v>
      </c>
      <c r="T179" s="19">
        <v>715000</v>
      </c>
      <c r="U179" s="10">
        <f>T179</f>
        <v>715000</v>
      </c>
      <c r="V179" s="19">
        <v>715000</v>
      </c>
      <c r="W179" s="10">
        <f>V179</f>
        <v>715000</v>
      </c>
      <c r="X179" s="299">
        <f>T179/H179</f>
        <v>73.138297872340431</v>
      </c>
      <c r="Y179" s="10" t="s">
        <v>243</v>
      </c>
      <c r="Z179" s="61"/>
      <c r="AA179" s="18">
        <v>12325000</v>
      </c>
      <c r="AB179" s="14" t="s">
        <v>40</v>
      </c>
      <c r="AC179" s="4" t="s">
        <v>130</v>
      </c>
      <c r="AD179" s="322"/>
      <c r="AF179" s="300"/>
    </row>
    <row r="180" spans="1:32" s="4" customFormat="1" ht="14.25" customHeight="1">
      <c r="A180" s="2"/>
      <c r="B180" s="11"/>
      <c r="C180" s="11" t="s">
        <v>35</v>
      </c>
      <c r="D180" s="2"/>
      <c r="G180" s="14"/>
      <c r="H180" s="7"/>
      <c r="I180" s="10"/>
      <c r="J180" s="10"/>
      <c r="L180" s="8"/>
      <c r="M180" s="9"/>
      <c r="N180" s="9"/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61"/>
      <c r="AA180" s="18"/>
      <c r="AB180" s="14"/>
      <c r="AD180" s="322"/>
      <c r="AF180" s="300"/>
    </row>
    <row r="181" spans="1:32" s="4" customFormat="1" ht="14.25" customHeight="1">
      <c r="A181" s="2"/>
      <c r="B181" s="11"/>
      <c r="C181" s="11" t="s">
        <v>35</v>
      </c>
      <c r="D181" s="2"/>
      <c r="G181" s="6" t="s">
        <v>244</v>
      </c>
      <c r="H181" s="7"/>
      <c r="I181" s="10"/>
      <c r="J181" s="10"/>
      <c r="K181" s="32"/>
      <c r="L181" s="8"/>
      <c r="M181" s="9"/>
      <c r="N181" s="9"/>
      <c r="O181" s="9"/>
      <c r="P181" s="9"/>
      <c r="Q181" s="10"/>
      <c r="R181" s="10"/>
      <c r="S181" s="10"/>
      <c r="T181" s="11"/>
      <c r="U181" s="10"/>
      <c r="V181" s="11"/>
      <c r="W181" s="10"/>
      <c r="X181" s="10"/>
      <c r="Y181" s="10"/>
      <c r="Z181" s="61"/>
      <c r="AA181" s="18"/>
      <c r="AB181" s="14"/>
      <c r="AD181" s="322"/>
      <c r="AF181" s="300"/>
    </row>
    <row r="182" spans="1:32" s="4" customFormat="1" ht="14.25" customHeight="1">
      <c r="A182" s="2"/>
      <c r="B182" s="11"/>
      <c r="C182" s="11" t="s">
        <v>35</v>
      </c>
      <c r="D182" s="2"/>
      <c r="G182" s="14" t="s">
        <v>245</v>
      </c>
      <c r="H182" s="7"/>
      <c r="I182" s="10"/>
      <c r="J182" s="10"/>
      <c r="L182" s="8"/>
      <c r="M182" s="9"/>
      <c r="N182" s="9"/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61"/>
      <c r="AA182" s="18"/>
      <c r="AB182" s="14"/>
      <c r="AD182" s="322"/>
      <c r="AF182" s="300"/>
    </row>
    <row r="183" spans="1:32" s="4" customFormat="1" ht="26.25" customHeight="1">
      <c r="A183" s="2"/>
      <c r="B183" s="11" t="s">
        <v>60</v>
      </c>
      <c r="C183" s="11" t="s">
        <v>35</v>
      </c>
      <c r="D183" s="2">
        <v>550330</v>
      </c>
      <c r="E183" s="4" t="s">
        <v>244</v>
      </c>
      <c r="F183" s="4" t="s">
        <v>246</v>
      </c>
      <c r="G183" s="14" t="s">
        <v>37</v>
      </c>
      <c r="H183" s="18">
        <v>4969</v>
      </c>
      <c r="I183" s="10">
        <f>H183</f>
        <v>4969</v>
      </c>
      <c r="J183" s="10">
        <v>5000</v>
      </c>
      <c r="K183" s="4" t="s">
        <v>247</v>
      </c>
      <c r="L183" s="8">
        <v>45198</v>
      </c>
      <c r="M183" s="9">
        <v>48850</v>
      </c>
      <c r="N183" s="9"/>
      <c r="O183" s="9">
        <v>47025</v>
      </c>
      <c r="P183" s="9">
        <v>46293</v>
      </c>
      <c r="Q183" s="19">
        <v>315000</v>
      </c>
      <c r="R183" s="10">
        <f>Q183</f>
        <v>315000</v>
      </c>
      <c r="S183" s="19">
        <f>R183</f>
        <v>315000</v>
      </c>
      <c r="T183" s="19">
        <v>266600</v>
      </c>
      <c r="U183" s="10">
        <f>T183</f>
        <v>266600</v>
      </c>
      <c r="V183" s="19">
        <v>315000</v>
      </c>
      <c r="W183" s="10">
        <f>V183</f>
        <v>315000</v>
      </c>
      <c r="X183" s="299">
        <f>T183/H183</f>
        <v>53.652646407727914</v>
      </c>
      <c r="Y183" s="10" t="s">
        <v>39</v>
      </c>
      <c r="Z183" s="61"/>
      <c r="AA183" s="18">
        <v>5575000</v>
      </c>
      <c r="AB183" s="14" t="s">
        <v>40</v>
      </c>
      <c r="AC183" s="4" t="s">
        <v>248</v>
      </c>
      <c r="AD183" s="322"/>
      <c r="AF183" s="300"/>
    </row>
    <row r="184" spans="1:32" s="4" customFormat="1" ht="14.25" customHeight="1">
      <c r="A184" s="2"/>
      <c r="B184" s="11"/>
      <c r="C184" s="11" t="s">
        <v>35</v>
      </c>
      <c r="D184" s="2"/>
      <c r="G184" s="14"/>
      <c r="H184" s="18"/>
      <c r="I184" s="19"/>
      <c r="J184" s="19"/>
      <c r="L184" s="8"/>
      <c r="M184" s="9"/>
      <c r="N184" s="9"/>
      <c r="O184" s="9"/>
      <c r="P184" s="9"/>
      <c r="Q184" s="19"/>
      <c r="R184" s="19"/>
      <c r="S184" s="19"/>
      <c r="T184" s="19"/>
      <c r="U184" s="19"/>
      <c r="V184" s="19"/>
      <c r="W184" s="19"/>
      <c r="X184" s="19"/>
      <c r="Y184" s="19"/>
      <c r="Z184" s="62"/>
      <c r="AA184" s="54"/>
      <c r="AB184" s="14"/>
      <c r="AD184" s="322"/>
      <c r="AF184" s="300"/>
    </row>
    <row r="185" spans="1:32" s="4" customFormat="1" ht="14.25" customHeight="1">
      <c r="A185" s="2"/>
      <c r="B185" s="11"/>
      <c r="C185" s="11" t="s">
        <v>35</v>
      </c>
      <c r="D185" s="2"/>
      <c r="G185" s="6" t="s">
        <v>249</v>
      </c>
      <c r="H185" s="7"/>
      <c r="I185" s="10"/>
      <c r="J185" s="10"/>
      <c r="K185" s="32"/>
      <c r="L185" s="8"/>
      <c r="M185" s="9"/>
      <c r="N185" s="9"/>
      <c r="O185" s="9"/>
      <c r="P185" s="9"/>
      <c r="Q185" s="10"/>
      <c r="R185" s="10"/>
      <c r="S185" s="10"/>
      <c r="T185" s="11"/>
      <c r="U185" s="10"/>
      <c r="V185" s="11"/>
      <c r="W185" s="10"/>
      <c r="X185" s="10"/>
      <c r="Y185" s="10"/>
      <c r="Z185" s="61"/>
      <c r="AA185" s="55"/>
      <c r="AB185" s="14"/>
      <c r="AD185" s="322"/>
      <c r="AF185" s="300"/>
    </row>
    <row r="186" spans="1:32" s="4" customFormat="1" ht="14.25" customHeight="1">
      <c r="A186" s="2"/>
      <c r="B186" s="11"/>
      <c r="C186" s="11" t="s">
        <v>35</v>
      </c>
      <c r="D186" s="2"/>
      <c r="G186" s="6"/>
      <c r="H186" s="7"/>
      <c r="I186" s="10"/>
      <c r="J186" s="10"/>
      <c r="K186" s="32"/>
      <c r="L186" s="8"/>
      <c r="M186" s="9"/>
      <c r="N186" s="9"/>
      <c r="O186" s="9"/>
      <c r="P186" s="9"/>
      <c r="Q186" s="10"/>
      <c r="R186" s="10"/>
      <c r="S186" s="10"/>
      <c r="T186" s="11"/>
      <c r="U186" s="10"/>
      <c r="V186" s="11"/>
      <c r="W186" s="10"/>
      <c r="X186" s="10"/>
      <c r="Y186" s="10"/>
      <c r="Z186" s="61"/>
      <c r="AA186" s="55"/>
      <c r="AB186" s="14"/>
      <c r="AD186" s="322"/>
      <c r="AF186" s="300"/>
    </row>
    <row r="187" spans="1:32" s="4" customFormat="1" ht="24" customHeight="1">
      <c r="A187" s="2"/>
      <c r="B187" s="11" t="s">
        <v>119</v>
      </c>
      <c r="C187" s="11" t="s">
        <v>35</v>
      </c>
      <c r="D187" s="2">
        <v>550340</v>
      </c>
      <c r="E187" s="4" t="s">
        <v>249</v>
      </c>
      <c r="F187" s="4" t="s">
        <v>250</v>
      </c>
      <c r="G187" s="28" t="s">
        <v>251</v>
      </c>
      <c r="H187" s="7">
        <v>400</v>
      </c>
      <c r="I187" s="7">
        <f>H187</f>
        <v>400</v>
      </c>
      <c r="J187" s="7"/>
      <c r="K187" s="4" t="s">
        <v>252</v>
      </c>
      <c r="L187" s="9">
        <v>43184</v>
      </c>
      <c r="M187" s="9">
        <v>46836</v>
      </c>
      <c r="N187" s="9"/>
      <c r="O187" s="9">
        <v>45010</v>
      </c>
      <c r="P187" s="9"/>
      <c r="Q187" s="10">
        <v>2400</v>
      </c>
      <c r="R187" s="10">
        <f>Q187</f>
        <v>2400</v>
      </c>
      <c r="S187" s="10"/>
      <c r="T187" s="10">
        <v>2000</v>
      </c>
      <c r="U187" s="10">
        <f>T187</f>
        <v>2000</v>
      </c>
      <c r="V187" s="10">
        <v>2000</v>
      </c>
      <c r="W187" s="10">
        <f>V187</f>
        <v>2000</v>
      </c>
      <c r="X187" s="299">
        <f>T187/H187</f>
        <v>5</v>
      </c>
      <c r="Y187" s="10"/>
      <c r="Z187" s="61"/>
      <c r="AA187" s="55"/>
      <c r="AB187" s="14" t="s">
        <v>40</v>
      </c>
      <c r="AC187" s="4" t="s">
        <v>253</v>
      </c>
      <c r="AD187" s="322"/>
      <c r="AF187" s="300"/>
    </row>
    <row r="188" spans="1:32" s="4" customFormat="1" ht="24" customHeight="1">
      <c r="A188" s="2"/>
      <c r="B188" s="11" t="s">
        <v>119</v>
      </c>
      <c r="C188" s="11" t="s">
        <v>35</v>
      </c>
      <c r="D188" s="2">
        <v>550340</v>
      </c>
      <c r="E188" s="4" t="s">
        <v>249</v>
      </c>
      <c r="F188" s="4" t="s">
        <v>254</v>
      </c>
      <c r="G188" s="14" t="s">
        <v>255</v>
      </c>
      <c r="H188" s="7">
        <v>873</v>
      </c>
      <c r="I188" s="7">
        <f>H188</f>
        <v>873</v>
      </c>
      <c r="J188" s="7"/>
      <c r="K188" s="4" t="s">
        <v>252</v>
      </c>
      <c r="L188" s="9">
        <v>43184</v>
      </c>
      <c r="M188" s="9">
        <v>46836</v>
      </c>
      <c r="N188" s="9"/>
      <c r="O188" s="9">
        <v>45010</v>
      </c>
      <c r="P188" s="9"/>
      <c r="Q188" s="10">
        <v>24500</v>
      </c>
      <c r="R188" s="10">
        <f>Q188</f>
        <v>24500</v>
      </c>
      <c r="S188" s="10"/>
      <c r="T188" s="10">
        <v>17500</v>
      </c>
      <c r="U188" s="10">
        <f>T188</f>
        <v>17500</v>
      </c>
      <c r="V188" s="10">
        <v>26200</v>
      </c>
      <c r="W188" s="10">
        <f>V188</f>
        <v>26200</v>
      </c>
      <c r="X188" s="10"/>
      <c r="Y188" s="10" t="s">
        <v>69</v>
      </c>
      <c r="Z188" s="61"/>
      <c r="AA188" s="55"/>
      <c r="AB188" s="14" t="s">
        <v>40</v>
      </c>
      <c r="AC188" s="4" t="s">
        <v>253</v>
      </c>
      <c r="AD188" s="322"/>
      <c r="AF188" s="300"/>
    </row>
    <row r="189" spans="1:32" s="4" customFormat="1" ht="14.25" customHeight="1">
      <c r="A189" s="2"/>
      <c r="B189" s="11"/>
      <c r="C189" s="11" t="s">
        <v>35</v>
      </c>
      <c r="D189" s="2"/>
      <c r="G189" s="14"/>
      <c r="H189" s="18"/>
      <c r="I189" s="19"/>
      <c r="J189" s="19"/>
      <c r="L189" s="8"/>
      <c r="M189" s="9"/>
      <c r="N189" s="9"/>
      <c r="O189" s="9"/>
      <c r="P189" s="9"/>
      <c r="Q189" s="19"/>
      <c r="R189" s="19"/>
      <c r="S189" s="19"/>
      <c r="T189" s="19"/>
      <c r="U189" s="19"/>
      <c r="V189" s="19"/>
      <c r="W189" s="19"/>
      <c r="X189" s="19"/>
      <c r="Y189" s="19"/>
      <c r="Z189" s="62"/>
      <c r="AA189" s="19"/>
      <c r="AB189" s="14"/>
      <c r="AD189" s="322"/>
      <c r="AF189" s="300"/>
    </row>
    <row r="190" spans="1:32" s="4" customFormat="1" ht="14.25" customHeight="1">
      <c r="A190" s="2"/>
      <c r="B190" s="11"/>
      <c r="C190" s="11" t="s">
        <v>35</v>
      </c>
      <c r="D190" s="2"/>
      <c r="G190" s="6" t="s">
        <v>256</v>
      </c>
      <c r="H190" s="7"/>
      <c r="I190" s="10"/>
      <c r="J190" s="10"/>
      <c r="K190" s="32"/>
      <c r="L190" s="8"/>
      <c r="M190" s="9"/>
      <c r="N190" s="9"/>
      <c r="O190" s="9"/>
      <c r="P190" s="9"/>
      <c r="Q190" s="10"/>
      <c r="R190" s="10"/>
      <c r="S190" s="10"/>
      <c r="T190" s="11"/>
      <c r="U190" s="10"/>
      <c r="V190" s="11"/>
      <c r="W190" s="10"/>
      <c r="X190" s="10"/>
      <c r="Y190" s="10"/>
      <c r="Z190" s="61"/>
      <c r="AA190" s="19"/>
      <c r="AB190" s="14"/>
      <c r="AD190" s="322"/>
      <c r="AF190" s="300"/>
    </row>
    <row r="191" spans="1:32" s="4" customFormat="1" ht="14.25" customHeight="1">
      <c r="A191" s="2"/>
      <c r="B191" s="11"/>
      <c r="C191" s="11" t="s">
        <v>35</v>
      </c>
      <c r="D191" s="2"/>
      <c r="G191" s="6"/>
      <c r="H191" s="24"/>
      <c r="I191" s="10"/>
      <c r="J191" s="10"/>
      <c r="K191" s="20"/>
      <c r="L191" s="21"/>
      <c r="M191" s="9"/>
      <c r="N191" s="9"/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61"/>
      <c r="AA191" s="19"/>
      <c r="AB191" s="14"/>
      <c r="AD191" s="322"/>
      <c r="AF191" s="300"/>
    </row>
    <row r="192" spans="1:32" s="4" customFormat="1">
      <c r="A192" s="2"/>
      <c r="B192" s="11" t="s">
        <v>44</v>
      </c>
      <c r="C192" s="11" t="s">
        <v>35</v>
      </c>
      <c r="D192" s="2">
        <v>550900</v>
      </c>
      <c r="E192" s="4" t="s">
        <v>256</v>
      </c>
      <c r="F192" s="4" t="s">
        <v>246</v>
      </c>
      <c r="G192" s="14" t="s">
        <v>37</v>
      </c>
      <c r="H192" s="7">
        <v>8445</v>
      </c>
      <c r="I192" s="10">
        <f>H192</f>
        <v>8445</v>
      </c>
      <c r="J192" s="10">
        <v>8500</v>
      </c>
      <c r="K192" s="4" t="s">
        <v>257</v>
      </c>
      <c r="L192" s="8">
        <v>44390</v>
      </c>
      <c r="M192" s="9">
        <v>48041</v>
      </c>
      <c r="N192" s="9"/>
      <c r="O192" s="9">
        <v>46216</v>
      </c>
      <c r="P192" s="9">
        <v>46215</v>
      </c>
      <c r="Q192" s="10">
        <v>450500</v>
      </c>
      <c r="R192" s="10">
        <f>Q192</f>
        <v>450500</v>
      </c>
      <c r="S192" s="10"/>
      <c r="T192" s="10">
        <v>450500</v>
      </c>
      <c r="U192" s="10">
        <f>T192</f>
        <v>450500</v>
      </c>
      <c r="V192" s="10">
        <v>495300</v>
      </c>
      <c r="W192" s="10">
        <f>V192</f>
        <v>495300</v>
      </c>
      <c r="X192" s="299">
        <f>T192/H192</f>
        <v>53.34517465956187</v>
      </c>
      <c r="Y192" s="10" t="s">
        <v>39</v>
      </c>
      <c r="Z192" s="61"/>
      <c r="AA192" s="19"/>
      <c r="AB192" s="14" t="s">
        <v>40</v>
      </c>
      <c r="AC192" s="4" t="s">
        <v>258</v>
      </c>
      <c r="AD192" s="322"/>
      <c r="AF192" s="300"/>
    </row>
    <row r="193" spans="1:33" s="4" customFormat="1" ht="14.25" customHeight="1">
      <c r="A193" s="2"/>
      <c r="B193" s="11"/>
      <c r="C193" s="11" t="s">
        <v>35</v>
      </c>
      <c r="D193" s="2"/>
      <c r="G193" s="14"/>
      <c r="H193" s="7"/>
      <c r="I193" s="10"/>
      <c r="J193" s="10"/>
      <c r="L193" s="8"/>
      <c r="M193" s="9"/>
      <c r="N193" s="9"/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61"/>
      <c r="AA193" s="55"/>
      <c r="AB193" s="14"/>
      <c r="AD193" s="322"/>
      <c r="AF193" s="300"/>
    </row>
    <row r="194" spans="1:33" s="4" customFormat="1" ht="14.25" customHeight="1">
      <c r="A194" s="2"/>
      <c r="B194" s="11"/>
      <c r="C194" s="11" t="s">
        <v>35</v>
      </c>
      <c r="D194" s="2"/>
      <c r="G194" s="6" t="s">
        <v>259</v>
      </c>
      <c r="H194" s="7"/>
      <c r="I194" s="10"/>
      <c r="J194" s="10"/>
      <c r="K194" s="32"/>
      <c r="L194" s="8"/>
      <c r="M194" s="9"/>
      <c r="N194" s="9"/>
      <c r="O194" s="9"/>
      <c r="P194" s="9"/>
      <c r="Q194" s="10"/>
      <c r="R194" s="10"/>
      <c r="S194" s="10"/>
      <c r="T194" s="11"/>
      <c r="U194" s="10"/>
      <c r="V194" s="11"/>
      <c r="W194" s="10"/>
      <c r="X194" s="10"/>
      <c r="Y194" s="10"/>
      <c r="Z194" s="61"/>
      <c r="AA194" s="55"/>
      <c r="AB194" s="14"/>
      <c r="AD194" s="322"/>
      <c r="AF194" s="300"/>
    </row>
    <row r="195" spans="1:33" s="4" customFormat="1" ht="14.25" customHeight="1">
      <c r="A195" s="2"/>
      <c r="B195" s="11"/>
      <c r="C195" s="11" t="s">
        <v>35</v>
      </c>
      <c r="D195" s="2"/>
      <c r="G195" s="14"/>
      <c r="H195" s="7"/>
      <c r="I195" s="10"/>
      <c r="J195" s="10"/>
      <c r="L195" s="8"/>
      <c r="M195" s="9"/>
      <c r="N195" s="9"/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61"/>
      <c r="AA195" s="55"/>
      <c r="AB195" s="14"/>
      <c r="AD195" s="322"/>
      <c r="AF195" s="300"/>
    </row>
    <row r="196" spans="1:33" ht="30" customHeight="1">
      <c r="A196" s="2"/>
      <c r="B196" s="11" t="s">
        <v>44</v>
      </c>
      <c r="C196" s="11" t="s">
        <v>35</v>
      </c>
      <c r="D196" s="2">
        <v>550350</v>
      </c>
      <c r="E196" s="4" t="s">
        <v>259</v>
      </c>
      <c r="F196" s="4" t="s">
        <v>246</v>
      </c>
      <c r="G196" s="14" t="s">
        <v>37</v>
      </c>
      <c r="H196" s="18">
        <v>6563</v>
      </c>
      <c r="I196" s="10">
        <f>H196</f>
        <v>6563</v>
      </c>
      <c r="J196" s="10">
        <v>6500</v>
      </c>
      <c r="K196" s="4" t="s">
        <v>260</v>
      </c>
      <c r="L196" s="8">
        <v>45062</v>
      </c>
      <c r="M196" s="9">
        <v>48714</v>
      </c>
      <c r="O196" s="9">
        <v>46889</v>
      </c>
      <c r="Q196" s="19">
        <v>350000</v>
      </c>
      <c r="R196" s="10">
        <f>Q196</f>
        <v>350000</v>
      </c>
      <c r="S196" s="19">
        <f>R196</f>
        <v>350000</v>
      </c>
      <c r="T196" s="19">
        <v>350000</v>
      </c>
      <c r="U196" s="10">
        <f>T196</f>
        <v>350000</v>
      </c>
      <c r="V196" s="19">
        <v>350000</v>
      </c>
      <c r="W196" s="10">
        <f>V196</f>
        <v>350000</v>
      </c>
      <c r="X196" s="299">
        <f>T196/H196</f>
        <v>53.329270150845652</v>
      </c>
      <c r="Y196" s="10" t="s">
        <v>69</v>
      </c>
      <c r="Z196" s="61"/>
      <c r="AA196" s="47">
        <v>6575000</v>
      </c>
      <c r="AB196" s="14" t="s">
        <v>40</v>
      </c>
      <c r="AF196" s="300"/>
    </row>
    <row r="197" spans="1:33" ht="14.25" customHeight="1">
      <c r="A197" s="2"/>
      <c r="B197" s="11"/>
      <c r="C197" s="11" t="s">
        <v>35</v>
      </c>
      <c r="D197" s="2"/>
      <c r="E197" s="4"/>
      <c r="H197" s="18"/>
      <c r="I197" s="19"/>
      <c r="J197" s="19"/>
      <c r="Q197" s="19"/>
      <c r="R197" s="19"/>
      <c r="S197" s="19"/>
      <c r="T197" s="19"/>
      <c r="U197" s="19"/>
      <c r="V197" s="19"/>
      <c r="W197" s="19"/>
      <c r="X197" s="19"/>
      <c r="Y197" s="19"/>
      <c r="Z197" s="62"/>
      <c r="AA197" s="47"/>
      <c r="AB197" s="14"/>
      <c r="AF197" s="300"/>
    </row>
    <row r="198" spans="1:33" ht="14.25" customHeight="1">
      <c r="A198" s="2"/>
      <c r="B198" s="11"/>
      <c r="C198" s="11" t="s">
        <v>35</v>
      </c>
      <c r="D198" s="2"/>
      <c r="E198" s="4"/>
      <c r="F198" s="92" t="s">
        <v>261</v>
      </c>
      <c r="H198" s="33">
        <f>SUM(H196:H197)</f>
        <v>6563</v>
      </c>
      <c r="I198" s="18"/>
      <c r="J198" s="18"/>
      <c r="K198" s="34"/>
      <c r="L198" s="35"/>
      <c r="M198" s="36"/>
      <c r="N198" s="36"/>
      <c r="O198" s="36"/>
      <c r="P198" s="36"/>
      <c r="Q198" s="18"/>
      <c r="R198" s="18"/>
      <c r="S198" s="18"/>
      <c r="T198" s="33">
        <f>SUM(T196:T197)</f>
        <v>350000</v>
      </c>
      <c r="U198" s="33"/>
      <c r="V198" s="33">
        <f>SUM(V196:V197)</f>
        <v>350000</v>
      </c>
      <c r="W198" s="33"/>
      <c r="X198" s="33"/>
      <c r="Y198" s="33"/>
      <c r="Z198" s="63"/>
      <c r="AA198" s="47"/>
      <c r="AB198" s="14"/>
      <c r="AF198" s="300"/>
    </row>
    <row r="199" spans="1:33" ht="14.25" customHeight="1">
      <c r="A199" s="2"/>
      <c r="B199" s="11"/>
      <c r="C199" s="11" t="s">
        <v>35</v>
      </c>
      <c r="D199" s="2"/>
      <c r="E199" s="4"/>
      <c r="H199" s="18"/>
      <c r="I199" s="19"/>
      <c r="J199" s="19"/>
      <c r="Q199" s="19"/>
      <c r="R199" s="19"/>
      <c r="S199" s="19"/>
      <c r="T199" s="19"/>
      <c r="U199" s="19"/>
      <c r="V199" s="19"/>
      <c r="W199" s="19"/>
      <c r="X199" s="19"/>
      <c r="Y199" s="19"/>
      <c r="Z199" s="62"/>
      <c r="AA199" s="47"/>
      <c r="AB199" s="14"/>
      <c r="AF199" s="300"/>
    </row>
    <row r="200" spans="1:33" ht="14.25" customHeight="1">
      <c r="A200" s="2"/>
      <c r="B200" s="11"/>
      <c r="C200" s="11" t="s">
        <v>35</v>
      </c>
      <c r="D200" s="2"/>
      <c r="E200" s="4"/>
      <c r="G200" s="6" t="s">
        <v>262</v>
      </c>
      <c r="I200" s="10"/>
      <c r="J200" s="10"/>
      <c r="K200" s="32"/>
      <c r="T200" s="11"/>
      <c r="U200" s="10"/>
      <c r="V200" s="11"/>
      <c r="W200" s="10"/>
      <c r="X200" s="10"/>
      <c r="Y200" s="10"/>
      <c r="Z200" s="61"/>
      <c r="AA200" s="47"/>
      <c r="AB200" s="14"/>
      <c r="AF200" s="300"/>
    </row>
    <row r="201" spans="1:33" ht="14.25" customHeight="1">
      <c r="A201" s="2"/>
      <c r="B201" s="11"/>
      <c r="C201" s="11" t="s">
        <v>35</v>
      </c>
      <c r="D201" s="2"/>
      <c r="E201" s="4"/>
      <c r="I201" s="10"/>
      <c r="J201" s="10"/>
      <c r="T201" s="10"/>
      <c r="U201" s="10"/>
      <c r="V201" s="10"/>
      <c r="W201" s="10"/>
      <c r="X201" s="10"/>
      <c r="Y201" s="10"/>
      <c r="Z201" s="61"/>
      <c r="AA201" s="47"/>
      <c r="AB201" s="14"/>
      <c r="AF201" s="300"/>
    </row>
    <row r="202" spans="1:33" ht="17.25" customHeight="1">
      <c r="A202" s="2"/>
      <c r="B202" s="11" t="s">
        <v>34</v>
      </c>
      <c r="C202" s="11" t="s">
        <v>35</v>
      </c>
      <c r="D202" s="2">
        <v>550360</v>
      </c>
      <c r="E202" s="4" t="s">
        <v>262</v>
      </c>
      <c r="F202" s="4" t="s">
        <v>87</v>
      </c>
      <c r="G202" s="14" t="s">
        <v>46</v>
      </c>
      <c r="H202" s="7">
        <v>5735</v>
      </c>
      <c r="I202" s="10">
        <f>H202</f>
        <v>5735</v>
      </c>
      <c r="J202" s="10">
        <v>5750</v>
      </c>
      <c r="K202" s="4" t="s">
        <v>263</v>
      </c>
      <c r="L202" s="8">
        <v>45240</v>
      </c>
      <c r="M202" s="9">
        <v>48892</v>
      </c>
      <c r="O202" s="9">
        <v>47067</v>
      </c>
      <c r="P202" s="9">
        <v>47066</v>
      </c>
      <c r="Q202" s="10">
        <v>282288</v>
      </c>
      <c r="R202" s="10">
        <f>Q202</f>
        <v>282288</v>
      </c>
      <c r="S202" s="19"/>
      <c r="T202" s="10">
        <v>258600</v>
      </c>
      <c r="U202" s="10">
        <f>T202</f>
        <v>258600</v>
      </c>
      <c r="V202" s="10">
        <v>282288</v>
      </c>
      <c r="W202" s="10">
        <f>V202</f>
        <v>282288</v>
      </c>
      <c r="X202" s="299">
        <f>T202/H202</f>
        <v>45.091543156059288</v>
      </c>
      <c r="Y202" s="10" t="s">
        <v>39</v>
      </c>
      <c r="Z202" s="61"/>
      <c r="AA202" s="47"/>
      <c r="AB202" s="14" t="s">
        <v>40</v>
      </c>
      <c r="AC202" s="4" t="s">
        <v>264</v>
      </c>
      <c r="AF202" s="300"/>
    </row>
    <row r="203" spans="1:33" ht="14.25" customHeight="1">
      <c r="A203" s="2"/>
      <c r="B203" s="11"/>
      <c r="C203" s="11" t="s">
        <v>35</v>
      </c>
      <c r="D203" s="2"/>
      <c r="E203" s="4"/>
      <c r="F203" s="92"/>
      <c r="H203" s="33"/>
      <c r="I203" s="18"/>
      <c r="J203" s="18"/>
      <c r="K203" s="34"/>
      <c r="L203" s="35"/>
      <c r="M203" s="36"/>
      <c r="N203" s="36"/>
      <c r="O203" s="36"/>
      <c r="P203" s="36"/>
      <c r="Q203" s="33"/>
      <c r="R203" s="33"/>
      <c r="S203" s="33"/>
      <c r="T203" s="33"/>
      <c r="U203" s="33"/>
      <c r="V203" s="33"/>
      <c r="W203" s="33"/>
      <c r="X203" s="33"/>
      <c r="Y203" s="33"/>
      <c r="Z203" s="63"/>
      <c r="AA203" s="47"/>
      <c r="AB203" s="14"/>
      <c r="AF203" s="300"/>
    </row>
    <row r="204" spans="1:33" ht="14.25" customHeight="1">
      <c r="A204" s="2"/>
      <c r="B204" s="11"/>
      <c r="C204" s="11" t="s">
        <v>35</v>
      </c>
      <c r="D204" s="2"/>
      <c r="E204" s="4"/>
      <c r="G204" s="6" t="s">
        <v>265</v>
      </c>
      <c r="I204" s="10"/>
      <c r="J204" s="10"/>
      <c r="K204" s="32"/>
      <c r="T204" s="11"/>
      <c r="U204" s="10"/>
      <c r="V204" s="11"/>
      <c r="W204" s="10"/>
      <c r="X204" s="10"/>
      <c r="Y204" s="10"/>
      <c r="Z204" s="61"/>
      <c r="AA204" s="47"/>
      <c r="AB204" s="14"/>
      <c r="AF204" s="300"/>
    </row>
    <row r="205" spans="1:33" ht="14.25" customHeight="1">
      <c r="A205" s="2"/>
      <c r="B205" s="11"/>
      <c r="C205" s="11" t="s">
        <v>35</v>
      </c>
      <c r="D205" s="2"/>
      <c r="E205" s="4"/>
      <c r="I205" s="10"/>
      <c r="J205" s="10"/>
      <c r="T205" s="10"/>
      <c r="U205" s="10"/>
      <c r="V205" s="10"/>
      <c r="W205" s="10"/>
      <c r="X205" s="10"/>
      <c r="Y205" s="10"/>
      <c r="Z205" s="61"/>
      <c r="AA205" s="47"/>
      <c r="AB205" s="14"/>
      <c r="AF205" s="300"/>
    </row>
    <row r="206" spans="1:33">
      <c r="A206" s="2"/>
      <c r="B206" s="11" t="s">
        <v>34</v>
      </c>
      <c r="C206" s="11" t="s">
        <v>35</v>
      </c>
      <c r="D206" s="2">
        <v>550370</v>
      </c>
      <c r="E206" s="4" t="s">
        <v>265</v>
      </c>
      <c r="F206" s="4" t="s">
        <v>266</v>
      </c>
      <c r="G206" s="14" t="s">
        <v>37</v>
      </c>
      <c r="H206" s="7">
        <v>2161</v>
      </c>
      <c r="I206" s="7">
        <f>H206</f>
        <v>2161</v>
      </c>
      <c r="J206" s="7">
        <v>2000</v>
      </c>
      <c r="K206" s="4" t="s">
        <v>68</v>
      </c>
      <c r="N206" s="9">
        <v>44063</v>
      </c>
      <c r="Q206" s="10">
        <v>0</v>
      </c>
      <c r="R206" s="10">
        <f>Q206</f>
        <v>0</v>
      </c>
      <c r="T206" s="10">
        <v>53800</v>
      </c>
      <c r="U206" s="10">
        <f>T206</f>
        <v>53800</v>
      </c>
      <c r="V206" s="10">
        <v>54000</v>
      </c>
      <c r="W206" s="10">
        <f>V206</f>
        <v>54000</v>
      </c>
      <c r="X206" s="299">
        <f>T206/H206</f>
        <v>24.895881536325774</v>
      </c>
      <c r="Y206" s="10" t="s">
        <v>76</v>
      </c>
      <c r="Z206" s="61"/>
      <c r="AA206" s="47"/>
      <c r="AB206" s="14" t="s">
        <v>40</v>
      </c>
      <c r="AC206" s="4" t="s">
        <v>267</v>
      </c>
      <c r="AE206" s="4">
        <v>2</v>
      </c>
      <c r="AF206" s="300">
        <v>8</v>
      </c>
      <c r="AG206" s="4" t="s">
        <v>160</v>
      </c>
    </row>
    <row r="207" spans="1:33">
      <c r="A207" s="2"/>
      <c r="B207" s="11" t="s">
        <v>34</v>
      </c>
      <c r="C207" s="11" t="s">
        <v>35</v>
      </c>
      <c r="D207" s="2">
        <v>550370</v>
      </c>
      <c r="E207" s="4" t="s">
        <v>265</v>
      </c>
      <c r="F207" s="4" t="s">
        <v>78</v>
      </c>
      <c r="G207" s="14" t="s">
        <v>37</v>
      </c>
      <c r="H207" s="7">
        <v>2185</v>
      </c>
      <c r="I207" s="7">
        <f>H207</f>
        <v>2185</v>
      </c>
      <c r="J207" s="7">
        <v>2000</v>
      </c>
      <c r="K207" s="4" t="s">
        <v>263</v>
      </c>
      <c r="L207" s="8">
        <v>45240</v>
      </c>
      <c r="M207" s="9">
        <v>48892</v>
      </c>
      <c r="O207" s="9">
        <v>47067</v>
      </c>
      <c r="P207" s="9">
        <v>47066</v>
      </c>
      <c r="Q207" s="10">
        <v>132000</v>
      </c>
      <c r="R207" s="10">
        <f>Q207</f>
        <v>132000</v>
      </c>
      <c r="T207" s="10">
        <v>130000</v>
      </c>
      <c r="U207" s="10">
        <f>T207</f>
        <v>130000</v>
      </c>
      <c r="V207" s="10">
        <v>132000</v>
      </c>
      <c r="W207" s="10">
        <f>V207</f>
        <v>132000</v>
      </c>
      <c r="X207" s="299">
        <f>T207/H207</f>
        <v>59.496567505720826</v>
      </c>
      <c r="Y207" s="10" t="s">
        <v>39</v>
      </c>
      <c r="Z207" s="61"/>
      <c r="AA207" s="47"/>
      <c r="AB207" s="14" t="s">
        <v>40</v>
      </c>
      <c r="AC207" s="4" t="s">
        <v>268</v>
      </c>
      <c r="AF207" s="300"/>
    </row>
    <row r="208" spans="1:33" ht="14.25" customHeight="1">
      <c r="A208" s="2"/>
      <c r="B208" s="11"/>
      <c r="C208" s="11" t="s">
        <v>35</v>
      </c>
      <c r="D208" s="2"/>
      <c r="E208" s="4"/>
      <c r="H208" s="18"/>
      <c r="I208" s="19"/>
      <c r="J208" s="19"/>
      <c r="Q208" s="19"/>
      <c r="R208" s="19"/>
      <c r="S208" s="19"/>
      <c r="T208" s="19"/>
      <c r="U208" s="19"/>
      <c r="V208" s="19"/>
      <c r="W208" s="19"/>
      <c r="X208" s="19"/>
      <c r="Y208" s="19"/>
      <c r="Z208" s="62"/>
      <c r="AA208" s="54"/>
      <c r="AB208" s="14"/>
      <c r="AF208" s="300"/>
    </row>
    <row r="209" spans="1:32" ht="14.25" customHeight="1">
      <c r="A209" s="2"/>
      <c r="B209" s="11"/>
      <c r="C209" s="11" t="s">
        <v>35</v>
      </c>
      <c r="D209" s="2"/>
      <c r="E209" s="4"/>
      <c r="G209" s="6" t="s">
        <v>269</v>
      </c>
      <c r="I209" s="10"/>
      <c r="J209" s="10"/>
      <c r="K209" s="32"/>
      <c r="T209" s="11"/>
      <c r="U209" s="10"/>
      <c r="V209" s="11"/>
      <c r="W209" s="10"/>
      <c r="X209" s="10"/>
      <c r="Y209" s="10"/>
      <c r="Z209" s="61"/>
      <c r="AA209" s="55"/>
      <c r="AB209" s="14"/>
      <c r="AF209" s="300"/>
    </row>
    <row r="210" spans="1:32" ht="14.25" customHeight="1">
      <c r="A210" s="2"/>
      <c r="B210" s="11"/>
      <c r="C210" s="11" t="s">
        <v>35</v>
      </c>
      <c r="D210" s="2"/>
      <c r="E210" s="4"/>
      <c r="G210" s="6"/>
      <c r="H210" s="24"/>
      <c r="I210" s="10"/>
      <c r="J210" s="10"/>
      <c r="T210" s="10"/>
      <c r="U210" s="10"/>
      <c r="V210" s="10"/>
      <c r="W210" s="10"/>
      <c r="X210" s="10"/>
      <c r="Y210" s="10"/>
      <c r="Z210" s="61"/>
      <c r="AA210" s="55"/>
      <c r="AB210" s="14"/>
      <c r="AF210" s="300"/>
    </row>
    <row r="211" spans="1:32">
      <c r="A211" s="2"/>
      <c r="B211" s="11" t="s">
        <v>34</v>
      </c>
      <c r="C211" s="11" t="s">
        <v>35</v>
      </c>
      <c r="D211" s="2">
        <v>550380</v>
      </c>
      <c r="E211" s="4" t="s">
        <v>269</v>
      </c>
      <c r="F211" s="37" t="s">
        <v>104</v>
      </c>
      <c r="G211" s="14" t="s">
        <v>187</v>
      </c>
      <c r="H211" s="7">
        <v>2481</v>
      </c>
      <c r="I211" s="7">
        <f>H211</f>
        <v>2481</v>
      </c>
      <c r="J211" s="7">
        <v>2500</v>
      </c>
      <c r="K211" s="48" t="s">
        <v>270</v>
      </c>
      <c r="L211" s="8">
        <v>44758</v>
      </c>
      <c r="M211" s="9">
        <v>46583</v>
      </c>
      <c r="Q211" s="10">
        <v>69440</v>
      </c>
      <c r="R211" s="10">
        <f>Q211</f>
        <v>69440</v>
      </c>
      <c r="T211" s="10">
        <v>69500</v>
      </c>
      <c r="U211" s="10">
        <f>T211</f>
        <v>69500</v>
      </c>
      <c r="V211" s="10">
        <v>69500</v>
      </c>
      <c r="W211" s="10">
        <f>V211</f>
        <v>69500</v>
      </c>
      <c r="X211" s="299">
        <f>T211/H211</f>
        <v>28.012898024989923</v>
      </c>
      <c r="Y211" s="10" t="s">
        <v>76</v>
      </c>
      <c r="Z211" s="61"/>
      <c r="AA211" s="55"/>
      <c r="AB211" s="14" t="s">
        <v>40</v>
      </c>
      <c r="AF211" s="300"/>
    </row>
    <row r="212" spans="1:32">
      <c r="A212" s="2"/>
      <c r="B212" s="11" t="s">
        <v>34</v>
      </c>
      <c r="C212" s="11" t="s">
        <v>35</v>
      </c>
      <c r="D212" s="2">
        <v>550380</v>
      </c>
      <c r="E212" s="4" t="s">
        <v>269</v>
      </c>
      <c r="F212" s="4" t="s">
        <v>271</v>
      </c>
      <c r="G212" s="14" t="s">
        <v>120</v>
      </c>
      <c r="H212" s="7">
        <v>1616</v>
      </c>
      <c r="I212" s="7">
        <f>H212</f>
        <v>1616</v>
      </c>
      <c r="J212" s="7">
        <v>1500</v>
      </c>
      <c r="K212" s="4" t="s">
        <v>263</v>
      </c>
      <c r="L212" s="8">
        <v>45240</v>
      </c>
      <c r="M212" s="9">
        <v>48892</v>
      </c>
      <c r="O212" s="9">
        <v>47067</v>
      </c>
      <c r="P212" s="9">
        <v>47066</v>
      </c>
      <c r="Q212" s="10">
        <v>85500</v>
      </c>
      <c r="R212" s="10">
        <f>Q212</f>
        <v>85500</v>
      </c>
      <c r="T212" s="10">
        <v>84800</v>
      </c>
      <c r="U212" s="10">
        <f>T212</f>
        <v>84800</v>
      </c>
      <c r="V212" s="10">
        <v>85000</v>
      </c>
      <c r="W212" s="10">
        <f>V212</f>
        <v>85000</v>
      </c>
      <c r="X212" s="299">
        <f>T212/H212</f>
        <v>52.475247524752476</v>
      </c>
      <c r="Y212" s="10" t="s">
        <v>69</v>
      </c>
      <c r="Z212" s="61"/>
      <c r="AA212" s="55"/>
      <c r="AB212" s="14" t="s">
        <v>40</v>
      </c>
      <c r="AC212" s="4" t="s">
        <v>268</v>
      </c>
      <c r="AF212" s="300"/>
    </row>
    <row r="213" spans="1:32" ht="22.5" customHeight="1">
      <c r="A213" s="2"/>
      <c r="B213" s="11" t="s">
        <v>34</v>
      </c>
      <c r="C213" s="11" t="s">
        <v>35</v>
      </c>
      <c r="D213" s="2">
        <v>550380</v>
      </c>
      <c r="E213" s="4" t="s">
        <v>269</v>
      </c>
      <c r="F213" s="37" t="s">
        <v>272</v>
      </c>
      <c r="G213" s="14" t="s">
        <v>187</v>
      </c>
      <c r="H213" s="7">
        <v>1485</v>
      </c>
      <c r="I213" s="7">
        <f>H213</f>
        <v>1485</v>
      </c>
      <c r="J213" s="7">
        <v>1500</v>
      </c>
      <c r="K213" s="4" t="s">
        <v>273</v>
      </c>
      <c r="L213" s="8">
        <v>45525</v>
      </c>
      <c r="M213" s="9">
        <v>47350</v>
      </c>
      <c r="P213" s="9">
        <v>46620</v>
      </c>
      <c r="Q213" s="10">
        <v>90000</v>
      </c>
      <c r="R213" s="10">
        <f>Q213</f>
        <v>90000</v>
      </c>
      <c r="T213" s="10">
        <v>78000</v>
      </c>
      <c r="U213" s="10">
        <f>T213</f>
        <v>78000</v>
      </c>
      <c r="V213" s="10">
        <v>90000</v>
      </c>
      <c r="W213" s="10">
        <f>V213</f>
        <v>90000</v>
      </c>
      <c r="X213" s="299">
        <f>T213/H213</f>
        <v>52.525252525252526</v>
      </c>
      <c r="Y213" s="10" t="s">
        <v>76</v>
      </c>
      <c r="Z213" s="61"/>
      <c r="AA213" s="55"/>
      <c r="AB213" s="14" t="s">
        <v>40</v>
      </c>
      <c r="AC213" s="4" t="s">
        <v>192</v>
      </c>
      <c r="AF213" s="300"/>
    </row>
    <row r="214" spans="1:32" ht="14.25" customHeight="1">
      <c r="A214" s="2"/>
      <c r="B214" s="11"/>
      <c r="C214" s="11" t="s">
        <v>35</v>
      </c>
      <c r="D214" s="2"/>
      <c r="E214" s="4"/>
      <c r="H214" s="18"/>
      <c r="I214" s="19"/>
      <c r="J214" s="19"/>
      <c r="Q214" s="19"/>
      <c r="R214" s="19"/>
      <c r="S214" s="19"/>
      <c r="T214" s="19"/>
      <c r="U214" s="19"/>
      <c r="V214" s="19"/>
      <c r="W214" s="19"/>
      <c r="X214" s="19"/>
      <c r="Y214" s="19"/>
      <c r="Z214" s="62"/>
      <c r="AA214" s="19"/>
      <c r="AB214" s="14"/>
      <c r="AF214" s="300"/>
    </row>
    <row r="215" spans="1:32" ht="14.25" customHeight="1">
      <c r="A215" s="2"/>
      <c r="B215" s="11"/>
      <c r="C215" s="11" t="s">
        <v>35</v>
      </c>
      <c r="D215" s="2"/>
      <c r="E215" s="4"/>
      <c r="G215" s="6" t="s">
        <v>274</v>
      </c>
      <c r="I215" s="10"/>
      <c r="J215" s="10"/>
      <c r="K215" s="32"/>
      <c r="T215" s="11"/>
      <c r="U215" s="10"/>
      <c r="V215" s="11"/>
      <c r="W215" s="10"/>
      <c r="X215" s="10"/>
      <c r="Y215" s="10"/>
      <c r="Z215" s="61"/>
      <c r="AA215" s="19"/>
      <c r="AB215" s="14"/>
      <c r="AF215" s="300"/>
    </row>
    <row r="216" spans="1:32" ht="14.25" customHeight="1">
      <c r="A216" s="2"/>
      <c r="B216" s="11"/>
      <c r="C216" s="11" t="s">
        <v>35</v>
      </c>
      <c r="D216" s="2"/>
      <c r="E216" s="4"/>
      <c r="G216" s="20"/>
      <c r="H216" s="26"/>
      <c r="I216" s="19"/>
      <c r="J216" s="19"/>
      <c r="K216" s="26"/>
      <c r="Q216" s="19"/>
      <c r="R216" s="19"/>
      <c r="S216" s="19"/>
      <c r="T216" s="19"/>
      <c r="U216" s="19"/>
      <c r="V216" s="19"/>
      <c r="W216" s="19"/>
      <c r="X216" s="19"/>
      <c r="Y216" s="19"/>
      <c r="Z216" s="62"/>
      <c r="AA216" s="19"/>
      <c r="AB216" s="14"/>
      <c r="AF216" s="300"/>
    </row>
    <row r="217" spans="1:32" ht="24" customHeight="1">
      <c r="A217" s="2"/>
      <c r="B217" s="11" t="s">
        <v>34</v>
      </c>
      <c r="C217" s="11" t="s">
        <v>35</v>
      </c>
      <c r="D217" s="2">
        <v>550950</v>
      </c>
      <c r="E217" s="4" t="s">
        <v>274</v>
      </c>
      <c r="F217" s="4" t="s">
        <v>232</v>
      </c>
      <c r="G217" s="14" t="s">
        <v>37</v>
      </c>
      <c r="H217" s="7">
        <v>2370</v>
      </c>
      <c r="I217" s="7">
        <f>H217</f>
        <v>2370</v>
      </c>
      <c r="K217" s="4" t="s">
        <v>237</v>
      </c>
      <c r="L217" s="8">
        <v>43794</v>
      </c>
      <c r="M217" s="9">
        <v>47446</v>
      </c>
      <c r="O217" s="9">
        <v>45621</v>
      </c>
      <c r="Q217" s="10">
        <v>104885</v>
      </c>
      <c r="R217" s="10">
        <f>Q217</f>
        <v>104885</v>
      </c>
      <c r="T217" s="10">
        <v>100700</v>
      </c>
      <c r="U217" s="10">
        <f>T217</f>
        <v>100700</v>
      </c>
      <c r="V217" s="10">
        <v>100700</v>
      </c>
      <c r="W217" s="10">
        <f>V217</f>
        <v>100700</v>
      </c>
      <c r="X217" s="299">
        <f>T217/H217</f>
        <v>42.489451476793249</v>
      </c>
      <c r="Y217" s="10" t="s">
        <v>69</v>
      </c>
      <c r="Z217" s="61"/>
      <c r="AA217" s="19"/>
      <c r="AB217" s="14" t="s">
        <v>40</v>
      </c>
      <c r="AC217" s="4" t="s">
        <v>275</v>
      </c>
      <c r="AF217" s="300"/>
    </row>
    <row r="218" spans="1:32" ht="14.25" customHeight="1">
      <c r="A218" s="2"/>
      <c r="B218" s="11"/>
      <c r="C218" s="11" t="s">
        <v>35</v>
      </c>
      <c r="D218" s="2"/>
      <c r="E218" s="4"/>
      <c r="I218" s="19"/>
      <c r="J218" s="19"/>
      <c r="Q218" s="19"/>
      <c r="R218" s="19"/>
      <c r="S218" s="19"/>
      <c r="T218" s="19"/>
      <c r="U218" s="19"/>
      <c r="V218" s="19"/>
      <c r="W218" s="19"/>
      <c r="X218" s="19"/>
      <c r="Y218" s="19"/>
      <c r="Z218" s="62"/>
      <c r="AA218" s="54"/>
      <c r="AB218" s="14"/>
      <c r="AF218" s="300"/>
    </row>
    <row r="219" spans="1:32" ht="14.25" customHeight="1">
      <c r="A219" s="2"/>
      <c r="B219" s="11"/>
      <c r="C219" s="11" t="s">
        <v>35</v>
      </c>
      <c r="D219" s="2"/>
      <c r="E219" s="4"/>
      <c r="G219" s="6" t="s">
        <v>276</v>
      </c>
      <c r="I219" s="10"/>
      <c r="J219" s="10"/>
      <c r="K219" s="32"/>
      <c r="T219" s="11"/>
      <c r="U219" s="10"/>
      <c r="V219" s="11"/>
      <c r="W219" s="10"/>
      <c r="X219" s="10"/>
      <c r="Y219" s="10"/>
      <c r="Z219" s="61"/>
      <c r="AA219" s="55"/>
      <c r="AB219" s="14"/>
      <c r="AF219" s="300"/>
    </row>
    <row r="220" spans="1:32" ht="14.25" customHeight="1">
      <c r="A220" s="2"/>
      <c r="B220" s="11"/>
      <c r="C220" s="11" t="s">
        <v>35</v>
      </c>
      <c r="D220" s="2"/>
      <c r="E220" s="4"/>
      <c r="I220" s="10"/>
      <c r="J220" s="10"/>
      <c r="T220" s="11"/>
      <c r="U220" s="10"/>
      <c r="V220" s="11"/>
      <c r="W220" s="10"/>
      <c r="X220" s="10"/>
      <c r="Y220" s="10"/>
      <c r="Z220" s="61"/>
      <c r="AA220" s="55"/>
      <c r="AB220" s="14"/>
      <c r="AF220" s="300"/>
    </row>
    <row r="221" spans="1:32" ht="39" customHeight="1">
      <c r="A221" s="2"/>
      <c r="B221" s="11" t="s">
        <v>60</v>
      </c>
      <c r="C221" s="11" t="s">
        <v>35</v>
      </c>
      <c r="D221" s="2">
        <v>550730</v>
      </c>
      <c r="E221" s="4" t="s">
        <v>276</v>
      </c>
      <c r="F221" s="4" t="s">
        <v>66</v>
      </c>
      <c r="G221" s="14" t="s">
        <v>120</v>
      </c>
      <c r="H221" s="7">
        <v>1946</v>
      </c>
      <c r="I221" s="7">
        <f>H221</f>
        <v>1946</v>
      </c>
      <c r="J221" s="7">
        <v>2000</v>
      </c>
      <c r="K221" s="4" t="s">
        <v>277</v>
      </c>
      <c r="L221" s="8">
        <v>45457</v>
      </c>
      <c r="M221" s="9">
        <v>47282</v>
      </c>
      <c r="P221" s="9">
        <v>46186</v>
      </c>
      <c r="Q221" s="10">
        <v>94417</v>
      </c>
      <c r="R221" s="10">
        <f>Q221</f>
        <v>94417</v>
      </c>
      <c r="T221" s="10">
        <v>86800</v>
      </c>
      <c r="U221" s="10">
        <f>T221</f>
        <v>86800</v>
      </c>
      <c r="V221" s="10">
        <v>94417</v>
      </c>
      <c r="W221" s="10">
        <f>V221</f>
        <v>94417</v>
      </c>
      <c r="X221" s="299">
        <f>T221/H221</f>
        <v>44.60431654676259</v>
      </c>
      <c r="Y221" s="10" t="s">
        <v>76</v>
      </c>
      <c r="Z221" s="61"/>
      <c r="AA221" s="55"/>
      <c r="AB221" s="14" t="s">
        <v>40</v>
      </c>
      <c r="AC221" s="4" t="s">
        <v>278</v>
      </c>
      <c r="AF221" s="300"/>
    </row>
    <row r="222" spans="1:32" ht="14.25" customHeight="1">
      <c r="A222" s="2"/>
      <c r="B222" s="11"/>
      <c r="C222" s="11" t="s">
        <v>35</v>
      </c>
      <c r="D222" s="2"/>
      <c r="E222" s="4"/>
      <c r="H222" s="18"/>
      <c r="I222" s="19"/>
      <c r="J222" s="19"/>
      <c r="Q222" s="19"/>
      <c r="R222" s="19"/>
      <c r="S222" s="19"/>
      <c r="T222" s="19"/>
      <c r="U222" s="19"/>
      <c r="V222" s="19"/>
      <c r="W222" s="19"/>
      <c r="X222" s="19"/>
      <c r="Y222" s="19"/>
      <c r="Z222" s="62"/>
      <c r="AA222" s="19"/>
      <c r="AB222" s="14"/>
      <c r="AF222" s="300"/>
    </row>
    <row r="223" spans="1:32" s="4" customFormat="1" ht="14.25" customHeight="1">
      <c r="A223" s="2"/>
      <c r="B223" s="11"/>
      <c r="C223" s="11" t="s">
        <v>35</v>
      </c>
      <c r="D223" s="2"/>
      <c r="G223" s="6" t="s">
        <v>279</v>
      </c>
      <c r="H223" s="7"/>
      <c r="I223" s="10"/>
      <c r="J223" s="10"/>
      <c r="K223" s="32"/>
      <c r="L223" s="8"/>
      <c r="M223" s="9"/>
      <c r="N223" s="9"/>
      <c r="O223" s="9"/>
      <c r="P223" s="9"/>
      <c r="Q223" s="10"/>
      <c r="R223" s="10"/>
      <c r="S223" s="10"/>
      <c r="T223" s="11"/>
      <c r="U223" s="10"/>
      <c r="V223" s="11"/>
      <c r="W223" s="10"/>
      <c r="X223" s="10"/>
      <c r="Y223" s="10"/>
      <c r="Z223" s="61"/>
      <c r="AA223" s="19"/>
      <c r="AB223" s="14"/>
      <c r="AD223" s="322"/>
      <c r="AF223" s="300"/>
    </row>
    <row r="224" spans="1:32" s="4" customFormat="1" ht="14.25" customHeight="1">
      <c r="A224" s="2"/>
      <c r="B224" s="11"/>
      <c r="C224" s="11" t="s">
        <v>35</v>
      </c>
      <c r="D224" s="2"/>
      <c r="G224" s="15"/>
      <c r="H224" s="24"/>
      <c r="I224" s="10"/>
      <c r="J224" s="10"/>
      <c r="L224" s="9"/>
      <c r="M224" s="9"/>
      <c r="N224" s="9"/>
      <c r="O224" s="9"/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61"/>
      <c r="AA224" s="19"/>
      <c r="AB224" s="14"/>
      <c r="AD224" s="322"/>
      <c r="AF224" s="300"/>
    </row>
    <row r="225" spans="1:33" s="4" customFormat="1" ht="14.25" customHeight="1">
      <c r="A225" s="2"/>
      <c r="B225" s="11" t="s">
        <v>119</v>
      </c>
      <c r="C225" s="11" t="s">
        <v>35</v>
      </c>
      <c r="D225" s="2">
        <v>550800</v>
      </c>
      <c r="E225" s="4" t="s">
        <v>279</v>
      </c>
      <c r="F225" s="4" t="s">
        <v>104</v>
      </c>
      <c r="G225" s="14" t="s">
        <v>120</v>
      </c>
      <c r="H225" s="7">
        <v>424</v>
      </c>
      <c r="I225" s="7">
        <f>H225</f>
        <v>424</v>
      </c>
      <c r="J225" s="7">
        <v>500</v>
      </c>
      <c r="K225" s="4" t="s">
        <v>280</v>
      </c>
      <c r="L225" s="8">
        <v>45262</v>
      </c>
      <c r="M225" s="9">
        <v>47088</v>
      </c>
      <c r="N225" s="9"/>
      <c r="O225" s="9"/>
      <c r="P225" s="9"/>
      <c r="Q225" s="10">
        <v>11872</v>
      </c>
      <c r="R225" s="10">
        <f>Q225</f>
        <v>11872</v>
      </c>
      <c r="S225" s="10"/>
      <c r="T225" s="10">
        <v>11660</v>
      </c>
      <c r="U225" s="10">
        <f>T225</f>
        <v>11660</v>
      </c>
      <c r="V225" s="10">
        <v>11660</v>
      </c>
      <c r="W225" s="10">
        <f>V225</f>
        <v>11660</v>
      </c>
      <c r="X225" s="299">
        <f>T225/H225</f>
        <v>27.5</v>
      </c>
      <c r="Y225" s="10" t="s">
        <v>76</v>
      </c>
      <c r="Z225" s="61"/>
      <c r="AA225" s="19"/>
      <c r="AB225" s="14" t="s">
        <v>40</v>
      </c>
      <c r="AD225" s="324"/>
      <c r="AF225" s="300"/>
    </row>
    <row r="226" spans="1:33" s="4" customFormat="1" ht="25.5" customHeight="1">
      <c r="A226" s="2"/>
      <c r="B226" s="11" t="s">
        <v>119</v>
      </c>
      <c r="C226" s="11" t="s">
        <v>35</v>
      </c>
      <c r="D226" s="2">
        <v>550800</v>
      </c>
      <c r="E226" s="4" t="s">
        <v>279</v>
      </c>
      <c r="F226" s="4" t="s">
        <v>281</v>
      </c>
      <c r="G226" s="14" t="s">
        <v>46</v>
      </c>
      <c r="H226" s="7">
        <v>515</v>
      </c>
      <c r="I226" s="7">
        <f>H226</f>
        <v>515</v>
      </c>
      <c r="J226" s="7">
        <v>500</v>
      </c>
      <c r="K226" s="4" t="s">
        <v>282</v>
      </c>
      <c r="L226" s="8">
        <v>44756</v>
      </c>
      <c r="M226" s="9">
        <v>47154</v>
      </c>
      <c r="N226" s="9"/>
      <c r="O226" s="9">
        <v>45328</v>
      </c>
      <c r="P226" s="9"/>
      <c r="Q226" s="10">
        <v>37500</v>
      </c>
      <c r="R226" s="10">
        <f>Q226</f>
        <v>37500</v>
      </c>
      <c r="S226" s="10"/>
      <c r="T226" s="10">
        <v>37502</v>
      </c>
      <c r="U226" s="10">
        <f>T226</f>
        <v>37502</v>
      </c>
      <c r="V226" s="10">
        <v>37500</v>
      </c>
      <c r="W226" s="10">
        <f>V226</f>
        <v>37500</v>
      </c>
      <c r="X226" s="299">
        <f>T226/H226</f>
        <v>72.819417475728159</v>
      </c>
      <c r="Y226" s="10" t="s">
        <v>58</v>
      </c>
      <c r="Z226" s="61"/>
      <c r="AA226" s="19"/>
      <c r="AB226" s="14" t="s">
        <v>40</v>
      </c>
      <c r="AD226" s="322"/>
      <c r="AF226" s="300"/>
    </row>
    <row r="227" spans="1:33" s="4" customFormat="1" ht="14.25" customHeight="1">
      <c r="A227" s="2"/>
      <c r="B227" s="11"/>
      <c r="C227" s="11" t="s">
        <v>35</v>
      </c>
      <c r="D227" s="2"/>
      <c r="G227" s="14"/>
      <c r="H227" s="18"/>
      <c r="I227" s="19"/>
      <c r="J227" s="19"/>
      <c r="L227" s="8"/>
      <c r="M227" s="9"/>
      <c r="N227" s="9"/>
      <c r="O227" s="9"/>
      <c r="P227" s="9"/>
      <c r="Q227" s="19"/>
      <c r="R227" s="19"/>
      <c r="S227" s="19"/>
      <c r="T227" s="19"/>
      <c r="U227" s="19"/>
      <c r="V227" s="19"/>
      <c r="W227" s="19"/>
      <c r="X227" s="19"/>
      <c r="Y227" s="19"/>
      <c r="Z227" s="62"/>
      <c r="AA227" s="54"/>
      <c r="AB227" s="14"/>
      <c r="AD227" s="322"/>
      <c r="AF227" s="300"/>
    </row>
    <row r="228" spans="1:33" s="4" customFormat="1" ht="14.25" customHeight="1">
      <c r="A228" s="2"/>
      <c r="B228" s="11"/>
      <c r="C228" s="11" t="s">
        <v>35</v>
      </c>
      <c r="D228" s="2"/>
      <c r="G228" s="6" t="s">
        <v>283</v>
      </c>
      <c r="H228" s="7"/>
      <c r="I228" s="10"/>
      <c r="J228" s="10"/>
      <c r="K228" s="32"/>
      <c r="L228" s="8"/>
      <c r="M228" s="9"/>
      <c r="N228" s="9"/>
      <c r="O228" s="9"/>
      <c r="P228" s="9"/>
      <c r="Q228" s="10"/>
      <c r="R228" s="10"/>
      <c r="S228" s="10"/>
      <c r="T228" s="11"/>
      <c r="U228" s="10"/>
      <c r="V228" s="11"/>
      <c r="W228" s="10"/>
      <c r="X228" s="10"/>
      <c r="Y228" s="10"/>
      <c r="Z228" s="61"/>
      <c r="AA228" s="55"/>
      <c r="AB228" s="14"/>
      <c r="AD228" s="322"/>
      <c r="AF228" s="300"/>
    </row>
    <row r="229" spans="1:33" s="4" customFormat="1" ht="14.25" customHeight="1">
      <c r="A229" s="2"/>
      <c r="B229" s="11"/>
      <c r="C229" s="11" t="s">
        <v>35</v>
      </c>
      <c r="D229" s="2"/>
      <c r="G229" s="6"/>
      <c r="H229" s="133"/>
      <c r="I229" s="10"/>
      <c r="J229" s="10"/>
      <c r="L229" s="8"/>
      <c r="M229" s="9"/>
      <c r="N229" s="9"/>
      <c r="O229" s="9"/>
      <c r="P229" s="9"/>
      <c r="Q229" s="10"/>
      <c r="R229" s="10"/>
      <c r="S229" s="10"/>
      <c r="T229" s="10"/>
      <c r="U229" s="10"/>
      <c r="V229" s="10"/>
      <c r="W229" s="10"/>
      <c r="X229" s="10"/>
      <c r="Y229" s="10"/>
      <c r="Z229" s="61"/>
      <c r="AA229" s="55"/>
      <c r="AB229" s="14"/>
      <c r="AD229" s="322"/>
      <c r="AF229" s="300"/>
    </row>
    <row r="230" spans="1:33" s="4" customFormat="1">
      <c r="A230" s="2"/>
      <c r="B230" s="11" t="s">
        <v>44</v>
      </c>
      <c r="C230" s="11" t="s">
        <v>35</v>
      </c>
      <c r="D230" s="2">
        <v>550550</v>
      </c>
      <c r="E230" s="4" t="s">
        <v>283</v>
      </c>
      <c r="F230" s="4" t="s">
        <v>284</v>
      </c>
      <c r="G230" s="14" t="s">
        <v>285</v>
      </c>
      <c r="H230" s="7">
        <v>3664</v>
      </c>
      <c r="I230" s="7">
        <f>H230</f>
        <v>3664</v>
      </c>
      <c r="J230" s="7">
        <v>3500</v>
      </c>
      <c r="K230" s="4" t="s">
        <v>286</v>
      </c>
      <c r="L230" s="8">
        <v>40946</v>
      </c>
      <c r="M230" s="8">
        <v>46424</v>
      </c>
      <c r="N230" s="8"/>
      <c r="O230" s="9"/>
      <c r="P230" s="9"/>
      <c r="Q230" s="10">
        <v>230000</v>
      </c>
      <c r="R230" s="10">
        <f>Q230</f>
        <v>230000</v>
      </c>
      <c r="S230" s="10"/>
      <c r="T230" s="10">
        <v>225000</v>
      </c>
      <c r="U230" s="10">
        <f>T230</f>
        <v>225000</v>
      </c>
      <c r="V230" s="10">
        <v>200000</v>
      </c>
      <c r="W230" s="10">
        <f>V230</f>
        <v>200000</v>
      </c>
      <c r="X230" s="299">
        <f>T230/H230</f>
        <v>61.408296943231441</v>
      </c>
      <c r="Y230" s="10" t="s">
        <v>58</v>
      </c>
      <c r="Z230" s="61"/>
      <c r="AA230" s="55"/>
      <c r="AB230" s="14" t="s">
        <v>40</v>
      </c>
      <c r="AC230" s="4" t="s">
        <v>287</v>
      </c>
      <c r="AD230" s="322"/>
      <c r="AF230" s="300"/>
    </row>
    <row r="231" spans="1:33" s="4" customFormat="1">
      <c r="A231" s="2"/>
      <c r="B231" s="11" t="s">
        <v>44</v>
      </c>
      <c r="C231" s="11" t="s">
        <v>35</v>
      </c>
      <c r="D231" s="2">
        <v>550550</v>
      </c>
      <c r="E231" s="4" t="s">
        <v>283</v>
      </c>
      <c r="F231" s="37" t="s">
        <v>288</v>
      </c>
      <c r="G231" s="14" t="s">
        <v>46</v>
      </c>
      <c r="H231" s="7">
        <v>1496</v>
      </c>
      <c r="I231" s="7">
        <f>H231</f>
        <v>1496</v>
      </c>
      <c r="J231" s="7">
        <v>1500</v>
      </c>
      <c r="K231" s="4" t="s">
        <v>289</v>
      </c>
      <c r="L231" s="8">
        <v>45178</v>
      </c>
      <c r="M231" s="40">
        <v>47004</v>
      </c>
      <c r="N231" s="40"/>
      <c r="O231" s="9"/>
      <c r="P231" s="9"/>
      <c r="Q231" s="10">
        <v>53200</v>
      </c>
      <c r="R231" s="10">
        <f>Q231</f>
        <v>53200</v>
      </c>
      <c r="S231" s="10"/>
      <c r="T231" s="10">
        <v>53200</v>
      </c>
      <c r="U231" s="10">
        <f>T231</f>
        <v>53200</v>
      </c>
      <c r="V231" s="10">
        <v>58000</v>
      </c>
      <c r="W231" s="10">
        <f>V231</f>
        <v>58000</v>
      </c>
      <c r="X231" s="299">
        <f>T231/H231</f>
        <v>35.561497326203209</v>
      </c>
      <c r="Y231" s="10" t="s">
        <v>58</v>
      </c>
      <c r="Z231" s="61"/>
      <c r="AA231" s="55"/>
      <c r="AB231" s="14" t="s">
        <v>40</v>
      </c>
      <c r="AC231" s="4" t="s">
        <v>290</v>
      </c>
      <c r="AD231" s="322"/>
      <c r="AF231" s="300"/>
    </row>
    <row r="232" spans="1:33">
      <c r="A232" s="2"/>
      <c r="B232" s="11" t="s">
        <v>44</v>
      </c>
      <c r="C232" s="11" t="s">
        <v>35</v>
      </c>
      <c r="D232" s="2">
        <v>550550</v>
      </c>
      <c r="E232" s="4" t="s">
        <v>283</v>
      </c>
      <c r="F232" s="4" t="s">
        <v>291</v>
      </c>
      <c r="G232" s="14" t="s">
        <v>83</v>
      </c>
      <c r="H232" s="7">
        <v>1592</v>
      </c>
      <c r="I232" s="7">
        <f>H232</f>
        <v>1592</v>
      </c>
      <c r="J232" s="7">
        <v>1500</v>
      </c>
      <c r="K232" s="37" t="s">
        <v>292</v>
      </c>
      <c r="L232" s="8">
        <v>44663</v>
      </c>
      <c r="M232" s="9">
        <v>50141</v>
      </c>
      <c r="O232" s="9">
        <v>46489</v>
      </c>
      <c r="P232" s="9">
        <v>48315</v>
      </c>
      <c r="Q232" s="27">
        <v>95000</v>
      </c>
      <c r="R232" s="10">
        <f>Q232</f>
        <v>95000</v>
      </c>
      <c r="T232" s="10">
        <v>100500</v>
      </c>
      <c r="U232" s="10">
        <f>T232</f>
        <v>100500</v>
      </c>
      <c r="V232" s="10">
        <v>100000</v>
      </c>
      <c r="W232" s="10">
        <f>V232</f>
        <v>100000</v>
      </c>
      <c r="X232" s="299">
        <f>T232/H232</f>
        <v>63.128140703517587</v>
      </c>
      <c r="Y232" s="10" t="s">
        <v>39</v>
      </c>
      <c r="Z232" s="61"/>
      <c r="AA232" s="55"/>
      <c r="AB232" s="14" t="s">
        <v>40</v>
      </c>
      <c r="AC232" s="4" t="s">
        <v>293</v>
      </c>
      <c r="AF232" s="300"/>
    </row>
    <row r="233" spans="1:33">
      <c r="A233" s="2"/>
      <c r="B233" s="11" t="s">
        <v>44</v>
      </c>
      <c r="C233" s="11" t="s">
        <v>35</v>
      </c>
      <c r="D233" s="2">
        <v>550550</v>
      </c>
      <c r="E233" s="4" t="s">
        <v>283</v>
      </c>
      <c r="F233" s="37" t="s">
        <v>294</v>
      </c>
      <c r="G233" s="14" t="s">
        <v>46</v>
      </c>
      <c r="H233" s="7">
        <v>1704</v>
      </c>
      <c r="I233" s="7">
        <f>H233</f>
        <v>1704</v>
      </c>
      <c r="J233" s="7">
        <v>1750</v>
      </c>
      <c r="K233" s="37" t="s">
        <v>295</v>
      </c>
      <c r="L233" s="8">
        <v>45111</v>
      </c>
      <c r="M233" s="9">
        <v>48763</v>
      </c>
      <c r="O233" s="9">
        <v>46938</v>
      </c>
      <c r="Q233" s="10">
        <v>105000</v>
      </c>
      <c r="R233" s="10">
        <f>Q233</f>
        <v>105000</v>
      </c>
      <c r="T233" s="10">
        <v>96300</v>
      </c>
      <c r="U233" s="10">
        <f>T233</f>
        <v>96300</v>
      </c>
      <c r="V233" s="10">
        <v>105000</v>
      </c>
      <c r="W233" s="10">
        <f>V233</f>
        <v>105000</v>
      </c>
      <c r="X233" s="299">
        <f>T233/H233</f>
        <v>56.514084507042256</v>
      </c>
      <c r="Y233" s="10" t="s">
        <v>39</v>
      </c>
      <c r="Z233" s="61"/>
      <c r="AA233" s="55"/>
      <c r="AB233" s="14" t="s">
        <v>40</v>
      </c>
      <c r="AF233" s="300"/>
    </row>
    <row r="234" spans="1:33" ht="14.25" customHeight="1">
      <c r="A234" s="2"/>
      <c r="B234" s="11"/>
      <c r="C234" s="11" t="s">
        <v>35</v>
      </c>
      <c r="D234" s="2"/>
      <c r="E234" s="4"/>
      <c r="H234" s="2"/>
      <c r="I234" s="11"/>
      <c r="J234" s="11"/>
      <c r="Q234" s="11"/>
      <c r="R234" s="11"/>
      <c r="S234" s="11"/>
      <c r="T234" s="11"/>
      <c r="V234" s="11"/>
      <c r="AA234" s="55"/>
      <c r="AB234" s="14"/>
      <c r="AF234" s="300"/>
    </row>
    <row r="235" spans="1:33" ht="14.25" customHeight="1">
      <c r="A235" s="2"/>
      <c r="B235" s="11"/>
      <c r="C235" s="11" t="s">
        <v>35</v>
      </c>
      <c r="D235" s="2"/>
      <c r="E235" s="4"/>
      <c r="G235" s="6" t="s">
        <v>296</v>
      </c>
      <c r="I235" s="10"/>
      <c r="J235" s="10"/>
      <c r="K235" s="32"/>
      <c r="T235" s="11"/>
      <c r="U235" s="10"/>
      <c r="V235" s="11"/>
      <c r="W235" s="10"/>
      <c r="X235" s="10"/>
      <c r="Y235" s="10"/>
      <c r="Z235" s="61"/>
      <c r="AA235" s="55"/>
      <c r="AB235" s="14"/>
      <c r="AF235" s="300"/>
    </row>
    <row r="236" spans="1:33">
      <c r="A236" s="2"/>
      <c r="B236" s="11"/>
      <c r="C236" s="11" t="s">
        <v>35</v>
      </c>
      <c r="D236" s="2"/>
      <c r="E236" s="4"/>
      <c r="I236" s="10"/>
      <c r="J236" s="10"/>
      <c r="T236" s="10"/>
      <c r="U236" s="10"/>
      <c r="V236" s="10"/>
      <c r="W236" s="10"/>
      <c r="X236" s="10"/>
      <c r="Y236" s="10"/>
      <c r="Z236" s="61"/>
      <c r="AA236" s="55"/>
      <c r="AB236" s="14"/>
      <c r="AF236" s="300"/>
    </row>
    <row r="237" spans="1:33">
      <c r="A237" s="2"/>
      <c r="B237" s="11" t="s">
        <v>44</v>
      </c>
      <c r="C237" s="11" t="s">
        <v>35</v>
      </c>
      <c r="D237" s="2">
        <v>550510</v>
      </c>
      <c r="E237" s="4" t="s">
        <v>296</v>
      </c>
      <c r="F237" s="4" t="s">
        <v>297</v>
      </c>
      <c r="G237" s="14" t="s">
        <v>251</v>
      </c>
      <c r="H237" s="7">
        <v>120</v>
      </c>
      <c r="I237" s="7">
        <f>H237</f>
        <v>120</v>
      </c>
      <c r="J237" s="7">
        <v>250</v>
      </c>
      <c r="K237" s="37" t="s">
        <v>298</v>
      </c>
      <c r="L237" s="8">
        <v>43881</v>
      </c>
      <c r="M237" s="8">
        <v>47240</v>
      </c>
      <c r="N237" s="8"/>
      <c r="Q237" s="10">
        <v>0</v>
      </c>
      <c r="R237" s="10">
        <f>Q237</f>
        <v>0</v>
      </c>
      <c r="T237" s="10">
        <v>0</v>
      </c>
      <c r="U237" s="10">
        <f>T237</f>
        <v>0</v>
      </c>
      <c r="V237" s="10">
        <v>0</v>
      </c>
      <c r="W237" s="10">
        <f>V237</f>
        <v>0</v>
      </c>
      <c r="X237" s="299">
        <f>T237/H237</f>
        <v>0</v>
      </c>
      <c r="Y237" s="10"/>
      <c r="Z237" s="61" t="s">
        <v>25</v>
      </c>
      <c r="AA237" s="55"/>
      <c r="AB237" s="14" t="s">
        <v>40</v>
      </c>
      <c r="AC237" s="4" t="s">
        <v>299</v>
      </c>
      <c r="AF237" s="300"/>
    </row>
    <row r="238" spans="1:33">
      <c r="A238" s="2"/>
      <c r="B238" s="11" t="s">
        <v>44</v>
      </c>
      <c r="C238" s="11" t="s">
        <v>35</v>
      </c>
      <c r="D238" s="2">
        <v>550510</v>
      </c>
      <c r="E238" s="4" t="s">
        <v>296</v>
      </c>
      <c r="F238" s="4" t="s">
        <v>300</v>
      </c>
      <c r="G238" s="14" t="s">
        <v>128</v>
      </c>
      <c r="H238" s="7">
        <v>1032</v>
      </c>
      <c r="I238" s="7">
        <f>H238</f>
        <v>1032</v>
      </c>
      <c r="J238" s="7">
        <v>1000</v>
      </c>
      <c r="K238" s="37" t="s">
        <v>298</v>
      </c>
      <c r="L238" s="8">
        <v>43588</v>
      </c>
      <c r="M238" s="8">
        <v>47240</v>
      </c>
      <c r="N238" s="8"/>
      <c r="O238" s="9">
        <v>45415</v>
      </c>
      <c r="Q238" s="10">
        <v>67500</v>
      </c>
      <c r="R238" s="10">
        <f>Q238</f>
        <v>67500</v>
      </c>
      <c r="T238" s="10">
        <v>57500</v>
      </c>
      <c r="U238" s="10">
        <f>T238</f>
        <v>57500</v>
      </c>
      <c r="V238" s="10">
        <v>57500</v>
      </c>
      <c r="W238" s="10">
        <f>V238</f>
        <v>57500</v>
      </c>
      <c r="X238" s="299">
        <f>T238/H238</f>
        <v>55.717054263565892</v>
      </c>
      <c r="Y238" s="10" t="s">
        <v>243</v>
      </c>
      <c r="Z238" s="61"/>
      <c r="AA238" s="55"/>
      <c r="AB238" s="14" t="s">
        <v>40</v>
      </c>
      <c r="AF238" s="300"/>
    </row>
    <row r="239" spans="1:33">
      <c r="A239" s="2"/>
      <c r="B239" s="11" t="s">
        <v>44</v>
      </c>
      <c r="C239" s="11" t="s">
        <v>35</v>
      </c>
      <c r="D239" s="2">
        <v>550510</v>
      </c>
      <c r="E239" s="4" t="s">
        <v>296</v>
      </c>
      <c r="F239" s="4" t="s">
        <v>301</v>
      </c>
      <c r="G239" s="14" t="s">
        <v>120</v>
      </c>
      <c r="H239" s="7">
        <v>1028</v>
      </c>
      <c r="I239" s="7">
        <f>H239</f>
        <v>1028</v>
      </c>
      <c r="J239" s="7">
        <v>1000</v>
      </c>
      <c r="K239" s="4" t="s">
        <v>302</v>
      </c>
      <c r="L239" s="8">
        <v>44966</v>
      </c>
      <c r="M239" s="40">
        <v>46791</v>
      </c>
      <c r="N239" s="40"/>
      <c r="Q239" s="10">
        <v>35000</v>
      </c>
      <c r="R239" s="10">
        <f>Q239</f>
        <v>35000</v>
      </c>
      <c r="T239" s="10">
        <v>36000</v>
      </c>
      <c r="U239" s="10">
        <f>T239</f>
        <v>36000</v>
      </c>
      <c r="V239" s="10">
        <v>35000</v>
      </c>
      <c r="W239" s="10">
        <f>V239</f>
        <v>35000</v>
      </c>
      <c r="X239" s="299">
        <f>T239/H239</f>
        <v>35.019455252918291</v>
      </c>
      <c r="Y239" s="10" t="s">
        <v>69</v>
      </c>
      <c r="Z239" s="61"/>
      <c r="AA239" s="55"/>
      <c r="AB239" s="14" t="s">
        <v>40</v>
      </c>
      <c r="AF239" s="300">
        <v>2</v>
      </c>
      <c r="AG239" s="4" t="s">
        <v>160</v>
      </c>
    </row>
    <row r="240" spans="1:33">
      <c r="A240" s="2"/>
      <c r="B240" s="11" t="s">
        <v>44</v>
      </c>
      <c r="C240" s="11" t="s">
        <v>35</v>
      </c>
      <c r="D240" s="2">
        <v>550510</v>
      </c>
      <c r="E240" s="4" t="s">
        <v>296</v>
      </c>
      <c r="F240" s="4" t="s">
        <v>297</v>
      </c>
      <c r="G240" s="14" t="s">
        <v>251</v>
      </c>
      <c r="H240" s="7">
        <v>90</v>
      </c>
      <c r="I240" s="7">
        <f>H240</f>
        <v>90</v>
      </c>
      <c r="K240" s="4" t="s">
        <v>106</v>
      </c>
      <c r="M240" s="40"/>
      <c r="N240" s="40">
        <v>44681</v>
      </c>
      <c r="Q240" s="10">
        <v>0</v>
      </c>
      <c r="R240" s="10">
        <f>Q240</f>
        <v>0</v>
      </c>
      <c r="T240" s="10">
        <v>5665</v>
      </c>
      <c r="U240" s="10">
        <f>T240</f>
        <v>5665</v>
      </c>
      <c r="V240" s="10">
        <v>900</v>
      </c>
      <c r="W240" s="10">
        <f>V240</f>
        <v>900</v>
      </c>
      <c r="X240" s="299">
        <f>T240/H240</f>
        <v>62.944444444444443</v>
      </c>
      <c r="Y240" s="10"/>
      <c r="Z240" s="61"/>
      <c r="AA240" s="55"/>
      <c r="AB240" s="14" t="s">
        <v>40</v>
      </c>
      <c r="AF240" s="300"/>
    </row>
    <row r="241" spans="1:32" ht="24" customHeight="1">
      <c r="A241" s="2"/>
      <c r="B241" s="11" t="s">
        <v>44</v>
      </c>
      <c r="C241" s="11" t="s">
        <v>35</v>
      </c>
      <c r="D241" s="2">
        <v>550510</v>
      </c>
      <c r="E241" s="4" t="s">
        <v>296</v>
      </c>
      <c r="F241" s="37" t="s">
        <v>221</v>
      </c>
      <c r="G241" s="22" t="s">
        <v>128</v>
      </c>
      <c r="H241" s="7">
        <v>894</v>
      </c>
      <c r="I241" s="7">
        <f>H241</f>
        <v>894</v>
      </c>
      <c r="J241" s="7">
        <v>1000</v>
      </c>
      <c r="K241" s="4" t="s">
        <v>303</v>
      </c>
      <c r="L241" s="8">
        <v>45413</v>
      </c>
      <c r="M241" s="9">
        <v>49064</v>
      </c>
      <c r="O241" s="9">
        <v>47239</v>
      </c>
      <c r="P241" s="9">
        <v>46507</v>
      </c>
      <c r="Q241" s="10">
        <v>100000</v>
      </c>
      <c r="R241" s="10">
        <f>Q241</f>
        <v>100000</v>
      </c>
      <c r="T241" s="10">
        <v>90000</v>
      </c>
      <c r="U241" s="10">
        <f>T241</f>
        <v>90000</v>
      </c>
      <c r="V241" s="10">
        <v>100000</v>
      </c>
      <c r="W241" s="10">
        <f>V241</f>
        <v>100000</v>
      </c>
      <c r="X241" s="299">
        <f>T241/H241</f>
        <v>100.67114093959732</v>
      </c>
      <c r="Y241" s="10" t="s">
        <v>69</v>
      </c>
      <c r="Z241" s="61"/>
      <c r="AA241" s="55"/>
      <c r="AB241" s="14" t="s">
        <v>40</v>
      </c>
      <c r="AC241" s="4" t="s">
        <v>304</v>
      </c>
      <c r="AF241" s="300"/>
    </row>
    <row r="242" spans="1:32" ht="14.25" customHeight="1">
      <c r="A242" s="2"/>
      <c r="B242" s="11"/>
      <c r="C242" s="11" t="s">
        <v>35</v>
      </c>
      <c r="D242" s="2"/>
      <c r="E242" s="4"/>
      <c r="H242" s="18"/>
      <c r="I242" s="19"/>
      <c r="J242" s="19"/>
      <c r="Q242" s="19"/>
      <c r="R242" s="19"/>
      <c r="S242" s="19"/>
      <c r="T242" s="19"/>
      <c r="U242" s="19"/>
      <c r="V242" s="19"/>
      <c r="W242" s="19"/>
      <c r="X242" s="19"/>
      <c r="Y242" s="19"/>
      <c r="Z242" s="62"/>
      <c r="AA242" s="54"/>
      <c r="AB242" s="14"/>
      <c r="AF242" s="300"/>
    </row>
    <row r="243" spans="1:32" ht="14.25" customHeight="1">
      <c r="A243" s="2"/>
      <c r="B243" s="11"/>
      <c r="C243" s="11" t="s">
        <v>35</v>
      </c>
      <c r="D243" s="2"/>
      <c r="E243" s="4"/>
      <c r="G243" s="6" t="s">
        <v>305</v>
      </c>
      <c r="I243" s="10"/>
      <c r="J243" s="10"/>
      <c r="K243" s="32"/>
      <c r="T243" s="11"/>
      <c r="U243" s="10"/>
      <c r="V243" s="11"/>
      <c r="W243" s="10"/>
      <c r="X243" s="10"/>
      <c r="Y243" s="10"/>
      <c r="Z243" s="61"/>
      <c r="AA243" s="55"/>
      <c r="AB243" s="14"/>
      <c r="AF243" s="300"/>
    </row>
    <row r="244" spans="1:32" ht="14.25" customHeight="1">
      <c r="A244" s="2"/>
      <c r="B244" s="11"/>
      <c r="C244" s="11" t="s">
        <v>35</v>
      </c>
      <c r="D244" s="2"/>
      <c r="E244" s="4"/>
      <c r="G244" s="26"/>
      <c r="I244" s="10"/>
      <c r="J244" s="10"/>
      <c r="K244" s="32"/>
      <c r="T244" s="11"/>
      <c r="U244" s="10"/>
      <c r="V244" s="11"/>
      <c r="W244" s="10"/>
      <c r="X244" s="10"/>
      <c r="Y244" s="10"/>
      <c r="Z244" s="61"/>
      <c r="AA244" s="55"/>
      <c r="AB244" s="14"/>
      <c r="AF244" s="300"/>
    </row>
    <row r="245" spans="1:32" ht="24" customHeight="1">
      <c r="A245" s="2"/>
      <c r="B245" s="11" t="s">
        <v>119</v>
      </c>
      <c r="C245" s="11" t="s">
        <v>35</v>
      </c>
      <c r="D245" s="2">
        <v>550610</v>
      </c>
      <c r="E245" s="4" t="s">
        <v>305</v>
      </c>
      <c r="F245" s="37" t="s">
        <v>306</v>
      </c>
      <c r="G245" s="14" t="s">
        <v>307</v>
      </c>
      <c r="H245" s="7">
        <v>2047</v>
      </c>
      <c r="I245" s="7">
        <f>H245</f>
        <v>2047</v>
      </c>
      <c r="J245" s="7">
        <v>2000</v>
      </c>
      <c r="K245" s="4" t="s">
        <v>308</v>
      </c>
      <c r="L245" s="8">
        <v>45100</v>
      </c>
      <c r="M245" s="9">
        <v>48752</v>
      </c>
      <c r="O245" s="9">
        <v>46926</v>
      </c>
      <c r="P245" s="9">
        <v>46195</v>
      </c>
      <c r="Q245" s="10">
        <v>105000</v>
      </c>
      <c r="R245" s="10">
        <f>Q245</f>
        <v>105000</v>
      </c>
      <c r="T245" s="10">
        <v>100000</v>
      </c>
      <c r="U245" s="10">
        <f>T245</f>
        <v>100000</v>
      </c>
      <c r="V245" s="10">
        <v>105000</v>
      </c>
      <c r="W245" s="10">
        <f>V245</f>
        <v>105000</v>
      </c>
      <c r="X245" s="299">
        <f>T245/H245</f>
        <v>48.851978505129459</v>
      </c>
      <c r="Y245" s="10" t="s">
        <v>76</v>
      </c>
      <c r="Z245" s="61"/>
      <c r="AA245" s="55"/>
      <c r="AB245" s="14" t="s">
        <v>40</v>
      </c>
      <c r="AC245" s="4" t="s">
        <v>130</v>
      </c>
      <c r="AF245" s="300"/>
    </row>
    <row r="246" spans="1:32" ht="24" customHeight="1">
      <c r="A246" s="2"/>
      <c r="B246" s="11" t="s">
        <v>119</v>
      </c>
      <c r="C246" s="11" t="s">
        <v>35</v>
      </c>
      <c r="D246" s="2">
        <v>550610</v>
      </c>
      <c r="E246" s="4" t="s">
        <v>305</v>
      </c>
      <c r="F246" s="4" t="s">
        <v>309</v>
      </c>
      <c r="G246" s="14" t="s">
        <v>46</v>
      </c>
      <c r="H246" s="7">
        <v>2185</v>
      </c>
      <c r="I246" s="7">
        <f>H246</f>
        <v>2185</v>
      </c>
      <c r="J246" s="7">
        <v>2000</v>
      </c>
      <c r="K246" s="4" t="s">
        <v>310</v>
      </c>
      <c r="L246" s="8">
        <v>42655</v>
      </c>
      <c r="M246" s="9">
        <v>46306</v>
      </c>
      <c r="Q246" s="10">
        <v>100000</v>
      </c>
      <c r="R246" s="10">
        <f>Q246</f>
        <v>100000</v>
      </c>
      <c r="T246" s="10">
        <v>90000</v>
      </c>
      <c r="U246" s="10">
        <f>T246</f>
        <v>90000</v>
      </c>
      <c r="V246" s="10">
        <v>100000</v>
      </c>
      <c r="W246" s="10">
        <f>V246</f>
        <v>100000</v>
      </c>
      <c r="X246" s="299">
        <f>T246/H246</f>
        <v>41.189931350114414</v>
      </c>
      <c r="Y246" s="10" t="s">
        <v>39</v>
      </c>
      <c r="Z246" s="61"/>
      <c r="AA246" s="55"/>
      <c r="AB246" s="14" t="s">
        <v>40</v>
      </c>
      <c r="AC246" s="4" t="s">
        <v>311</v>
      </c>
      <c r="AF246" s="300"/>
    </row>
    <row r="247" spans="1:32" ht="14.25" customHeight="1">
      <c r="A247" s="2"/>
      <c r="B247" s="11"/>
      <c r="C247" s="11" t="s">
        <v>35</v>
      </c>
      <c r="D247" s="2"/>
      <c r="E247" s="4"/>
      <c r="H247" s="18"/>
      <c r="I247" s="19"/>
      <c r="J247" s="19"/>
      <c r="Q247" s="19"/>
      <c r="R247" s="19"/>
      <c r="S247" s="19"/>
      <c r="T247" s="18"/>
      <c r="U247" s="19"/>
      <c r="V247" s="18"/>
      <c r="W247" s="19"/>
      <c r="X247" s="19"/>
      <c r="Y247" s="19"/>
      <c r="Z247" s="62"/>
      <c r="AA247" s="19"/>
      <c r="AB247" s="14"/>
      <c r="AF247" s="300"/>
    </row>
    <row r="248" spans="1:32" ht="14.25" customHeight="1">
      <c r="A248" s="2"/>
      <c r="B248" s="11"/>
      <c r="C248" s="11" t="s">
        <v>35</v>
      </c>
      <c r="D248" s="2"/>
      <c r="E248" s="4"/>
      <c r="G248" s="6" t="s">
        <v>312</v>
      </c>
      <c r="I248" s="10"/>
      <c r="J248" s="10"/>
      <c r="K248" s="32"/>
      <c r="T248" s="19"/>
      <c r="U248" s="19"/>
      <c r="V248" s="19"/>
      <c r="W248" s="19"/>
      <c r="X248" s="19"/>
      <c r="Y248" s="19"/>
      <c r="Z248" s="62"/>
      <c r="AA248" s="19"/>
      <c r="AB248" s="14"/>
      <c r="AF248" s="300"/>
    </row>
    <row r="249" spans="1:32" ht="14.25" customHeight="1">
      <c r="A249" s="2"/>
      <c r="B249" s="11"/>
      <c r="C249" s="11" t="s">
        <v>35</v>
      </c>
      <c r="D249" s="2"/>
      <c r="E249" s="4"/>
      <c r="G249" s="26"/>
      <c r="H249" s="24"/>
      <c r="I249" s="10"/>
      <c r="J249" s="10"/>
      <c r="K249" s="20"/>
      <c r="L249" s="21"/>
      <c r="T249" s="11"/>
      <c r="U249" s="10"/>
      <c r="V249" s="11"/>
      <c r="W249" s="10"/>
      <c r="X249" s="10"/>
      <c r="Y249" s="10"/>
      <c r="Z249" s="61"/>
      <c r="AA249" s="19"/>
      <c r="AB249" s="14"/>
      <c r="AF249" s="300"/>
    </row>
    <row r="250" spans="1:32" ht="23.25" customHeight="1">
      <c r="A250" s="2"/>
      <c r="B250" s="11" t="s">
        <v>119</v>
      </c>
      <c r="C250" s="11" t="s">
        <v>35</v>
      </c>
      <c r="D250" s="2">
        <v>550620</v>
      </c>
      <c r="E250" s="4" t="s">
        <v>312</v>
      </c>
      <c r="F250" s="4" t="s">
        <v>139</v>
      </c>
      <c r="G250" s="14" t="s">
        <v>136</v>
      </c>
      <c r="H250" s="7">
        <v>930</v>
      </c>
      <c r="I250" s="7">
        <f>H250</f>
        <v>930</v>
      </c>
      <c r="J250" s="7">
        <v>1000</v>
      </c>
      <c r="K250" s="4" t="s">
        <v>313</v>
      </c>
      <c r="L250" s="8">
        <v>45588</v>
      </c>
      <c r="M250" s="9">
        <v>46132</v>
      </c>
      <c r="Q250" s="10">
        <v>46500</v>
      </c>
      <c r="R250" s="10">
        <f>Q250</f>
        <v>46500</v>
      </c>
      <c r="T250" s="10">
        <v>45350</v>
      </c>
      <c r="U250" s="10">
        <f>T250</f>
        <v>45350</v>
      </c>
      <c r="V250" s="10">
        <v>45350</v>
      </c>
      <c r="W250" s="10">
        <f>V250</f>
        <v>45350</v>
      </c>
      <c r="X250" s="299">
        <f>T250/H250</f>
        <v>48.763440860215056</v>
      </c>
      <c r="Y250" s="10" t="s">
        <v>69</v>
      </c>
      <c r="Z250" s="61"/>
      <c r="AA250" s="19"/>
      <c r="AB250" s="14" t="s">
        <v>40</v>
      </c>
      <c r="AF250" s="300"/>
    </row>
    <row r="251" spans="1:32" ht="14.25" customHeight="1">
      <c r="A251" s="2"/>
      <c r="B251" s="11"/>
      <c r="C251" s="11" t="s">
        <v>35</v>
      </c>
      <c r="D251" s="2"/>
      <c r="E251" s="4"/>
      <c r="I251" s="10"/>
      <c r="J251" s="10"/>
      <c r="T251" s="10"/>
      <c r="U251" s="10"/>
      <c r="V251" s="10"/>
      <c r="W251" s="10"/>
      <c r="X251" s="10"/>
      <c r="Y251" s="10"/>
      <c r="Z251" s="61"/>
      <c r="AA251" s="55"/>
      <c r="AB251" s="14"/>
      <c r="AF251" s="300"/>
    </row>
    <row r="252" spans="1:32" ht="14.25" customHeight="1">
      <c r="A252" s="2"/>
      <c r="B252" s="11"/>
      <c r="C252" s="11" t="s">
        <v>35</v>
      </c>
      <c r="D252" s="2"/>
      <c r="E252" s="4"/>
      <c r="G252" s="6" t="s">
        <v>314</v>
      </c>
      <c r="I252" s="10"/>
      <c r="J252" s="10"/>
      <c r="K252" s="32"/>
      <c r="T252" s="11"/>
      <c r="U252" s="10"/>
      <c r="V252" s="11"/>
      <c r="W252" s="10"/>
      <c r="X252" s="10"/>
      <c r="Y252" s="10"/>
      <c r="Z252" s="61"/>
      <c r="AA252" s="55"/>
      <c r="AB252" s="14"/>
      <c r="AF252" s="300"/>
    </row>
    <row r="253" spans="1:32" ht="14.25" customHeight="1">
      <c r="A253" s="2"/>
      <c r="B253" s="11"/>
      <c r="C253" s="11" t="s">
        <v>35</v>
      </c>
      <c r="D253" s="2"/>
      <c r="E253" s="4"/>
      <c r="I253" s="10"/>
      <c r="J253" s="10"/>
      <c r="T253" s="10"/>
      <c r="U253" s="10"/>
      <c r="V253" s="10"/>
      <c r="W253" s="10"/>
      <c r="X253" s="10"/>
      <c r="Y253" s="10"/>
      <c r="Z253" s="61"/>
      <c r="AA253" s="55"/>
      <c r="AB253" s="14"/>
      <c r="AF253" s="300"/>
    </row>
    <row r="254" spans="1:32" ht="23.25" customHeight="1">
      <c r="A254" s="2"/>
      <c r="B254" s="11" t="s">
        <v>60</v>
      </c>
      <c r="C254" s="11" t="s">
        <v>35</v>
      </c>
      <c r="D254" s="2">
        <v>550640</v>
      </c>
      <c r="E254" s="4" t="s">
        <v>314</v>
      </c>
      <c r="F254" s="4" t="s">
        <v>315</v>
      </c>
      <c r="G254" s="14" t="s">
        <v>37</v>
      </c>
      <c r="H254" s="7">
        <v>3760</v>
      </c>
      <c r="I254" s="7">
        <f>H254</f>
        <v>3760</v>
      </c>
      <c r="J254" s="7">
        <v>2750</v>
      </c>
      <c r="K254" s="4" t="s">
        <v>316</v>
      </c>
      <c r="L254" s="8">
        <v>44769</v>
      </c>
      <c r="M254" s="9">
        <v>46594</v>
      </c>
      <c r="P254" s="9">
        <v>45864</v>
      </c>
      <c r="Q254" s="10">
        <v>95000</v>
      </c>
      <c r="R254" s="10">
        <f>Q254</f>
        <v>95000</v>
      </c>
      <c r="T254" s="10">
        <v>95000</v>
      </c>
      <c r="U254" s="10">
        <f>T254</f>
        <v>95000</v>
      </c>
      <c r="V254" s="10">
        <v>95000</v>
      </c>
      <c r="W254" s="10">
        <f>V254</f>
        <v>95000</v>
      </c>
      <c r="X254" s="299">
        <f>T254/H254</f>
        <v>25.26595744680851</v>
      </c>
      <c r="Y254" s="10" t="s">
        <v>76</v>
      </c>
      <c r="Z254" s="61"/>
      <c r="AA254" s="55"/>
      <c r="AB254" s="14" t="s">
        <v>40</v>
      </c>
      <c r="AC254" s="4" t="s">
        <v>130</v>
      </c>
      <c r="AF254" s="300"/>
    </row>
    <row r="255" spans="1:32" ht="24" customHeight="1">
      <c r="A255" s="2"/>
      <c r="B255" s="11" t="s">
        <v>60</v>
      </c>
      <c r="C255" s="11" t="s">
        <v>35</v>
      </c>
      <c r="D255" s="2">
        <v>550640</v>
      </c>
      <c r="E255" s="4" t="s">
        <v>314</v>
      </c>
      <c r="F255" s="4" t="s">
        <v>317</v>
      </c>
      <c r="G255" s="14" t="s">
        <v>318</v>
      </c>
      <c r="H255" s="7">
        <v>7994</v>
      </c>
      <c r="I255" s="7">
        <f>H255</f>
        <v>7994</v>
      </c>
      <c r="J255" s="7">
        <v>8000</v>
      </c>
      <c r="K255" s="4" t="s">
        <v>319</v>
      </c>
      <c r="L255" s="8">
        <v>45417</v>
      </c>
      <c r="M255" s="9">
        <v>49068</v>
      </c>
      <c r="O255" s="9">
        <v>47243</v>
      </c>
      <c r="P255" s="9">
        <v>47242</v>
      </c>
      <c r="Q255" s="10">
        <v>212138</v>
      </c>
      <c r="R255" s="10">
        <f>Q255</f>
        <v>212138</v>
      </c>
      <c r="T255" s="10">
        <v>379100</v>
      </c>
      <c r="U255" s="10">
        <f>T255</f>
        <v>379100</v>
      </c>
      <c r="V255" s="10">
        <v>424275</v>
      </c>
      <c r="W255" s="10">
        <f>V255</f>
        <v>424275</v>
      </c>
      <c r="X255" s="299">
        <f>T255/H255</f>
        <v>47.42306730047536</v>
      </c>
      <c r="Y255" s="10" t="s">
        <v>58</v>
      </c>
      <c r="Z255" s="61"/>
      <c r="AA255" s="55"/>
      <c r="AB255" s="14" t="s">
        <v>40</v>
      </c>
      <c r="AC255" s="4" t="s">
        <v>320</v>
      </c>
      <c r="AF255" s="300"/>
    </row>
    <row r="256" spans="1:32" ht="14.25" customHeight="1">
      <c r="A256" s="2"/>
      <c r="B256" s="11"/>
      <c r="C256" s="11" t="s">
        <v>35</v>
      </c>
      <c r="D256" s="2"/>
      <c r="E256" s="4"/>
      <c r="I256" s="10"/>
      <c r="J256" s="10"/>
      <c r="T256" s="10"/>
      <c r="U256" s="10"/>
      <c r="V256" s="10"/>
      <c r="W256" s="10"/>
      <c r="X256" s="10"/>
      <c r="Y256" s="10"/>
      <c r="Z256" s="61"/>
      <c r="AA256" s="19"/>
      <c r="AB256" s="14"/>
      <c r="AF256" s="300"/>
    </row>
    <row r="257" spans="1:33" ht="14.25" customHeight="1">
      <c r="A257" s="2"/>
      <c r="B257" s="11"/>
      <c r="C257" s="11" t="s">
        <v>35</v>
      </c>
      <c r="D257" s="2"/>
      <c r="E257" s="4"/>
      <c r="G257" s="6" t="s">
        <v>321</v>
      </c>
      <c r="I257" s="10"/>
      <c r="J257" s="10"/>
      <c r="K257" s="32"/>
      <c r="T257" s="11"/>
      <c r="U257" s="10"/>
      <c r="V257" s="11"/>
      <c r="W257" s="10"/>
      <c r="X257" s="10"/>
      <c r="Y257" s="10"/>
      <c r="Z257" s="61"/>
      <c r="AA257" s="19"/>
      <c r="AB257" s="14"/>
      <c r="AF257" s="300"/>
    </row>
    <row r="258" spans="1:33" ht="14.25" customHeight="1">
      <c r="A258" s="2"/>
      <c r="B258" s="11"/>
      <c r="C258" s="11" t="s">
        <v>35</v>
      </c>
      <c r="D258" s="2"/>
      <c r="E258" s="4"/>
      <c r="G258" s="6"/>
      <c r="H258" s="24"/>
      <c r="I258" s="10"/>
      <c r="J258" s="10"/>
      <c r="T258" s="10"/>
      <c r="U258" s="10"/>
      <c r="V258" s="10"/>
      <c r="W258" s="10"/>
      <c r="X258" s="10"/>
      <c r="Y258" s="10"/>
      <c r="Z258" s="61"/>
      <c r="AA258" s="19"/>
      <c r="AB258" s="14"/>
      <c r="AF258" s="300"/>
    </row>
    <row r="259" spans="1:33">
      <c r="A259" s="2"/>
      <c r="B259" s="11" t="s">
        <v>322</v>
      </c>
      <c r="C259" s="11" t="s">
        <v>35</v>
      </c>
      <c r="D259" s="2">
        <v>550630</v>
      </c>
      <c r="E259" s="4" t="s">
        <v>321</v>
      </c>
      <c r="F259" s="4" t="s">
        <v>104</v>
      </c>
      <c r="G259" s="14" t="s">
        <v>251</v>
      </c>
      <c r="H259" s="7">
        <v>927</v>
      </c>
      <c r="I259" s="7">
        <f>H259</f>
        <v>927</v>
      </c>
      <c r="J259" s="7">
        <v>1000</v>
      </c>
      <c r="K259" s="4" t="s">
        <v>252</v>
      </c>
      <c r="L259" s="9">
        <v>43184</v>
      </c>
      <c r="M259" s="9">
        <v>46836</v>
      </c>
      <c r="O259" s="9">
        <v>45010</v>
      </c>
      <c r="Q259" s="10">
        <v>13900</v>
      </c>
      <c r="R259" s="10">
        <f>Q259</f>
        <v>13900</v>
      </c>
      <c r="T259" s="10">
        <v>13900</v>
      </c>
      <c r="U259" s="10">
        <f>T259</f>
        <v>13900</v>
      </c>
      <c r="V259" s="10">
        <v>13900</v>
      </c>
      <c r="W259" s="10">
        <f>V259</f>
        <v>13900</v>
      </c>
      <c r="X259" s="299">
        <f>T259/H259</f>
        <v>14.994606256742179</v>
      </c>
      <c r="Y259" s="10" t="s">
        <v>69</v>
      </c>
      <c r="Z259" s="61"/>
      <c r="AA259" s="19"/>
      <c r="AB259" s="14" t="s">
        <v>40</v>
      </c>
      <c r="AC259" s="4" t="s">
        <v>202</v>
      </c>
      <c r="AE259" s="29"/>
      <c r="AF259" s="301"/>
      <c r="AG259" s="29"/>
    </row>
    <row r="260" spans="1:33" ht="14.25" customHeight="1">
      <c r="A260" s="2"/>
      <c r="B260" s="11"/>
      <c r="C260" s="11" t="s">
        <v>35</v>
      </c>
      <c r="D260" s="2"/>
      <c r="E260" s="4"/>
      <c r="H260" s="18"/>
      <c r="I260" s="19"/>
      <c r="J260" s="19"/>
      <c r="Q260" s="19"/>
      <c r="R260" s="19"/>
      <c r="S260" s="19"/>
      <c r="T260" s="19"/>
      <c r="U260" s="19"/>
      <c r="V260" s="19"/>
      <c r="W260" s="19"/>
      <c r="X260" s="19"/>
      <c r="Y260" s="19"/>
      <c r="Z260" s="62"/>
      <c r="AA260" s="54"/>
      <c r="AB260" s="14"/>
      <c r="AF260" s="300"/>
    </row>
    <row r="261" spans="1:33" ht="14.25" customHeight="1">
      <c r="A261" s="2"/>
      <c r="B261" s="11"/>
      <c r="C261" s="11" t="s">
        <v>35</v>
      </c>
      <c r="D261" s="2"/>
      <c r="E261" s="4"/>
      <c r="G261" s="6" t="s">
        <v>323</v>
      </c>
      <c r="I261" s="10"/>
      <c r="J261" s="10"/>
      <c r="K261" s="32"/>
      <c r="T261" s="11"/>
      <c r="U261" s="10"/>
      <c r="V261" s="11"/>
      <c r="W261" s="10"/>
      <c r="X261" s="10"/>
      <c r="Y261" s="10"/>
      <c r="Z261" s="61"/>
      <c r="AA261" s="55"/>
      <c r="AB261" s="14"/>
      <c r="AF261" s="300"/>
    </row>
    <row r="262" spans="1:33" ht="14.25" customHeight="1">
      <c r="A262" s="2"/>
      <c r="B262" s="11"/>
      <c r="C262" s="11" t="s">
        <v>35</v>
      </c>
      <c r="D262" s="2"/>
      <c r="E262" s="4"/>
      <c r="G262" s="6"/>
      <c r="I262" s="10"/>
      <c r="J262" s="10"/>
      <c r="K262" s="32"/>
      <c r="T262" s="11"/>
      <c r="U262" s="10"/>
      <c r="V262" s="11"/>
      <c r="W262" s="10"/>
      <c r="X262" s="10"/>
      <c r="Y262" s="10"/>
      <c r="Z262" s="61"/>
      <c r="AA262" s="55"/>
      <c r="AB262" s="14"/>
    </row>
    <row r="263" spans="1:33" ht="23.25" customHeight="1">
      <c r="A263" s="2"/>
      <c r="B263" s="11" t="s">
        <v>322</v>
      </c>
      <c r="C263" s="11" t="s">
        <v>35</v>
      </c>
      <c r="D263" s="2">
        <v>550690</v>
      </c>
      <c r="E263" s="4" t="s">
        <v>323</v>
      </c>
      <c r="F263" s="4" t="s">
        <v>324</v>
      </c>
      <c r="G263" s="14" t="s">
        <v>325</v>
      </c>
      <c r="H263" s="7">
        <v>1519</v>
      </c>
      <c r="I263" s="7">
        <f>H263</f>
        <v>1519</v>
      </c>
      <c r="J263" s="7">
        <v>1500</v>
      </c>
      <c r="K263" s="4" t="s">
        <v>68</v>
      </c>
      <c r="N263" s="9">
        <v>44103</v>
      </c>
      <c r="Q263" s="10">
        <v>0</v>
      </c>
      <c r="R263" s="10">
        <f>Q263</f>
        <v>0</v>
      </c>
      <c r="T263" s="10">
        <v>53600</v>
      </c>
      <c r="U263" s="10">
        <f>T263</f>
        <v>53600</v>
      </c>
      <c r="V263" s="10">
        <v>54700</v>
      </c>
      <c r="W263" s="10">
        <f>V263</f>
        <v>54700</v>
      </c>
      <c r="X263" s="299">
        <f>T263/H263</f>
        <v>35.286372613561554</v>
      </c>
      <c r="Y263" s="10" t="s">
        <v>76</v>
      </c>
      <c r="Z263" s="61" t="s">
        <v>25</v>
      </c>
      <c r="AA263" s="55"/>
      <c r="AB263" s="14" t="s">
        <v>40</v>
      </c>
      <c r="AC263" s="29" t="s">
        <v>326</v>
      </c>
      <c r="AE263" s="4">
        <v>1</v>
      </c>
      <c r="AF263" s="300">
        <v>4</v>
      </c>
      <c r="AG263" s="4" t="s">
        <v>160</v>
      </c>
    </row>
    <row r="264" spans="1:33">
      <c r="A264" s="2"/>
      <c r="B264" s="11" t="s">
        <v>322</v>
      </c>
      <c r="C264" s="11" t="s">
        <v>35</v>
      </c>
      <c r="D264" s="2">
        <v>550690</v>
      </c>
      <c r="E264" s="4" t="s">
        <v>323</v>
      </c>
      <c r="F264" s="4" t="s">
        <v>327</v>
      </c>
      <c r="G264" s="14" t="s">
        <v>37</v>
      </c>
      <c r="H264" s="7">
        <v>1525</v>
      </c>
      <c r="I264" s="7">
        <f>H264</f>
        <v>1525</v>
      </c>
      <c r="J264" s="7">
        <v>1500</v>
      </c>
      <c r="K264" s="4" t="s">
        <v>68</v>
      </c>
      <c r="N264" s="9">
        <v>45297</v>
      </c>
      <c r="Q264" s="10">
        <v>0</v>
      </c>
      <c r="R264" s="10">
        <f>Q264</f>
        <v>0</v>
      </c>
      <c r="T264" s="10">
        <v>90600</v>
      </c>
      <c r="U264" s="10">
        <f>T264</f>
        <v>90600</v>
      </c>
      <c r="V264" s="10">
        <v>91500</v>
      </c>
      <c r="W264" s="10">
        <f>V264</f>
        <v>91500</v>
      </c>
      <c r="X264" s="299">
        <f>T264/H264</f>
        <v>59.409836065573771</v>
      </c>
      <c r="Y264" s="10" t="s">
        <v>76</v>
      </c>
      <c r="Z264" s="61"/>
      <c r="AA264" s="55"/>
      <c r="AB264" s="14" t="s">
        <v>40</v>
      </c>
      <c r="AC264" s="4" t="s">
        <v>326</v>
      </c>
      <c r="AF264" s="300"/>
    </row>
    <row r="265" spans="1:33" ht="28.5" customHeight="1">
      <c r="A265" s="2"/>
      <c r="B265" s="11" t="s">
        <v>322</v>
      </c>
      <c r="C265" s="11" t="s">
        <v>35</v>
      </c>
      <c r="D265" s="2">
        <v>550690</v>
      </c>
      <c r="E265" s="4" t="s">
        <v>323</v>
      </c>
      <c r="F265" s="4" t="s">
        <v>328</v>
      </c>
      <c r="G265" s="14" t="s">
        <v>120</v>
      </c>
      <c r="H265" s="7">
        <v>1989</v>
      </c>
      <c r="I265" s="7">
        <f>H265</f>
        <v>1989</v>
      </c>
      <c r="J265" s="7">
        <v>2000</v>
      </c>
      <c r="K265" s="4" t="s">
        <v>329</v>
      </c>
      <c r="L265" s="8">
        <v>42874</v>
      </c>
      <c r="M265" s="9">
        <v>46525</v>
      </c>
      <c r="O265" s="9">
        <v>44700</v>
      </c>
      <c r="Q265" s="10">
        <v>82575</v>
      </c>
      <c r="R265" s="10">
        <f>Q265</f>
        <v>82575</v>
      </c>
      <c r="T265" s="10">
        <v>75000</v>
      </c>
      <c r="U265" s="10">
        <f>T265</f>
        <v>75000</v>
      </c>
      <c r="V265" s="10">
        <v>87300</v>
      </c>
      <c r="W265" s="10">
        <f>V265</f>
        <v>87300</v>
      </c>
      <c r="X265" s="299">
        <f>T265/H265</f>
        <v>37.70739064856712</v>
      </c>
      <c r="Y265" s="10" t="s">
        <v>39</v>
      </c>
      <c r="Z265" s="61"/>
      <c r="AA265" s="55"/>
      <c r="AB265" s="14" t="s">
        <v>40</v>
      </c>
      <c r="AF265" s="300"/>
    </row>
    <row r="266" spans="1:33" ht="22.5" customHeight="1">
      <c r="A266" s="2"/>
      <c r="B266" s="11" t="s">
        <v>322</v>
      </c>
      <c r="C266" s="11" t="s">
        <v>35</v>
      </c>
      <c r="D266" s="2">
        <v>550690</v>
      </c>
      <c r="E266" s="4" t="s">
        <v>323</v>
      </c>
      <c r="F266" s="4" t="s">
        <v>330</v>
      </c>
      <c r="G266" s="14" t="s">
        <v>175</v>
      </c>
      <c r="H266" s="7">
        <v>1143</v>
      </c>
      <c r="I266" s="7">
        <f>H266</f>
        <v>1143</v>
      </c>
      <c r="J266" s="7">
        <v>1000</v>
      </c>
      <c r="K266" s="4" t="s">
        <v>68</v>
      </c>
      <c r="N266" s="9">
        <v>44293</v>
      </c>
      <c r="Q266" s="10">
        <v>0</v>
      </c>
      <c r="R266" s="10">
        <f>Q266</f>
        <v>0</v>
      </c>
      <c r="T266" s="10">
        <v>73600</v>
      </c>
      <c r="U266" s="10">
        <f>T266</f>
        <v>73600</v>
      </c>
      <c r="V266" s="10">
        <v>74300</v>
      </c>
      <c r="W266" s="10">
        <f>V266</f>
        <v>74300</v>
      </c>
      <c r="X266" s="299">
        <f>T266/H266</f>
        <v>64.391951006124231</v>
      </c>
      <c r="Y266" s="10" t="s">
        <v>69</v>
      </c>
      <c r="Z266" s="61"/>
      <c r="AA266" s="55"/>
      <c r="AB266" s="14" t="s">
        <v>40</v>
      </c>
      <c r="AC266" s="4" t="s">
        <v>202</v>
      </c>
      <c r="AE266" s="29"/>
      <c r="AF266" s="301"/>
      <c r="AG266" s="29"/>
    </row>
    <row r="267" spans="1:33" ht="14.25" customHeight="1">
      <c r="A267" s="2"/>
      <c r="B267" s="11"/>
      <c r="C267" s="11" t="s">
        <v>35</v>
      </c>
      <c r="D267" s="2"/>
      <c r="E267" s="4"/>
      <c r="H267" s="18"/>
      <c r="I267" s="19"/>
      <c r="J267" s="19"/>
      <c r="Q267" s="19"/>
      <c r="R267" s="19"/>
      <c r="S267" s="19"/>
      <c r="T267" s="19"/>
      <c r="U267" s="19"/>
      <c r="V267" s="19"/>
      <c r="W267" s="19"/>
      <c r="X267" s="19"/>
      <c r="Y267" s="19"/>
      <c r="Z267" s="62"/>
      <c r="AA267" s="19"/>
      <c r="AB267" s="14"/>
      <c r="AF267" s="300"/>
    </row>
    <row r="268" spans="1:33" ht="14.25" customHeight="1">
      <c r="A268" s="2"/>
      <c r="B268" s="11"/>
      <c r="C268" s="11" t="s">
        <v>35</v>
      </c>
      <c r="D268" s="2"/>
      <c r="E268" s="4"/>
      <c r="G268" s="6" t="s">
        <v>331</v>
      </c>
      <c r="I268" s="10"/>
      <c r="J268" s="10"/>
      <c r="K268" s="32"/>
      <c r="T268" s="11"/>
      <c r="U268" s="10"/>
      <c r="V268" s="11"/>
      <c r="W268" s="10"/>
      <c r="X268" s="10"/>
      <c r="Y268" s="10"/>
      <c r="Z268" s="61"/>
      <c r="AA268" s="19"/>
      <c r="AB268" s="14"/>
      <c r="AF268" s="300"/>
    </row>
    <row r="269" spans="1:33" ht="14.25" customHeight="1">
      <c r="A269" s="2"/>
      <c r="B269" s="11"/>
      <c r="C269" s="11" t="s">
        <v>35</v>
      </c>
      <c r="D269" s="2"/>
      <c r="E269" s="4"/>
      <c r="G269" s="6"/>
      <c r="H269" s="24"/>
      <c r="I269" s="10"/>
      <c r="J269" s="10"/>
      <c r="T269" s="10"/>
      <c r="U269" s="10"/>
      <c r="V269" s="10"/>
      <c r="W269" s="10"/>
      <c r="X269" s="10"/>
      <c r="Y269" s="10"/>
      <c r="Z269" s="61"/>
      <c r="AA269" s="19"/>
      <c r="AB269" s="14"/>
      <c r="AF269" s="300"/>
    </row>
    <row r="270" spans="1:33">
      <c r="A270" s="2"/>
      <c r="B270" s="11" t="s">
        <v>60</v>
      </c>
      <c r="C270" s="11" t="s">
        <v>35</v>
      </c>
      <c r="D270" s="2">
        <v>550810</v>
      </c>
      <c r="E270" s="4" t="s">
        <v>331</v>
      </c>
      <c r="F270" s="4" t="s">
        <v>332</v>
      </c>
      <c r="G270" s="14" t="s">
        <v>83</v>
      </c>
      <c r="H270" s="7">
        <v>1190</v>
      </c>
      <c r="I270" s="7">
        <f>H270</f>
        <v>1190</v>
      </c>
      <c r="J270" s="7">
        <v>1000</v>
      </c>
      <c r="K270" s="4" t="s">
        <v>333</v>
      </c>
      <c r="L270" s="8">
        <v>41673</v>
      </c>
      <c r="M270" s="9">
        <v>47151</v>
      </c>
      <c r="Q270" s="10">
        <v>115000</v>
      </c>
      <c r="R270" s="10">
        <f>Q270</f>
        <v>115000</v>
      </c>
      <c r="T270" s="10">
        <v>106000</v>
      </c>
      <c r="U270" s="10">
        <f>T270</f>
        <v>106000</v>
      </c>
      <c r="V270" s="10">
        <v>106000</v>
      </c>
      <c r="W270" s="10">
        <f>V270</f>
        <v>106000</v>
      </c>
      <c r="X270" s="299">
        <f>T270/H270</f>
        <v>89.075630252100837</v>
      </c>
      <c r="Y270" s="10" t="s">
        <v>69</v>
      </c>
      <c r="Z270" s="61"/>
      <c r="AA270" s="19"/>
      <c r="AB270" s="14" t="s">
        <v>40</v>
      </c>
      <c r="AC270" s="4" t="s">
        <v>334</v>
      </c>
      <c r="AF270" s="300"/>
    </row>
    <row r="271" spans="1:33" ht="14.25" customHeight="1">
      <c r="A271" s="2"/>
      <c r="B271" s="11"/>
      <c r="C271" s="11" t="s">
        <v>35</v>
      </c>
      <c r="D271" s="2"/>
      <c r="E271" s="4"/>
      <c r="I271" s="10"/>
      <c r="J271" s="10"/>
      <c r="T271" s="10"/>
      <c r="U271" s="10"/>
      <c r="V271" s="10"/>
      <c r="W271" s="10"/>
      <c r="X271" s="10"/>
      <c r="Y271" s="10"/>
      <c r="Z271" s="61"/>
      <c r="AA271" s="19"/>
      <c r="AB271" s="14"/>
      <c r="AF271" s="300"/>
    </row>
    <row r="272" spans="1:33" ht="14.25" customHeight="1">
      <c r="A272" s="2"/>
      <c r="B272" s="11"/>
      <c r="C272" s="11" t="s">
        <v>35</v>
      </c>
      <c r="D272" s="2"/>
      <c r="E272" s="4"/>
      <c r="G272" s="6" t="s">
        <v>335</v>
      </c>
      <c r="I272" s="10"/>
      <c r="J272" s="10"/>
      <c r="K272" s="32"/>
      <c r="T272" s="11"/>
      <c r="U272" s="10"/>
      <c r="V272" s="11"/>
      <c r="W272" s="10"/>
      <c r="X272" s="10"/>
      <c r="Y272" s="10"/>
      <c r="Z272" s="61"/>
      <c r="AA272" s="19"/>
      <c r="AB272" s="14"/>
      <c r="AF272" s="300"/>
    </row>
    <row r="273" spans="1:33" ht="14.25" customHeight="1">
      <c r="A273" s="2"/>
      <c r="B273" s="11"/>
      <c r="C273" s="11" t="s">
        <v>35</v>
      </c>
      <c r="D273" s="2"/>
      <c r="E273" s="4"/>
      <c r="I273" s="10"/>
      <c r="J273" s="10"/>
      <c r="T273" s="10"/>
      <c r="U273" s="10"/>
      <c r="V273" s="10"/>
      <c r="W273" s="10"/>
      <c r="X273" s="10"/>
      <c r="Y273" s="10"/>
      <c r="Z273" s="61"/>
      <c r="AA273" s="19"/>
      <c r="AB273" s="14"/>
      <c r="AF273" s="300"/>
    </row>
    <row r="274" spans="1:33" ht="28.5" customHeight="1">
      <c r="A274" s="2"/>
      <c r="B274" s="11" t="s">
        <v>60</v>
      </c>
      <c r="C274" s="11" t="s">
        <v>35</v>
      </c>
      <c r="D274" s="2">
        <v>550490</v>
      </c>
      <c r="E274" s="4" t="s">
        <v>335</v>
      </c>
      <c r="F274" s="4" t="s">
        <v>36</v>
      </c>
      <c r="G274" s="14" t="s">
        <v>336</v>
      </c>
      <c r="H274" s="18">
        <v>6979</v>
      </c>
      <c r="I274" s="10">
        <f>H274</f>
        <v>6979</v>
      </c>
      <c r="J274" s="10">
        <v>7000</v>
      </c>
      <c r="K274" s="4" t="s">
        <v>337</v>
      </c>
      <c r="L274" s="8">
        <v>44185</v>
      </c>
      <c r="M274" s="9">
        <v>47836</v>
      </c>
      <c r="O274" s="9">
        <v>46011</v>
      </c>
      <c r="Q274" s="19">
        <v>420000</v>
      </c>
      <c r="R274" s="10">
        <f>Q274</f>
        <v>420000</v>
      </c>
      <c r="S274" s="19">
        <f>R274</f>
        <v>420000</v>
      </c>
      <c r="T274" s="19">
        <v>364600</v>
      </c>
      <c r="U274" s="10">
        <f>T274</f>
        <v>364600</v>
      </c>
      <c r="V274" s="19">
        <v>414100</v>
      </c>
      <c r="W274" s="10">
        <f>V274</f>
        <v>414100</v>
      </c>
      <c r="X274" s="299">
        <f>T274/H274</f>
        <v>52.242441610545924</v>
      </c>
      <c r="Y274" s="10" t="s">
        <v>76</v>
      </c>
      <c r="Z274" s="61"/>
      <c r="AA274" s="19">
        <v>7475000</v>
      </c>
      <c r="AB274" s="14" t="s">
        <v>40</v>
      </c>
      <c r="AC274" s="4" t="s">
        <v>338</v>
      </c>
      <c r="AF274" s="300"/>
    </row>
    <row r="275" spans="1:33" ht="14.25" customHeight="1">
      <c r="A275" s="2"/>
      <c r="B275" s="11"/>
      <c r="C275" s="11" t="s">
        <v>35</v>
      </c>
      <c r="D275" s="2"/>
      <c r="E275" s="4"/>
      <c r="G275" s="49"/>
      <c r="H275" s="18"/>
      <c r="I275" s="19"/>
      <c r="J275" s="19"/>
      <c r="Q275" s="19"/>
      <c r="R275" s="19"/>
      <c r="S275" s="19"/>
      <c r="T275" s="19"/>
      <c r="U275" s="19"/>
      <c r="V275" s="19"/>
      <c r="W275" s="19"/>
      <c r="X275" s="19"/>
      <c r="Y275" s="19"/>
      <c r="Z275" s="62"/>
      <c r="AA275" s="54"/>
      <c r="AB275" s="14"/>
      <c r="AF275" s="300"/>
    </row>
    <row r="276" spans="1:33" ht="14.25" customHeight="1">
      <c r="A276" s="2"/>
      <c r="B276" s="11"/>
      <c r="C276" s="11" t="s">
        <v>35</v>
      </c>
      <c r="D276" s="2"/>
      <c r="E276" s="4"/>
      <c r="G276" s="6" t="s">
        <v>339</v>
      </c>
      <c r="I276" s="10"/>
      <c r="J276" s="10"/>
      <c r="K276" s="32"/>
      <c r="T276" s="11"/>
      <c r="U276" s="10"/>
      <c r="V276" s="11"/>
      <c r="W276" s="10"/>
      <c r="X276" s="10"/>
      <c r="Y276" s="10"/>
      <c r="Z276" s="61"/>
      <c r="AA276" s="55"/>
      <c r="AB276" s="14"/>
      <c r="AF276" s="300"/>
    </row>
    <row r="277" spans="1:33" ht="14.25" customHeight="1">
      <c r="A277" s="2"/>
      <c r="B277" s="11"/>
      <c r="C277" s="11" t="s">
        <v>35</v>
      </c>
      <c r="D277" s="2"/>
      <c r="E277" s="4"/>
      <c r="F277" s="95"/>
      <c r="G277" s="5"/>
      <c r="H277" s="123"/>
      <c r="I277" s="3"/>
      <c r="J277" s="3"/>
      <c r="K277" s="123"/>
      <c r="L277" s="127"/>
      <c r="M277" s="124"/>
      <c r="N277" s="124"/>
      <c r="O277" s="124"/>
      <c r="Q277" s="3"/>
      <c r="R277" s="3"/>
      <c r="S277" s="3"/>
      <c r="T277" s="233"/>
      <c r="U277" s="3"/>
      <c r="V277" s="233"/>
      <c r="W277" s="3"/>
      <c r="X277" s="3"/>
      <c r="Y277" s="3"/>
      <c r="Z277" s="68"/>
      <c r="AA277" s="262"/>
      <c r="AB277" s="14"/>
      <c r="AC277" s="37"/>
      <c r="AD277" s="325"/>
      <c r="AE277" s="37"/>
      <c r="AF277" s="302"/>
      <c r="AG277" s="37"/>
    </row>
    <row r="278" spans="1:33" ht="28.5" customHeight="1">
      <c r="A278" s="2"/>
      <c r="B278" s="11" t="s">
        <v>34</v>
      </c>
      <c r="C278" s="11" t="s">
        <v>35</v>
      </c>
      <c r="D278" s="2">
        <v>550940</v>
      </c>
      <c r="E278" s="4" t="s">
        <v>339</v>
      </c>
      <c r="F278" s="4" t="s">
        <v>340</v>
      </c>
      <c r="G278" s="14" t="s">
        <v>341</v>
      </c>
      <c r="H278" s="23">
        <v>2662</v>
      </c>
      <c r="I278" s="7">
        <f>H278</f>
        <v>2662</v>
      </c>
      <c r="J278" s="7">
        <v>2500</v>
      </c>
      <c r="K278" s="4" t="s">
        <v>342</v>
      </c>
      <c r="L278" s="8">
        <v>44942</v>
      </c>
      <c r="M278" s="9">
        <v>46767</v>
      </c>
      <c r="P278" s="9">
        <v>46037</v>
      </c>
      <c r="Q278" s="10">
        <v>100000</v>
      </c>
      <c r="R278" s="10">
        <f>Q278</f>
        <v>100000</v>
      </c>
      <c r="T278" s="23">
        <v>100000</v>
      </c>
      <c r="U278" s="10">
        <f>T278</f>
        <v>100000</v>
      </c>
      <c r="V278" s="23">
        <v>100000</v>
      </c>
      <c r="W278" s="10">
        <f>V278</f>
        <v>100000</v>
      </c>
      <c r="X278" s="299">
        <f>T278/H278</f>
        <v>37.56574004507889</v>
      </c>
      <c r="Y278" s="10" t="s">
        <v>76</v>
      </c>
      <c r="Z278" s="61"/>
      <c r="AA278" s="55"/>
      <c r="AB278" s="14" t="s">
        <v>40</v>
      </c>
      <c r="AC278" s="4" t="s">
        <v>218</v>
      </c>
      <c r="AF278" s="300"/>
    </row>
    <row r="279" spans="1:33" ht="14.25" customHeight="1">
      <c r="A279" s="2"/>
      <c r="B279" s="11"/>
      <c r="C279" s="11" t="s">
        <v>35</v>
      </c>
      <c r="D279" s="2"/>
      <c r="E279" s="4"/>
      <c r="H279" s="50"/>
      <c r="I279" s="50"/>
      <c r="J279" s="50"/>
      <c r="Q279" s="50"/>
      <c r="R279" s="50"/>
      <c r="S279" s="50"/>
      <c r="T279" s="50"/>
      <c r="U279" s="50"/>
      <c r="V279" s="50"/>
      <c r="W279" s="50"/>
      <c r="X279" s="50"/>
      <c r="Y279" s="50"/>
      <c r="Z279" s="70"/>
      <c r="AA279" s="50"/>
      <c r="AB279" s="14"/>
      <c r="AF279" s="300"/>
    </row>
    <row r="280" spans="1:33" ht="14.25" customHeight="1">
      <c r="A280" s="2"/>
      <c r="B280" s="11"/>
      <c r="C280" s="11" t="s">
        <v>35</v>
      </c>
      <c r="D280" s="2"/>
      <c r="E280" s="4"/>
      <c r="G280" s="6" t="s">
        <v>343</v>
      </c>
      <c r="I280" s="10"/>
      <c r="J280" s="10"/>
      <c r="K280" s="32"/>
      <c r="T280" s="11"/>
      <c r="U280" s="10"/>
      <c r="V280" s="11"/>
      <c r="W280" s="10"/>
      <c r="X280" s="10"/>
      <c r="Y280" s="10"/>
      <c r="Z280" s="61"/>
      <c r="AA280" s="50"/>
      <c r="AB280" s="14"/>
      <c r="AF280" s="300"/>
    </row>
    <row r="281" spans="1:33" ht="14.25" customHeight="1">
      <c r="A281" s="2"/>
      <c r="B281" s="11"/>
      <c r="C281" s="11" t="s">
        <v>35</v>
      </c>
      <c r="D281" s="2"/>
      <c r="E281" s="4"/>
      <c r="G281" s="6"/>
      <c r="H281" s="133"/>
      <c r="I281" s="10"/>
      <c r="J281" s="10"/>
      <c r="K281" s="13"/>
      <c r="L281" s="9"/>
      <c r="M281" s="8"/>
      <c r="N281" s="8"/>
      <c r="T281" s="10"/>
      <c r="U281" s="10"/>
      <c r="V281" s="10"/>
      <c r="W281" s="10"/>
      <c r="X281" s="10"/>
      <c r="Y281" s="10"/>
      <c r="Z281" s="61"/>
      <c r="AA281" s="50"/>
      <c r="AB281" s="14"/>
      <c r="AF281" s="300"/>
    </row>
    <row r="282" spans="1:33" ht="24" customHeight="1">
      <c r="A282" s="2"/>
      <c r="B282" s="11" t="s">
        <v>119</v>
      </c>
      <c r="C282" s="11" t="s">
        <v>35</v>
      </c>
      <c r="D282" s="2">
        <v>550390</v>
      </c>
      <c r="E282" s="4" t="s">
        <v>343</v>
      </c>
      <c r="F282" s="4" t="s">
        <v>344</v>
      </c>
      <c r="G282" s="14" t="s">
        <v>345</v>
      </c>
      <c r="H282" s="7">
        <v>6542</v>
      </c>
      <c r="I282" s="10">
        <f>H282</f>
        <v>6542</v>
      </c>
      <c r="J282" s="10">
        <v>6500</v>
      </c>
      <c r="K282" s="4" t="s">
        <v>346</v>
      </c>
      <c r="L282" s="8">
        <v>44609</v>
      </c>
      <c r="M282" s="9">
        <v>50087</v>
      </c>
      <c r="O282" s="8">
        <v>46435</v>
      </c>
      <c r="P282" s="8">
        <v>48260</v>
      </c>
      <c r="Q282" s="10">
        <v>210000</v>
      </c>
      <c r="R282" s="10">
        <f>Q282</f>
        <v>210000</v>
      </c>
      <c r="T282" s="234">
        <v>210000</v>
      </c>
      <c r="U282" s="10">
        <f>T282</f>
        <v>210000</v>
      </c>
      <c r="V282" s="234">
        <v>232000</v>
      </c>
      <c r="W282" s="10">
        <f>V282</f>
        <v>232000</v>
      </c>
      <c r="X282" s="299">
        <f>T282/H282</f>
        <v>32.100275145215534</v>
      </c>
      <c r="Y282" s="10" t="s">
        <v>243</v>
      </c>
      <c r="Z282" s="61"/>
      <c r="AA282" s="50"/>
      <c r="AB282" s="14" t="s">
        <v>40</v>
      </c>
      <c r="AC282" s="4" t="s">
        <v>81</v>
      </c>
      <c r="AF282" s="300"/>
    </row>
    <row r="283" spans="1:33" ht="14.25" customHeight="1">
      <c r="A283" s="2"/>
      <c r="B283" s="11"/>
      <c r="C283" s="11" t="s">
        <v>35</v>
      </c>
      <c r="D283" s="2"/>
      <c r="E283" s="4"/>
      <c r="H283" s="18"/>
      <c r="I283" s="19"/>
      <c r="J283" s="19"/>
      <c r="Q283" s="19"/>
      <c r="R283" s="19"/>
      <c r="S283" s="19"/>
      <c r="T283" s="19"/>
      <c r="U283" s="19"/>
      <c r="V283" s="19"/>
      <c r="W283" s="19"/>
      <c r="X283" s="19"/>
      <c r="Y283" s="19"/>
      <c r="Z283" s="62"/>
      <c r="AA283" s="50"/>
      <c r="AB283" s="14"/>
      <c r="AF283" s="300"/>
    </row>
    <row r="284" spans="1:33" ht="14.25" customHeight="1">
      <c r="A284" s="2"/>
      <c r="B284" s="11"/>
      <c r="C284" s="11" t="s">
        <v>35</v>
      </c>
      <c r="D284" s="2"/>
      <c r="E284" s="4"/>
      <c r="H284" s="18"/>
      <c r="I284" s="19"/>
      <c r="J284" s="19"/>
      <c r="Q284" s="19"/>
      <c r="R284" s="19"/>
      <c r="S284" s="19"/>
      <c r="T284" s="19"/>
      <c r="U284" s="19"/>
      <c r="V284" s="19"/>
      <c r="W284" s="19"/>
      <c r="X284" s="19"/>
      <c r="Y284" s="19"/>
      <c r="Z284" s="62"/>
      <c r="AA284" s="54"/>
      <c r="AB284" s="14"/>
      <c r="AF284" s="300"/>
    </row>
    <row r="285" spans="1:33" ht="14.25" customHeight="1">
      <c r="A285" s="2"/>
      <c r="B285" s="11"/>
      <c r="C285" s="11" t="s">
        <v>35</v>
      </c>
      <c r="D285" s="2"/>
      <c r="E285" s="4"/>
      <c r="G285" s="6" t="s">
        <v>347</v>
      </c>
      <c r="I285" s="10"/>
      <c r="J285" s="10"/>
      <c r="K285" s="32"/>
      <c r="T285" s="11"/>
      <c r="U285" s="10"/>
      <c r="V285" s="11"/>
      <c r="W285" s="10"/>
      <c r="X285" s="10"/>
      <c r="Y285" s="10"/>
      <c r="Z285" s="61"/>
      <c r="AA285" s="55"/>
      <c r="AB285" s="14"/>
      <c r="AF285" s="300"/>
    </row>
    <row r="286" spans="1:33" ht="14.25" customHeight="1">
      <c r="A286" s="2"/>
      <c r="B286" s="11"/>
      <c r="C286" s="11" t="s">
        <v>35</v>
      </c>
      <c r="D286" s="2"/>
      <c r="E286" s="4"/>
      <c r="G286" s="12"/>
      <c r="I286" s="10"/>
      <c r="J286" s="10"/>
      <c r="K286" s="13"/>
      <c r="L286" s="9"/>
      <c r="T286" s="10"/>
      <c r="U286" s="10"/>
      <c r="V286" s="10"/>
      <c r="W286" s="10"/>
      <c r="X286" s="10"/>
      <c r="Y286" s="10"/>
      <c r="Z286" s="61"/>
      <c r="AA286" s="55"/>
      <c r="AB286" s="14"/>
      <c r="AF286" s="300"/>
    </row>
    <row r="287" spans="1:33">
      <c r="A287" s="2"/>
      <c r="B287" s="11" t="s">
        <v>60</v>
      </c>
      <c r="C287" s="11" t="s">
        <v>35</v>
      </c>
      <c r="D287" s="2">
        <v>550870</v>
      </c>
      <c r="E287" s="4" t="s">
        <v>347</v>
      </c>
      <c r="F287" s="4" t="s">
        <v>348</v>
      </c>
      <c r="G287" s="14" t="s">
        <v>128</v>
      </c>
      <c r="H287" s="7">
        <v>1330</v>
      </c>
      <c r="I287" s="7">
        <f>H287</f>
        <v>1330</v>
      </c>
      <c r="J287" s="7">
        <v>1250</v>
      </c>
      <c r="K287" s="4" t="s">
        <v>349</v>
      </c>
      <c r="L287" s="8">
        <v>44936</v>
      </c>
      <c r="M287" s="9">
        <v>46761</v>
      </c>
      <c r="P287" s="9">
        <v>46031</v>
      </c>
      <c r="Q287" s="10">
        <v>70000</v>
      </c>
      <c r="R287" s="10">
        <f>Q287</f>
        <v>70000</v>
      </c>
      <c r="T287" s="10">
        <v>69900</v>
      </c>
      <c r="U287" s="10">
        <f>T287</f>
        <v>69900</v>
      </c>
      <c r="V287" s="10">
        <v>69900</v>
      </c>
      <c r="W287" s="10">
        <f>V287</f>
        <v>69900</v>
      </c>
      <c r="X287" s="299">
        <f>T287/H287</f>
        <v>52.556390977443606</v>
      </c>
      <c r="Y287" s="10" t="s">
        <v>69</v>
      </c>
      <c r="Z287" s="61"/>
      <c r="AA287" s="55"/>
      <c r="AB287" s="14" t="s">
        <v>40</v>
      </c>
      <c r="AC287" s="4" t="s">
        <v>350</v>
      </c>
      <c r="AF287" s="300"/>
    </row>
    <row r="288" spans="1:33">
      <c r="A288" s="2"/>
      <c r="B288" s="11" t="s">
        <v>60</v>
      </c>
      <c r="C288" s="11" t="s">
        <v>35</v>
      </c>
      <c r="D288" s="2">
        <v>550870</v>
      </c>
      <c r="E288" s="4" t="s">
        <v>347</v>
      </c>
      <c r="F288" s="4" t="s">
        <v>351</v>
      </c>
      <c r="G288" s="14" t="s">
        <v>352</v>
      </c>
      <c r="H288" s="7">
        <v>1486</v>
      </c>
      <c r="I288" s="7">
        <f>H288</f>
        <v>1486</v>
      </c>
      <c r="J288" s="7">
        <v>1500</v>
      </c>
      <c r="K288" s="4" t="s">
        <v>353</v>
      </c>
      <c r="L288" s="8">
        <v>44314</v>
      </c>
      <c r="M288" s="9">
        <v>47965</v>
      </c>
      <c r="P288" s="9">
        <v>46139</v>
      </c>
      <c r="Q288" s="10">
        <v>59500</v>
      </c>
      <c r="R288" s="10">
        <f>Q288</f>
        <v>59500</v>
      </c>
      <c r="T288" s="10">
        <v>64900</v>
      </c>
      <c r="U288" s="10">
        <f>T288</f>
        <v>64900</v>
      </c>
      <c r="V288" s="10">
        <v>64900</v>
      </c>
      <c r="W288" s="10">
        <f>V288</f>
        <v>64900</v>
      </c>
      <c r="X288" s="299">
        <f>T288/H288</f>
        <v>43.674293405114398</v>
      </c>
      <c r="Y288" s="10" t="s">
        <v>39</v>
      </c>
      <c r="Z288" s="61"/>
      <c r="AA288" s="55"/>
      <c r="AB288" s="14" t="s">
        <v>40</v>
      </c>
      <c r="AC288" s="4" t="s">
        <v>354</v>
      </c>
      <c r="AF288" s="300"/>
    </row>
    <row r="289" spans="1:33" ht="26.25" customHeight="1">
      <c r="A289" s="2"/>
      <c r="B289" s="11" t="s">
        <v>60</v>
      </c>
      <c r="C289" s="11" t="s">
        <v>35</v>
      </c>
      <c r="D289" s="2">
        <v>550870</v>
      </c>
      <c r="E289" s="4" t="s">
        <v>347</v>
      </c>
      <c r="F289" s="37" t="s">
        <v>355</v>
      </c>
      <c r="G289" s="14" t="s">
        <v>352</v>
      </c>
      <c r="H289" s="7">
        <v>1204</v>
      </c>
      <c r="I289" s="7">
        <f>H289</f>
        <v>1204</v>
      </c>
      <c r="J289" s="7">
        <v>1250</v>
      </c>
      <c r="K289" s="4" t="s">
        <v>356</v>
      </c>
      <c r="L289" s="8">
        <v>45665</v>
      </c>
      <c r="M289" s="9">
        <v>45740</v>
      </c>
      <c r="Q289" s="10">
        <v>59216</v>
      </c>
      <c r="R289" s="10">
        <f>Q289</f>
        <v>59216</v>
      </c>
      <c r="T289" s="10">
        <v>53100</v>
      </c>
      <c r="U289" s="10">
        <f>T289</f>
        <v>53100</v>
      </c>
      <c r="V289" s="10">
        <v>53100</v>
      </c>
      <c r="W289" s="10">
        <f>V289</f>
        <v>53100</v>
      </c>
      <c r="X289" s="299">
        <f>T289/H289</f>
        <v>44.102990033222589</v>
      </c>
      <c r="Y289" s="10" t="s">
        <v>39</v>
      </c>
      <c r="Z289" s="61"/>
      <c r="AA289" s="55"/>
      <c r="AB289" s="14" t="s">
        <v>40</v>
      </c>
      <c r="AC289" s="37" t="s">
        <v>357</v>
      </c>
      <c r="AD289" s="325"/>
      <c r="AE289" s="37"/>
      <c r="AF289" s="302"/>
      <c r="AG289" s="37"/>
    </row>
    <row r="290" spans="1:33" ht="35.25" customHeight="1">
      <c r="A290" s="2"/>
      <c r="B290" s="11" t="s">
        <v>60</v>
      </c>
      <c r="C290" s="11" t="s">
        <v>35</v>
      </c>
      <c r="D290" s="2">
        <v>550870</v>
      </c>
      <c r="E290" s="4" t="s">
        <v>347</v>
      </c>
      <c r="F290" s="4" t="s">
        <v>358</v>
      </c>
      <c r="G290" s="14" t="s">
        <v>352</v>
      </c>
      <c r="H290" s="7">
        <v>1119</v>
      </c>
      <c r="I290" s="7">
        <f>H290</f>
        <v>1119</v>
      </c>
      <c r="J290" s="7">
        <v>1250</v>
      </c>
      <c r="K290" s="4" t="s">
        <v>356</v>
      </c>
      <c r="L290" s="8">
        <v>45665</v>
      </c>
      <c r="M290" s="9">
        <v>45740</v>
      </c>
      <c r="Q290" s="10">
        <v>58314</v>
      </c>
      <c r="R290" s="10">
        <f>Q290</f>
        <v>58314</v>
      </c>
      <c r="T290" s="10">
        <v>51200</v>
      </c>
      <c r="U290" s="10">
        <f>T290</f>
        <v>51200</v>
      </c>
      <c r="V290" s="10">
        <v>51200</v>
      </c>
      <c r="W290" s="10">
        <f>V290</f>
        <v>51200</v>
      </c>
      <c r="X290" s="299">
        <f>T290/H290</f>
        <v>45.755138516532618</v>
      </c>
      <c r="Y290" s="10" t="s">
        <v>69</v>
      </c>
      <c r="Z290" s="61"/>
      <c r="AA290" s="55"/>
      <c r="AB290" s="14" t="s">
        <v>40</v>
      </c>
      <c r="AC290" s="37" t="s">
        <v>357</v>
      </c>
      <c r="AD290" s="325"/>
      <c r="AE290" s="37"/>
      <c r="AF290" s="302"/>
      <c r="AG290" s="37"/>
    </row>
    <row r="291" spans="1:33" ht="28.5" customHeight="1">
      <c r="A291" s="2"/>
      <c r="B291" s="11" t="s">
        <v>60</v>
      </c>
      <c r="C291" s="11" t="s">
        <v>35</v>
      </c>
      <c r="D291" s="2">
        <v>550870</v>
      </c>
      <c r="E291" s="4" t="s">
        <v>347</v>
      </c>
      <c r="F291" s="4" t="s">
        <v>359</v>
      </c>
      <c r="G291" s="14" t="s">
        <v>83</v>
      </c>
      <c r="H291" s="7">
        <v>3114</v>
      </c>
      <c r="I291" s="7">
        <f>H291</f>
        <v>3114</v>
      </c>
      <c r="J291" s="7">
        <v>3000</v>
      </c>
      <c r="K291" s="4" t="s">
        <v>360</v>
      </c>
      <c r="L291" s="8">
        <v>44143</v>
      </c>
      <c r="M291" s="9">
        <v>49620</v>
      </c>
      <c r="O291" s="9">
        <v>45969</v>
      </c>
      <c r="Q291" s="10">
        <v>175000</v>
      </c>
      <c r="R291" s="10">
        <f>Q291</f>
        <v>175000</v>
      </c>
      <c r="T291" s="10">
        <v>146200</v>
      </c>
      <c r="U291" s="10">
        <f>T291</f>
        <v>146200</v>
      </c>
      <c r="V291" s="10">
        <v>146200</v>
      </c>
      <c r="W291" s="10">
        <f>V291</f>
        <v>146200</v>
      </c>
      <c r="X291" s="299">
        <f>T291/H291</f>
        <v>46.949261400128449</v>
      </c>
      <c r="Y291" s="10" t="s">
        <v>69</v>
      </c>
      <c r="Z291" s="61"/>
      <c r="AA291" s="55"/>
      <c r="AB291" s="14" t="s">
        <v>94</v>
      </c>
      <c r="AC291" s="37" t="s">
        <v>361</v>
      </c>
      <c r="AD291" s="325"/>
      <c r="AE291" s="37"/>
      <c r="AF291" s="302"/>
      <c r="AG291" s="37"/>
    </row>
    <row r="292" spans="1:33" ht="14.25" customHeight="1">
      <c r="A292" s="2"/>
      <c r="B292" s="11"/>
      <c r="C292" s="11" t="s">
        <v>35</v>
      </c>
      <c r="D292" s="2"/>
      <c r="E292" s="4"/>
      <c r="G292" s="41"/>
      <c r="H292" s="18"/>
      <c r="I292" s="19"/>
      <c r="J292" s="19"/>
      <c r="Q292" s="19"/>
      <c r="R292" s="19"/>
      <c r="S292" s="19"/>
      <c r="T292" s="19"/>
      <c r="U292" s="19"/>
      <c r="V292" s="19"/>
      <c r="W292" s="19"/>
      <c r="X292" s="19"/>
      <c r="Y292" s="19"/>
      <c r="Z292" s="62"/>
      <c r="AA292" s="54"/>
      <c r="AB292" s="14"/>
      <c r="AC292" s="37"/>
      <c r="AD292" s="325"/>
      <c r="AE292" s="37"/>
      <c r="AF292" s="302"/>
      <c r="AG292" s="37"/>
    </row>
    <row r="293" spans="1:33" ht="14.25" customHeight="1">
      <c r="A293" s="2"/>
      <c r="B293" s="11"/>
      <c r="C293" s="11" t="s">
        <v>35</v>
      </c>
      <c r="D293" s="2"/>
      <c r="E293" s="4"/>
      <c r="G293" s="6" t="s">
        <v>362</v>
      </c>
      <c r="I293" s="10"/>
      <c r="J293" s="10"/>
      <c r="K293" s="32"/>
      <c r="T293" s="11"/>
      <c r="U293" s="10"/>
      <c r="V293" s="11"/>
      <c r="W293" s="10"/>
      <c r="X293" s="10"/>
      <c r="Y293" s="10"/>
      <c r="Z293" s="61"/>
      <c r="AA293" s="55"/>
      <c r="AB293" s="14"/>
      <c r="AF293" s="300"/>
    </row>
    <row r="294" spans="1:33" ht="14.25" customHeight="1">
      <c r="A294" s="2"/>
      <c r="B294" s="11"/>
      <c r="C294" s="11" t="s">
        <v>35</v>
      </c>
      <c r="D294" s="2"/>
      <c r="E294" s="4"/>
      <c r="G294" s="41"/>
      <c r="H294" s="18"/>
      <c r="I294" s="19"/>
      <c r="J294" s="19"/>
      <c r="Q294" s="19"/>
      <c r="R294" s="19"/>
      <c r="S294" s="19"/>
      <c r="T294" s="19"/>
      <c r="U294" s="19"/>
      <c r="V294" s="19"/>
      <c r="W294" s="19"/>
      <c r="X294" s="19"/>
      <c r="Y294" s="19"/>
      <c r="Z294" s="62"/>
      <c r="AA294" s="54"/>
      <c r="AB294" s="14"/>
      <c r="AC294" s="37"/>
      <c r="AD294" s="325"/>
      <c r="AE294" s="37"/>
      <c r="AF294" s="302"/>
      <c r="AG294" s="37"/>
    </row>
    <row r="295" spans="1:33" ht="24" customHeight="1">
      <c r="A295" s="2"/>
      <c r="B295" s="11" t="s">
        <v>60</v>
      </c>
      <c r="C295" s="11" t="s">
        <v>35</v>
      </c>
      <c r="D295" s="2">
        <v>550980</v>
      </c>
      <c r="E295" s="4" t="s">
        <v>362</v>
      </c>
      <c r="F295" s="4" t="s">
        <v>246</v>
      </c>
      <c r="G295" s="14" t="s">
        <v>363</v>
      </c>
      <c r="H295" s="18">
        <v>10112</v>
      </c>
      <c r="I295" s="19">
        <f>H295</f>
        <v>10112</v>
      </c>
      <c r="J295" s="19"/>
      <c r="K295" s="4" t="s">
        <v>364</v>
      </c>
      <c r="L295" s="8">
        <v>45708</v>
      </c>
      <c r="M295" s="9">
        <v>51185</v>
      </c>
      <c r="O295" s="9">
        <v>47534</v>
      </c>
      <c r="P295" s="9">
        <v>47898</v>
      </c>
      <c r="Q295" s="38">
        <v>550000</v>
      </c>
      <c r="R295" s="19">
        <f>Q295</f>
        <v>550000</v>
      </c>
      <c r="S295" s="19">
        <f>R295</f>
        <v>550000</v>
      </c>
      <c r="T295" s="19">
        <v>750000</v>
      </c>
      <c r="U295" s="19">
        <f>T295</f>
        <v>750000</v>
      </c>
      <c r="V295" s="19">
        <v>685000</v>
      </c>
      <c r="W295" s="19">
        <f>V295</f>
        <v>685000</v>
      </c>
      <c r="X295" s="299">
        <f>T295/H295</f>
        <v>74.169303797468359</v>
      </c>
      <c r="Y295" s="19" t="s">
        <v>243</v>
      </c>
      <c r="Z295" s="62"/>
      <c r="AA295" s="19">
        <v>11800000</v>
      </c>
      <c r="AB295" s="14" t="s">
        <v>40</v>
      </c>
      <c r="AC295" s="37" t="s">
        <v>365</v>
      </c>
      <c r="AE295" s="4">
        <v>1</v>
      </c>
      <c r="AF295" s="300">
        <v>1</v>
      </c>
    </row>
    <row r="296" spans="1:33" ht="14.25" customHeight="1">
      <c r="A296" s="2"/>
      <c r="B296" s="11"/>
      <c r="C296" s="11" t="s">
        <v>35</v>
      </c>
      <c r="D296" s="2"/>
      <c r="E296" s="4"/>
      <c r="H296" s="18"/>
      <c r="I296" s="19"/>
      <c r="J296" s="19"/>
      <c r="Q296" s="19"/>
      <c r="R296" s="19"/>
      <c r="S296" s="19"/>
      <c r="T296" s="19"/>
      <c r="U296" s="19"/>
      <c r="V296" s="19"/>
      <c r="W296" s="19"/>
      <c r="X296" s="19"/>
      <c r="Y296" s="19"/>
      <c r="Z296" s="62"/>
      <c r="AA296" s="19"/>
      <c r="AB296" s="14"/>
      <c r="AF296" s="300"/>
    </row>
    <row r="297" spans="1:33" ht="14.25" customHeight="1">
      <c r="A297" s="2"/>
      <c r="B297" s="11"/>
      <c r="C297" s="11" t="s">
        <v>35</v>
      </c>
      <c r="D297" s="2"/>
      <c r="E297" s="4"/>
      <c r="F297" s="92" t="s">
        <v>366</v>
      </c>
      <c r="H297" s="33">
        <f>SUM(H295:H296)</f>
        <v>10112</v>
      </c>
      <c r="I297" s="18"/>
      <c r="J297" s="18"/>
      <c r="K297" s="34"/>
      <c r="L297" s="35"/>
      <c r="M297" s="36"/>
      <c r="N297" s="36"/>
      <c r="O297" s="36"/>
      <c r="P297" s="36"/>
      <c r="Q297" s="33">
        <f>SUM(Q295:Q296)</f>
        <v>550000</v>
      </c>
      <c r="R297" s="33"/>
      <c r="S297" s="33"/>
      <c r="T297" s="33">
        <f>SUM(T295:T296)</f>
        <v>750000</v>
      </c>
      <c r="U297" s="33"/>
      <c r="V297" s="33">
        <f>SUM(V295:V296)</f>
        <v>685000</v>
      </c>
      <c r="W297" s="33"/>
      <c r="X297" s="33"/>
      <c r="Y297" s="33"/>
      <c r="Z297" s="63"/>
      <c r="AA297" s="19"/>
      <c r="AB297" s="14"/>
      <c r="AF297" s="300"/>
    </row>
    <row r="298" spans="1:33" ht="14.25" customHeight="1">
      <c r="A298" s="2"/>
      <c r="B298" s="11"/>
      <c r="C298" s="11" t="s">
        <v>35</v>
      </c>
      <c r="D298" s="2"/>
      <c r="E298" s="4"/>
      <c r="G298" s="6" t="s">
        <v>367</v>
      </c>
      <c r="I298" s="10"/>
      <c r="J298" s="10"/>
      <c r="K298" s="32"/>
      <c r="T298" s="11"/>
      <c r="U298" s="10"/>
      <c r="V298" s="11"/>
      <c r="W298" s="10"/>
      <c r="X298" s="10"/>
      <c r="Y298" s="10"/>
      <c r="Z298" s="61"/>
      <c r="AA298" s="19"/>
      <c r="AB298" s="14"/>
      <c r="AF298" s="300"/>
    </row>
    <row r="299" spans="1:33" ht="14.25" customHeight="1">
      <c r="A299" s="2"/>
      <c r="B299" s="11"/>
      <c r="C299" s="11" t="s">
        <v>35</v>
      </c>
      <c r="D299" s="2"/>
      <c r="E299" s="4"/>
      <c r="G299" s="6"/>
      <c r="H299" s="26"/>
      <c r="I299" s="10"/>
      <c r="J299" s="10"/>
      <c r="K299" s="26"/>
      <c r="L299" s="57"/>
      <c r="M299" s="57"/>
      <c r="N299" s="57"/>
      <c r="O299" s="43"/>
      <c r="P299" s="43"/>
      <c r="T299" s="23"/>
      <c r="U299" s="10"/>
      <c r="V299" s="23"/>
      <c r="W299" s="10"/>
      <c r="X299" s="10"/>
      <c r="Y299" s="10"/>
      <c r="Z299" s="61"/>
      <c r="AA299" s="19"/>
      <c r="AB299" s="14"/>
      <c r="AC299" s="32"/>
      <c r="AE299" s="32"/>
      <c r="AF299" s="306"/>
      <c r="AG299" s="32"/>
    </row>
    <row r="300" spans="1:33">
      <c r="A300" s="2"/>
      <c r="B300" s="11" t="s">
        <v>322</v>
      </c>
      <c r="C300" s="11" t="s">
        <v>35</v>
      </c>
      <c r="D300" s="2">
        <v>100850</v>
      </c>
      <c r="E300" s="4" t="s">
        <v>367</v>
      </c>
      <c r="F300" s="4" t="s">
        <v>99</v>
      </c>
      <c r="G300" s="14" t="s">
        <v>368</v>
      </c>
      <c r="H300" s="7">
        <v>5200</v>
      </c>
      <c r="I300" s="7">
        <f>H300</f>
        <v>5200</v>
      </c>
      <c r="J300" s="7">
        <v>5000</v>
      </c>
      <c r="K300" s="4" t="s">
        <v>68</v>
      </c>
      <c r="N300" s="9">
        <v>45740</v>
      </c>
      <c r="Q300" s="10">
        <v>0</v>
      </c>
      <c r="R300" s="10">
        <f>Q300</f>
        <v>0</v>
      </c>
      <c r="T300" s="23">
        <v>616000</v>
      </c>
      <c r="U300" s="10">
        <f>T300</f>
        <v>616000</v>
      </c>
      <c r="V300" s="23">
        <v>617000</v>
      </c>
      <c r="W300" s="10">
        <f>V300</f>
        <v>617000</v>
      </c>
      <c r="X300" s="299">
        <f>T300/H300</f>
        <v>118.46153846153847</v>
      </c>
      <c r="Y300" s="10" t="s">
        <v>58</v>
      </c>
      <c r="Z300" s="61"/>
      <c r="AA300" s="19"/>
      <c r="AB300" s="14" t="s">
        <v>40</v>
      </c>
      <c r="AC300" s="37" t="s">
        <v>369</v>
      </c>
      <c r="AD300" s="325"/>
      <c r="AE300" s="37">
        <v>1</v>
      </c>
      <c r="AF300" s="302">
        <v>1</v>
      </c>
      <c r="AG300" s="37" t="s">
        <v>160</v>
      </c>
    </row>
    <row r="301" spans="1:33" ht="24" customHeight="1">
      <c r="A301" s="2"/>
      <c r="B301" s="11" t="s">
        <v>322</v>
      </c>
      <c r="C301" s="11" t="s">
        <v>35</v>
      </c>
      <c r="D301" s="2">
        <v>100850</v>
      </c>
      <c r="E301" s="4" t="s">
        <v>367</v>
      </c>
      <c r="F301" s="4" t="s">
        <v>370</v>
      </c>
      <c r="G301" s="14" t="s">
        <v>148</v>
      </c>
      <c r="H301" s="44">
        <v>85</v>
      </c>
      <c r="I301" s="7">
        <f>H301</f>
        <v>85</v>
      </c>
      <c r="K301" s="136" t="s">
        <v>371</v>
      </c>
      <c r="L301" s="8">
        <v>45589</v>
      </c>
      <c r="M301" s="8">
        <v>45953</v>
      </c>
      <c r="N301" s="8"/>
      <c r="Q301" s="10">
        <v>68250</v>
      </c>
      <c r="R301" s="10">
        <f>Q301</f>
        <v>68250</v>
      </c>
      <c r="T301" s="23">
        <v>65000</v>
      </c>
      <c r="U301" s="10">
        <f>T301</f>
        <v>65000</v>
      </c>
      <c r="V301" s="23">
        <v>0</v>
      </c>
      <c r="W301" s="10">
        <f>V301</f>
        <v>0</v>
      </c>
      <c r="X301" s="299">
        <f>T301/H301</f>
        <v>764.70588235294122</v>
      </c>
      <c r="Y301" s="10"/>
      <c r="Z301" s="61"/>
      <c r="AA301" s="19"/>
      <c r="AB301" s="14" t="s">
        <v>40</v>
      </c>
      <c r="AC301" s="32" t="s">
        <v>372</v>
      </c>
      <c r="AE301" s="32"/>
      <c r="AF301" s="306"/>
      <c r="AG301" s="32"/>
    </row>
    <row r="302" spans="1:33">
      <c r="A302" s="2"/>
      <c r="B302" s="11" t="s">
        <v>322</v>
      </c>
      <c r="C302" s="11" t="s">
        <v>35</v>
      </c>
      <c r="D302" s="2">
        <v>100850</v>
      </c>
      <c r="E302" s="4" t="s">
        <v>367</v>
      </c>
      <c r="F302" s="4" t="s">
        <v>373</v>
      </c>
      <c r="G302" s="14" t="s">
        <v>210</v>
      </c>
      <c r="H302" s="44">
        <v>4011</v>
      </c>
      <c r="I302" s="7">
        <f>H302</f>
        <v>4011</v>
      </c>
      <c r="J302" s="7">
        <v>4000</v>
      </c>
      <c r="K302" s="4" t="s">
        <v>374</v>
      </c>
      <c r="L302" s="8">
        <v>44204</v>
      </c>
      <c r="M302" s="9">
        <v>47855</v>
      </c>
      <c r="O302" s="9">
        <v>46030</v>
      </c>
      <c r="Q302" s="10">
        <v>130000</v>
      </c>
      <c r="R302" s="10">
        <f>Q302</f>
        <v>130000</v>
      </c>
      <c r="T302" s="23">
        <v>130000</v>
      </c>
      <c r="U302" s="10">
        <f>T302</f>
        <v>130000</v>
      </c>
      <c r="V302" s="23">
        <v>130000</v>
      </c>
      <c r="W302" s="10">
        <f>V302</f>
        <v>130000</v>
      </c>
      <c r="X302" s="299">
        <f>T302/H302</f>
        <v>32.410870107205184</v>
      </c>
      <c r="Y302" s="10" t="s">
        <v>58</v>
      </c>
      <c r="Z302" s="61"/>
      <c r="AA302" s="19"/>
      <c r="AB302" s="14" t="s">
        <v>40</v>
      </c>
      <c r="AC302" s="32"/>
      <c r="AE302" s="32"/>
      <c r="AF302" s="306"/>
      <c r="AG302" s="32"/>
    </row>
    <row r="303" spans="1:33" ht="14.25" customHeight="1">
      <c r="A303" s="2"/>
      <c r="B303" s="11"/>
      <c r="C303" s="11" t="s">
        <v>35</v>
      </c>
      <c r="D303" s="2"/>
      <c r="E303" s="4"/>
      <c r="G303" s="4"/>
      <c r="H303" s="44"/>
      <c r="I303" s="10"/>
      <c r="J303" s="10"/>
      <c r="K303" s="136"/>
      <c r="M303" s="8"/>
      <c r="N303" s="8"/>
      <c r="T303" s="23"/>
      <c r="U303" s="10"/>
      <c r="V303" s="23"/>
      <c r="W303" s="10"/>
      <c r="X303" s="10"/>
      <c r="Y303" s="10"/>
      <c r="Z303" s="61"/>
      <c r="AA303" s="19"/>
      <c r="AB303" s="14"/>
      <c r="AC303" s="32"/>
      <c r="AE303" s="32"/>
      <c r="AF303" s="306"/>
      <c r="AG303" s="32"/>
    </row>
    <row r="304" spans="1:33" ht="14.25" customHeight="1">
      <c r="A304" s="2"/>
      <c r="B304" s="11"/>
      <c r="C304" s="11" t="s">
        <v>35</v>
      </c>
      <c r="D304" s="2"/>
      <c r="E304" s="4"/>
      <c r="F304" s="92" t="s">
        <v>367</v>
      </c>
      <c r="G304" s="37"/>
      <c r="H304" s="51">
        <f>SUM(H300:H302)</f>
        <v>9296</v>
      </c>
      <c r="I304" s="19"/>
      <c r="J304" s="19"/>
      <c r="K304" s="136"/>
      <c r="L304" s="46"/>
      <c r="M304" s="8"/>
      <c r="N304" s="8"/>
      <c r="Q304" s="19">
        <f>SUM(Q300:Q302)</f>
        <v>198250</v>
      </c>
      <c r="R304" s="19"/>
      <c r="S304" s="19">
        <f>SUM(R298:R303)</f>
        <v>198250</v>
      </c>
      <c r="T304" s="50">
        <f>SUM(T300:T302)</f>
        <v>811000</v>
      </c>
      <c r="U304" s="19"/>
      <c r="V304" s="50">
        <f>SUM(V300:V302)</f>
        <v>747000</v>
      </c>
      <c r="W304" s="19"/>
      <c r="X304" s="19"/>
      <c r="Y304" s="19"/>
      <c r="Z304" s="62"/>
      <c r="AA304" s="19">
        <v>12075000</v>
      </c>
      <c r="AB304" s="14"/>
      <c r="AE304" s="29"/>
      <c r="AF304" s="301"/>
      <c r="AG304" s="29"/>
    </row>
    <row r="305" spans="1:33" ht="14.25" customHeight="1">
      <c r="A305" s="2"/>
      <c r="B305" s="11"/>
      <c r="C305" s="11" t="s">
        <v>35</v>
      </c>
      <c r="D305" s="2"/>
      <c r="E305" s="4"/>
      <c r="F305" s="34"/>
      <c r="G305" s="37"/>
      <c r="H305" s="51"/>
      <c r="I305" s="19"/>
      <c r="J305" s="19"/>
      <c r="K305" s="136"/>
      <c r="L305" s="46"/>
      <c r="M305" s="8"/>
      <c r="N305" s="8"/>
      <c r="Q305" s="19"/>
      <c r="R305" s="19"/>
      <c r="S305" s="19"/>
      <c r="T305" s="50"/>
      <c r="U305" s="19"/>
      <c r="V305" s="50"/>
      <c r="W305" s="19"/>
      <c r="X305" s="19"/>
      <c r="Y305" s="19"/>
      <c r="Z305" s="62"/>
      <c r="AA305" s="54"/>
      <c r="AB305" s="14"/>
      <c r="AC305" s="32"/>
      <c r="AE305" s="32"/>
      <c r="AF305" s="306"/>
      <c r="AG305" s="32"/>
    </row>
    <row r="306" spans="1:33" ht="14.25" customHeight="1">
      <c r="A306" s="2"/>
      <c r="B306" s="11"/>
      <c r="C306" s="11" t="s">
        <v>35</v>
      </c>
      <c r="D306" s="2"/>
      <c r="E306" s="4"/>
      <c r="G306" s="37"/>
      <c r="H306" s="51"/>
      <c r="I306" s="19"/>
      <c r="J306" s="19"/>
      <c r="K306" s="136"/>
      <c r="L306" s="46"/>
      <c r="M306" s="8"/>
      <c r="N306" s="8"/>
      <c r="Q306" s="19"/>
      <c r="R306" s="19"/>
      <c r="S306" s="19"/>
      <c r="T306" s="50"/>
      <c r="U306" s="19"/>
      <c r="V306" s="50"/>
      <c r="W306" s="19"/>
      <c r="X306" s="19"/>
      <c r="Y306" s="19"/>
      <c r="Z306" s="62"/>
      <c r="AA306" s="54"/>
      <c r="AB306" s="14"/>
      <c r="AC306" s="32"/>
      <c r="AE306" s="32"/>
      <c r="AF306" s="306"/>
      <c r="AG306" s="32"/>
    </row>
    <row r="307" spans="1:33" ht="14.25" customHeight="1">
      <c r="A307" s="2"/>
      <c r="B307" s="11"/>
      <c r="C307" s="11" t="s">
        <v>35</v>
      </c>
      <c r="D307" s="2"/>
      <c r="E307" s="4"/>
      <c r="G307" s="6" t="s">
        <v>375</v>
      </c>
      <c r="I307" s="10"/>
      <c r="J307" s="10"/>
      <c r="K307" s="32"/>
      <c r="T307" s="11"/>
      <c r="U307" s="10"/>
      <c r="V307" s="11"/>
      <c r="W307" s="10"/>
      <c r="X307" s="10"/>
      <c r="Y307" s="10"/>
      <c r="Z307" s="61"/>
      <c r="AA307" s="55"/>
      <c r="AB307" s="14"/>
      <c r="AF307" s="300"/>
    </row>
    <row r="308" spans="1:33" ht="14.25" customHeight="1">
      <c r="A308" s="2"/>
      <c r="B308" s="11"/>
      <c r="C308" s="11" t="s">
        <v>35</v>
      </c>
      <c r="D308" s="2"/>
      <c r="E308" s="4"/>
      <c r="G308" s="5"/>
      <c r="H308" s="26"/>
      <c r="I308" s="19"/>
      <c r="J308" s="19"/>
      <c r="K308" s="117"/>
      <c r="Q308" s="19"/>
      <c r="R308" s="19"/>
      <c r="S308" s="19"/>
      <c r="T308" s="19"/>
      <c r="U308" s="19"/>
      <c r="V308" s="19"/>
      <c r="W308" s="19"/>
      <c r="X308" s="19"/>
      <c r="Y308" s="19"/>
      <c r="Z308" s="62"/>
      <c r="AA308" s="54"/>
      <c r="AB308" s="14"/>
      <c r="AC308" s="37"/>
      <c r="AD308" s="325"/>
      <c r="AE308" s="37"/>
      <c r="AF308" s="302"/>
      <c r="AG308" s="37"/>
    </row>
    <row r="309" spans="1:33" ht="28.5" customHeight="1">
      <c r="A309" s="2"/>
      <c r="B309" s="11" t="s">
        <v>322</v>
      </c>
      <c r="C309" s="11" t="s">
        <v>35</v>
      </c>
      <c r="D309" s="2">
        <v>100670</v>
      </c>
      <c r="E309" s="4" t="s">
        <v>375</v>
      </c>
      <c r="F309" s="4" t="s">
        <v>376</v>
      </c>
      <c r="G309" s="14" t="s">
        <v>46</v>
      </c>
      <c r="H309" s="7">
        <v>3348</v>
      </c>
      <c r="I309" s="10">
        <f>H309</f>
        <v>3348</v>
      </c>
      <c r="J309" s="10">
        <v>3250</v>
      </c>
      <c r="K309" s="4" t="s">
        <v>377</v>
      </c>
      <c r="L309" s="8">
        <v>45600</v>
      </c>
      <c r="M309" s="9">
        <v>49251</v>
      </c>
      <c r="O309" s="9">
        <v>47426</v>
      </c>
      <c r="P309" s="9">
        <v>47790</v>
      </c>
      <c r="Q309" s="10">
        <v>260000</v>
      </c>
      <c r="R309" s="10">
        <f>Q309</f>
        <v>260000</v>
      </c>
      <c r="T309" s="10">
        <v>522500</v>
      </c>
      <c r="U309" s="10">
        <f>T309</f>
        <v>522500</v>
      </c>
      <c r="V309" s="10">
        <v>522500</v>
      </c>
      <c r="W309" s="10">
        <f>V309</f>
        <v>522500</v>
      </c>
      <c r="X309" s="299">
        <f>T309/H309</f>
        <v>156.06332138590204</v>
      </c>
      <c r="Y309" s="10" t="s">
        <v>58</v>
      </c>
      <c r="Z309" s="61"/>
      <c r="AA309" s="54"/>
      <c r="AB309" s="14" t="s">
        <v>40</v>
      </c>
      <c r="AC309" s="37" t="s">
        <v>378</v>
      </c>
      <c r="AD309" s="328"/>
      <c r="AE309" s="121"/>
      <c r="AF309" s="307"/>
      <c r="AG309" s="121"/>
    </row>
    <row r="310" spans="1:33">
      <c r="A310" s="2"/>
      <c r="B310" s="11" t="s">
        <v>322</v>
      </c>
      <c r="C310" s="11" t="s">
        <v>35</v>
      </c>
      <c r="D310" s="2">
        <v>100670</v>
      </c>
      <c r="E310" s="4" t="s">
        <v>375</v>
      </c>
      <c r="F310" s="4" t="s">
        <v>379</v>
      </c>
      <c r="G310" s="14" t="s">
        <v>325</v>
      </c>
      <c r="H310" s="7">
        <v>2964</v>
      </c>
      <c r="I310" s="10">
        <f>H310</f>
        <v>2964</v>
      </c>
      <c r="J310" s="10">
        <v>3000</v>
      </c>
      <c r="K310" s="4" t="s">
        <v>68</v>
      </c>
      <c r="N310" s="9">
        <v>42593</v>
      </c>
      <c r="Q310" s="10">
        <v>0</v>
      </c>
      <c r="R310" s="10">
        <f>Q310</f>
        <v>0</v>
      </c>
      <c r="T310" s="10">
        <v>115000</v>
      </c>
      <c r="U310" s="10">
        <f>T310</f>
        <v>115000</v>
      </c>
      <c r="V310" s="10">
        <v>115000</v>
      </c>
      <c r="W310" s="10">
        <f>V310</f>
        <v>115000</v>
      </c>
      <c r="X310" s="299">
        <f>T310/H310</f>
        <v>38.798920377867745</v>
      </c>
      <c r="Y310" s="10" t="s">
        <v>76</v>
      </c>
      <c r="Z310" s="61"/>
      <c r="AA310" s="54"/>
      <c r="AB310" s="14" t="s">
        <v>40</v>
      </c>
      <c r="AC310" s="4" t="s">
        <v>380</v>
      </c>
      <c r="AF310" s="300"/>
    </row>
    <row r="311" spans="1:33" ht="14.25" customHeight="1">
      <c r="A311" s="2"/>
      <c r="B311" s="11"/>
      <c r="C311" s="11" t="s">
        <v>35</v>
      </c>
      <c r="D311" s="2"/>
      <c r="E311" s="4"/>
      <c r="I311" s="10"/>
      <c r="J311" s="10"/>
      <c r="T311" s="10"/>
      <c r="U311" s="10"/>
      <c r="V311" s="10"/>
      <c r="W311" s="10"/>
      <c r="X311" s="299"/>
      <c r="Y311" s="10"/>
      <c r="Z311" s="61"/>
      <c r="AA311" s="54"/>
      <c r="AB311" s="14"/>
      <c r="AF311" s="300"/>
    </row>
    <row r="312" spans="1:33" ht="14.25" customHeight="1">
      <c r="A312" s="2"/>
      <c r="B312" s="11"/>
      <c r="C312" s="11" t="s">
        <v>35</v>
      </c>
      <c r="D312" s="2"/>
      <c r="E312" s="4"/>
      <c r="F312" s="92" t="s">
        <v>381</v>
      </c>
      <c r="G312" s="41"/>
      <c r="H312" s="18">
        <f>SUM(H309:H310)</f>
        <v>6312</v>
      </c>
      <c r="I312" s="19"/>
      <c r="J312" s="19"/>
      <c r="Q312" s="19">
        <f>SUM(Q309:Q310)</f>
        <v>260000</v>
      </c>
      <c r="R312" s="19"/>
      <c r="S312" s="19">
        <f>SUM(R308:R311)</f>
        <v>260000</v>
      </c>
      <c r="T312" s="19">
        <f>SUM(T309:T310)</f>
        <v>637500</v>
      </c>
      <c r="U312" s="19"/>
      <c r="V312" s="19">
        <f>SUM(V309:V310)</f>
        <v>637500</v>
      </c>
      <c r="W312" s="19"/>
      <c r="X312" s="19"/>
      <c r="Y312" s="19"/>
      <c r="Z312" s="62"/>
      <c r="AA312" s="19">
        <v>9725000</v>
      </c>
      <c r="AB312" s="14"/>
      <c r="AE312" s="29"/>
      <c r="AF312" s="301"/>
      <c r="AG312" s="29"/>
    </row>
    <row r="313" spans="1:33" ht="14.25" customHeight="1">
      <c r="A313" s="2"/>
      <c r="B313" s="11"/>
      <c r="C313" s="11" t="s">
        <v>35</v>
      </c>
      <c r="D313" s="2"/>
      <c r="E313" s="4"/>
      <c r="G313" s="41"/>
      <c r="H313" s="18"/>
      <c r="I313" s="19"/>
      <c r="J313" s="19"/>
      <c r="Q313" s="19"/>
      <c r="R313" s="19"/>
      <c r="S313" s="19"/>
      <c r="T313" s="19"/>
      <c r="U313" s="19"/>
      <c r="V313" s="19"/>
      <c r="W313" s="19"/>
      <c r="X313" s="19"/>
      <c r="Y313" s="19"/>
      <c r="Z313" s="62"/>
      <c r="AA313" s="19"/>
      <c r="AB313" s="14"/>
      <c r="AC313" s="37"/>
      <c r="AD313" s="325"/>
      <c r="AE313" s="37"/>
      <c r="AF313" s="302"/>
      <c r="AG313" s="37"/>
    </row>
    <row r="314" spans="1:33" ht="14.25" customHeight="1">
      <c r="A314" s="2"/>
      <c r="B314" s="11"/>
      <c r="C314" s="11" t="s">
        <v>35</v>
      </c>
      <c r="D314" s="2"/>
      <c r="E314" s="4"/>
      <c r="G314" s="6" t="s">
        <v>382</v>
      </c>
      <c r="I314" s="10"/>
      <c r="J314" s="10"/>
      <c r="K314" s="32"/>
      <c r="T314" s="11"/>
      <c r="U314" s="10"/>
      <c r="V314" s="11"/>
      <c r="W314" s="10"/>
      <c r="X314" s="10"/>
      <c r="Y314" s="10"/>
      <c r="Z314" s="61"/>
      <c r="AA314" s="19"/>
      <c r="AB314" s="14"/>
      <c r="AF314" s="300"/>
    </row>
    <row r="315" spans="1:33" ht="14.25" customHeight="1">
      <c r="A315" s="2"/>
      <c r="B315" s="11"/>
      <c r="C315" s="11" t="s">
        <v>35</v>
      </c>
      <c r="D315" s="2"/>
      <c r="E315" s="4"/>
      <c r="G315" s="5"/>
      <c r="H315" s="26"/>
      <c r="I315" s="19"/>
      <c r="J315" s="19"/>
      <c r="K315" s="117"/>
      <c r="Q315" s="19"/>
      <c r="R315" s="19"/>
      <c r="S315" s="19"/>
      <c r="T315" s="19"/>
      <c r="U315" s="19"/>
      <c r="V315" s="19"/>
      <c r="W315" s="19"/>
      <c r="X315" s="19"/>
      <c r="Y315" s="19"/>
      <c r="Z315" s="62"/>
      <c r="AA315" s="19"/>
      <c r="AB315" s="14"/>
      <c r="AC315" s="37"/>
      <c r="AD315" s="325"/>
      <c r="AE315" s="37"/>
      <c r="AF315" s="302"/>
      <c r="AG315" s="37"/>
    </row>
    <row r="316" spans="1:33" ht="24" customHeight="1">
      <c r="A316" s="2"/>
      <c r="B316" s="11" t="s">
        <v>322</v>
      </c>
      <c r="C316" s="11" t="s">
        <v>35</v>
      </c>
      <c r="D316" s="2">
        <v>100650</v>
      </c>
      <c r="E316" s="4" t="s">
        <v>382</v>
      </c>
      <c r="F316" s="4" t="s">
        <v>383</v>
      </c>
      <c r="G316" s="14" t="s">
        <v>46</v>
      </c>
      <c r="H316" s="18">
        <v>61433</v>
      </c>
      <c r="I316" s="10">
        <f>H316</f>
        <v>61433</v>
      </c>
      <c r="J316" s="10">
        <v>60000</v>
      </c>
      <c r="K316" s="4" t="s">
        <v>384</v>
      </c>
      <c r="L316" s="8">
        <v>40925</v>
      </c>
      <c r="M316" s="9">
        <v>46403</v>
      </c>
      <c r="O316" s="9">
        <v>44578</v>
      </c>
      <c r="Q316" s="19">
        <v>4275000</v>
      </c>
      <c r="R316" s="10">
        <f>Q316</f>
        <v>4275000</v>
      </c>
      <c r="S316" s="19">
        <f>R316</f>
        <v>4275000</v>
      </c>
      <c r="T316" s="19">
        <v>2569000</v>
      </c>
      <c r="U316" s="10">
        <f>T316</f>
        <v>2569000</v>
      </c>
      <c r="V316" s="19">
        <v>3039000</v>
      </c>
      <c r="W316" s="10">
        <f>V316</f>
        <v>3039000</v>
      </c>
      <c r="X316" s="299">
        <f>T316/H316</f>
        <v>41.817915452606904</v>
      </c>
      <c r="Y316" s="10" t="s">
        <v>58</v>
      </c>
      <c r="Z316" s="61"/>
      <c r="AA316" s="19">
        <v>66775000</v>
      </c>
      <c r="AB316" s="14" t="s">
        <v>94</v>
      </c>
      <c r="AC316" s="37" t="s">
        <v>385</v>
      </c>
      <c r="AD316" s="325"/>
      <c r="AE316" s="37"/>
      <c r="AF316" s="302"/>
      <c r="AG316" s="37"/>
    </row>
    <row r="317" spans="1:33" ht="14.25" customHeight="1">
      <c r="A317" s="2"/>
      <c r="B317" s="11"/>
      <c r="C317" s="11" t="s">
        <v>35</v>
      </c>
      <c r="D317" s="2"/>
      <c r="E317" s="4"/>
      <c r="H317" s="18"/>
      <c r="I317" s="19"/>
      <c r="J317" s="19"/>
      <c r="Q317" s="19"/>
      <c r="R317" s="19"/>
      <c r="S317" s="19"/>
      <c r="T317" s="19"/>
      <c r="U317" s="19"/>
      <c r="V317" s="19"/>
      <c r="W317" s="19"/>
      <c r="X317" s="19"/>
      <c r="Y317" s="19"/>
      <c r="Z317" s="62"/>
      <c r="AA317" s="54"/>
      <c r="AB317" s="14"/>
      <c r="AF317" s="300"/>
    </row>
    <row r="318" spans="1:33" ht="14.25" customHeight="1">
      <c r="A318" s="2"/>
      <c r="B318" s="11"/>
      <c r="C318" s="11" t="s">
        <v>35</v>
      </c>
      <c r="D318" s="2"/>
      <c r="E318" s="4"/>
      <c r="F318" s="87"/>
      <c r="H318" s="33"/>
      <c r="I318" s="18"/>
      <c r="J318" s="18"/>
      <c r="K318" s="34"/>
      <c r="L318" s="35"/>
      <c r="M318" s="36"/>
      <c r="N318" s="36"/>
      <c r="O318" s="36"/>
      <c r="P318" s="36"/>
      <c r="Q318" s="33">
        <f>SUM(Q316:Q317)</f>
        <v>4275000</v>
      </c>
      <c r="R318" s="33"/>
      <c r="S318" s="33"/>
      <c r="T318" s="33">
        <f>SUM(T316:T317)</f>
        <v>2569000</v>
      </c>
      <c r="U318" s="33"/>
      <c r="V318" s="33">
        <f>SUM(V316:V317)</f>
        <v>3039000</v>
      </c>
      <c r="W318" s="33"/>
      <c r="X318" s="33"/>
      <c r="Y318" s="33"/>
      <c r="Z318" s="63"/>
      <c r="AA318" s="260"/>
      <c r="AB318" s="14"/>
      <c r="AF318" s="300"/>
    </row>
    <row r="319" spans="1:33" ht="14.25" customHeight="1">
      <c r="A319" s="2"/>
      <c r="B319" s="11"/>
      <c r="C319" s="11" t="s">
        <v>35</v>
      </c>
      <c r="D319" s="2"/>
      <c r="E319" s="4"/>
      <c r="G319" s="6" t="s">
        <v>386</v>
      </c>
      <c r="I319" s="10"/>
      <c r="J319" s="10"/>
      <c r="K319" s="32"/>
      <c r="L319" s="230"/>
      <c r="T319" s="11"/>
      <c r="U319" s="10"/>
      <c r="V319" s="11"/>
      <c r="W319" s="10"/>
      <c r="X319" s="10"/>
      <c r="Y319" s="10"/>
      <c r="Z319" s="61"/>
      <c r="AA319" s="55"/>
      <c r="AB319" s="14"/>
      <c r="AF319" s="300"/>
    </row>
    <row r="320" spans="1:33" ht="14.25" customHeight="1">
      <c r="A320" s="2"/>
      <c r="B320" s="11"/>
      <c r="C320" s="11" t="s">
        <v>35</v>
      </c>
      <c r="D320" s="2"/>
      <c r="E320" s="4"/>
      <c r="F320" s="20"/>
      <c r="G320" s="5"/>
      <c r="H320" s="26"/>
      <c r="I320" s="112"/>
      <c r="J320" s="112"/>
      <c r="K320" s="26"/>
      <c r="L320" s="21"/>
      <c r="M320" s="21"/>
      <c r="N320" s="21"/>
      <c r="O320" s="21"/>
      <c r="P320" s="21"/>
      <c r="Q320" s="112"/>
      <c r="R320" s="112"/>
      <c r="S320" s="112"/>
      <c r="T320" s="112"/>
      <c r="U320" s="112"/>
      <c r="V320" s="112"/>
      <c r="W320" s="112"/>
      <c r="X320" s="112"/>
      <c r="Y320" s="112"/>
      <c r="Z320" s="62"/>
      <c r="AA320" s="263"/>
      <c r="AB320" s="14"/>
      <c r="AC320" s="128"/>
      <c r="AD320" s="329"/>
      <c r="AE320" s="128"/>
      <c r="AF320" s="308"/>
      <c r="AG320" s="128"/>
    </row>
    <row r="321" spans="1:33" ht="28.5" customHeight="1">
      <c r="A321" s="2"/>
      <c r="B321" s="11" t="s">
        <v>322</v>
      </c>
      <c r="C321" s="11" t="s">
        <v>35</v>
      </c>
      <c r="D321" s="2">
        <v>100650</v>
      </c>
      <c r="E321" s="4" t="s">
        <v>387</v>
      </c>
      <c r="F321" s="4" t="s">
        <v>388</v>
      </c>
      <c r="G321" s="14" t="s">
        <v>251</v>
      </c>
      <c r="H321" s="7">
        <v>114</v>
      </c>
      <c r="I321" s="7">
        <f t="shared" ref="I321:I329" si="0">H321</f>
        <v>114</v>
      </c>
      <c r="K321" s="4" t="s">
        <v>389</v>
      </c>
      <c r="Q321" s="10">
        <v>0</v>
      </c>
      <c r="R321" s="10">
        <f t="shared" ref="R321:R329" si="1">Q321</f>
        <v>0</v>
      </c>
      <c r="T321" s="10">
        <v>2007</v>
      </c>
      <c r="U321" s="10">
        <f>T321</f>
        <v>2007</v>
      </c>
      <c r="V321" s="10">
        <v>2007</v>
      </c>
      <c r="W321" s="10">
        <f>V321</f>
        <v>2007</v>
      </c>
      <c r="X321" s="299">
        <f t="shared" ref="X321:X329" si="2">T321/H321</f>
        <v>17.605263157894736</v>
      </c>
      <c r="Y321" s="10"/>
      <c r="Z321" s="61"/>
      <c r="AA321" s="55"/>
      <c r="AB321" s="14" t="s">
        <v>40</v>
      </c>
      <c r="AF321" s="300"/>
    </row>
    <row r="322" spans="1:33" ht="28.5" customHeight="1">
      <c r="A322" s="2"/>
      <c r="B322" s="11" t="s">
        <v>322</v>
      </c>
      <c r="C322" s="11" t="s">
        <v>35</v>
      </c>
      <c r="D322" s="2">
        <v>100650</v>
      </c>
      <c r="E322" s="4" t="s">
        <v>387</v>
      </c>
      <c r="F322" s="4" t="s">
        <v>390</v>
      </c>
      <c r="G322" s="14" t="s">
        <v>251</v>
      </c>
      <c r="H322" s="7">
        <v>454</v>
      </c>
      <c r="I322" s="7">
        <f t="shared" si="0"/>
        <v>454</v>
      </c>
      <c r="K322" s="4" t="s">
        <v>391</v>
      </c>
      <c r="L322" s="8">
        <v>45685</v>
      </c>
      <c r="M322" s="9">
        <v>47358</v>
      </c>
      <c r="P322" s="9">
        <v>46627</v>
      </c>
      <c r="Q322" s="10">
        <v>18000</v>
      </c>
      <c r="R322" s="10">
        <f t="shared" si="1"/>
        <v>18000</v>
      </c>
      <c r="T322" s="10">
        <v>7993</v>
      </c>
      <c r="U322" s="10"/>
      <c r="V322" s="10">
        <v>7993</v>
      </c>
      <c r="W322" s="10"/>
      <c r="X322" s="299">
        <f t="shared" si="2"/>
        <v>17.605726872246695</v>
      </c>
      <c r="Y322" s="10"/>
      <c r="Z322" s="61"/>
      <c r="AA322" s="55"/>
      <c r="AB322" s="14"/>
      <c r="AC322" s="4" t="s">
        <v>130</v>
      </c>
      <c r="AF322" s="300"/>
    </row>
    <row r="323" spans="1:33" ht="24" customHeight="1">
      <c r="A323" s="2"/>
      <c r="B323" s="11" t="s">
        <v>322</v>
      </c>
      <c r="C323" s="11" t="s">
        <v>35</v>
      </c>
      <c r="D323" s="2">
        <v>100650</v>
      </c>
      <c r="E323" s="4" t="s">
        <v>387</v>
      </c>
      <c r="F323" s="4" t="s">
        <v>73</v>
      </c>
      <c r="G323" s="14" t="s">
        <v>392</v>
      </c>
      <c r="H323" s="7">
        <v>780</v>
      </c>
      <c r="I323" s="7">
        <f t="shared" si="0"/>
        <v>780</v>
      </c>
      <c r="J323" s="7">
        <v>750</v>
      </c>
      <c r="K323" s="4" t="s">
        <v>252</v>
      </c>
      <c r="L323" s="8">
        <v>44562</v>
      </c>
      <c r="M323" s="9">
        <v>46752</v>
      </c>
      <c r="O323" s="9">
        <v>45292</v>
      </c>
      <c r="Q323" s="10">
        <v>17100</v>
      </c>
      <c r="R323" s="10">
        <f t="shared" si="1"/>
        <v>17100</v>
      </c>
      <c r="T323" s="10">
        <v>12500</v>
      </c>
      <c r="U323" s="10">
        <f t="shared" ref="U323:U329" si="3">T323</f>
        <v>12500</v>
      </c>
      <c r="V323" s="10">
        <v>12500</v>
      </c>
      <c r="W323" s="10">
        <f t="shared" ref="W323:W329" si="4">V323</f>
        <v>12500</v>
      </c>
      <c r="X323" s="299">
        <f t="shared" si="2"/>
        <v>16.025641025641026</v>
      </c>
      <c r="Y323" s="10" t="s">
        <v>69</v>
      </c>
      <c r="Z323" s="61"/>
      <c r="AA323" s="55"/>
      <c r="AB323" s="14" t="s">
        <v>40</v>
      </c>
      <c r="AC323" s="4" t="s">
        <v>393</v>
      </c>
      <c r="AF323" s="300"/>
    </row>
    <row r="324" spans="1:33" ht="28.5" customHeight="1">
      <c r="A324" s="2"/>
      <c r="B324" s="11" t="s">
        <v>322</v>
      </c>
      <c r="C324" s="11" t="s">
        <v>35</v>
      </c>
      <c r="D324" s="2">
        <v>100650</v>
      </c>
      <c r="E324" s="4" t="s">
        <v>387</v>
      </c>
      <c r="F324" s="4" t="s">
        <v>394</v>
      </c>
      <c r="G324" s="14" t="s">
        <v>83</v>
      </c>
      <c r="H324" s="7">
        <v>3661</v>
      </c>
      <c r="I324" s="7">
        <f t="shared" si="0"/>
        <v>3661</v>
      </c>
      <c r="J324" s="7">
        <v>3500</v>
      </c>
      <c r="K324" s="4" t="s">
        <v>395</v>
      </c>
      <c r="L324" s="8">
        <v>44115</v>
      </c>
      <c r="M324" s="9">
        <v>46670</v>
      </c>
      <c r="Q324" s="10">
        <v>170000</v>
      </c>
      <c r="R324" s="10">
        <f t="shared" si="1"/>
        <v>170000</v>
      </c>
      <c r="T324" s="10">
        <v>216700</v>
      </c>
      <c r="U324" s="10">
        <f t="shared" si="3"/>
        <v>216700</v>
      </c>
      <c r="V324" s="10">
        <v>216700</v>
      </c>
      <c r="W324" s="10">
        <f t="shared" si="4"/>
        <v>216700</v>
      </c>
      <c r="X324" s="299">
        <f t="shared" si="2"/>
        <v>59.19147773832286</v>
      </c>
      <c r="Y324" s="10" t="s">
        <v>69</v>
      </c>
      <c r="Z324" s="61"/>
      <c r="AA324" s="55"/>
      <c r="AB324" s="14" t="s">
        <v>40</v>
      </c>
      <c r="AF324" s="300"/>
    </row>
    <row r="325" spans="1:33">
      <c r="A325" s="2"/>
      <c r="B325" s="11" t="s">
        <v>322</v>
      </c>
      <c r="C325" s="11" t="s">
        <v>35</v>
      </c>
      <c r="D325" s="2">
        <v>100650</v>
      </c>
      <c r="E325" s="4" t="s">
        <v>387</v>
      </c>
      <c r="F325" s="4" t="s">
        <v>396</v>
      </c>
      <c r="G325" s="14" t="s">
        <v>120</v>
      </c>
      <c r="H325" s="7">
        <v>1716</v>
      </c>
      <c r="I325" s="7">
        <f t="shared" si="0"/>
        <v>1716</v>
      </c>
      <c r="J325" s="7">
        <v>1750</v>
      </c>
      <c r="K325" s="4" t="s">
        <v>68</v>
      </c>
      <c r="Q325" s="10">
        <v>0</v>
      </c>
      <c r="R325" s="10">
        <f t="shared" si="1"/>
        <v>0</v>
      </c>
      <c r="T325" s="10">
        <v>107600</v>
      </c>
      <c r="U325" s="10">
        <f t="shared" si="3"/>
        <v>107600</v>
      </c>
      <c r="V325" s="10">
        <v>107600</v>
      </c>
      <c r="W325" s="10">
        <f t="shared" si="4"/>
        <v>107600</v>
      </c>
      <c r="X325" s="299">
        <f t="shared" si="2"/>
        <v>62.703962703962702</v>
      </c>
      <c r="Y325" s="10"/>
      <c r="Z325" s="61"/>
      <c r="AA325" s="55"/>
      <c r="AB325" s="14" t="s">
        <v>40</v>
      </c>
      <c r="AC325" s="4" t="s">
        <v>202</v>
      </c>
      <c r="AF325" s="300"/>
    </row>
    <row r="326" spans="1:33" ht="24" customHeight="1">
      <c r="A326" s="2"/>
      <c r="B326" s="11" t="s">
        <v>322</v>
      </c>
      <c r="C326" s="11" t="s">
        <v>35</v>
      </c>
      <c r="D326" s="2">
        <v>100650</v>
      </c>
      <c r="E326" s="4" t="s">
        <v>387</v>
      </c>
      <c r="F326" s="4" t="s">
        <v>397</v>
      </c>
      <c r="G326" s="14" t="s">
        <v>120</v>
      </c>
      <c r="H326" s="7">
        <v>1952</v>
      </c>
      <c r="I326" s="7">
        <f t="shared" si="0"/>
        <v>1952</v>
      </c>
      <c r="J326" s="7">
        <v>2000</v>
      </c>
      <c r="K326" s="4" t="s">
        <v>398</v>
      </c>
      <c r="L326" s="8">
        <v>45450</v>
      </c>
      <c r="M326" s="9">
        <v>49101</v>
      </c>
      <c r="O326" s="9">
        <v>47276</v>
      </c>
      <c r="P326" s="9">
        <v>47275</v>
      </c>
      <c r="Q326" s="10">
        <v>93042</v>
      </c>
      <c r="R326" s="10">
        <f t="shared" si="1"/>
        <v>93042</v>
      </c>
      <c r="T326" s="10">
        <v>122400</v>
      </c>
      <c r="U326" s="10">
        <f t="shared" si="3"/>
        <v>122400</v>
      </c>
      <c r="V326" s="10">
        <v>122400</v>
      </c>
      <c r="W326" s="10">
        <f t="shared" si="4"/>
        <v>122400</v>
      </c>
      <c r="X326" s="299">
        <f t="shared" si="2"/>
        <v>62.704918032786885</v>
      </c>
      <c r="Y326" s="10" t="s">
        <v>39</v>
      </c>
      <c r="Z326" s="61"/>
      <c r="AA326" s="55"/>
      <c r="AB326" s="14" t="s">
        <v>40</v>
      </c>
      <c r="AC326" s="4" t="s">
        <v>399</v>
      </c>
      <c r="AF326" s="300"/>
    </row>
    <row r="327" spans="1:33" ht="28.5" customHeight="1">
      <c r="A327" s="2"/>
      <c r="B327" s="11" t="s">
        <v>322</v>
      </c>
      <c r="C327" s="11" t="s">
        <v>35</v>
      </c>
      <c r="D327" s="2">
        <v>100650</v>
      </c>
      <c r="E327" s="4" t="s">
        <v>387</v>
      </c>
      <c r="F327" s="4" t="s">
        <v>400</v>
      </c>
      <c r="G327" s="14" t="s">
        <v>401</v>
      </c>
      <c r="H327" s="7">
        <v>1710</v>
      </c>
      <c r="I327" s="7">
        <f t="shared" si="0"/>
        <v>1710</v>
      </c>
      <c r="J327" s="7">
        <v>1750</v>
      </c>
      <c r="K327" s="4" t="s">
        <v>402</v>
      </c>
      <c r="L327" s="8">
        <v>45143</v>
      </c>
      <c r="M327" s="9">
        <v>45873</v>
      </c>
      <c r="Q327" s="10">
        <v>100000</v>
      </c>
      <c r="R327" s="10">
        <f t="shared" si="1"/>
        <v>100000</v>
      </c>
      <c r="T327" s="10">
        <v>85500</v>
      </c>
      <c r="U327" s="10">
        <f t="shared" si="3"/>
        <v>85500</v>
      </c>
      <c r="V327" s="10">
        <v>100000</v>
      </c>
      <c r="W327" s="10">
        <f t="shared" si="4"/>
        <v>100000</v>
      </c>
      <c r="X327" s="299">
        <f t="shared" si="2"/>
        <v>50</v>
      </c>
      <c r="Y327" s="10" t="s">
        <v>69</v>
      </c>
      <c r="Z327" s="61"/>
      <c r="AA327" s="55"/>
      <c r="AB327" s="14" t="s">
        <v>40</v>
      </c>
      <c r="AC327" s="29" t="s">
        <v>403</v>
      </c>
      <c r="AF327" s="300"/>
    </row>
    <row r="328" spans="1:33" ht="37.5" customHeight="1">
      <c r="A328" s="2"/>
      <c r="B328" s="11" t="s">
        <v>322</v>
      </c>
      <c r="C328" s="11" t="s">
        <v>35</v>
      </c>
      <c r="D328" s="2">
        <v>100650</v>
      </c>
      <c r="E328" s="4" t="s">
        <v>387</v>
      </c>
      <c r="F328" s="4" t="s">
        <v>404</v>
      </c>
      <c r="G328" s="14" t="s">
        <v>401</v>
      </c>
      <c r="H328" s="7">
        <v>3601</v>
      </c>
      <c r="I328" s="7">
        <f t="shared" si="0"/>
        <v>3601</v>
      </c>
      <c r="J328" s="7">
        <v>3500</v>
      </c>
      <c r="K328" s="4" t="s">
        <v>391</v>
      </c>
      <c r="L328" s="8">
        <v>45533</v>
      </c>
      <c r="M328" s="9">
        <v>49184</v>
      </c>
      <c r="O328" s="9">
        <v>47359</v>
      </c>
      <c r="P328" s="9">
        <v>46627</v>
      </c>
      <c r="Q328" s="10">
        <v>83500</v>
      </c>
      <c r="R328" s="10">
        <f t="shared" si="1"/>
        <v>83500</v>
      </c>
      <c r="T328" s="10">
        <v>144000</v>
      </c>
      <c r="U328" s="10">
        <f t="shared" si="3"/>
        <v>144000</v>
      </c>
      <c r="V328" s="10">
        <v>167400</v>
      </c>
      <c r="W328" s="10">
        <f t="shared" si="4"/>
        <v>167400</v>
      </c>
      <c r="X328" s="299">
        <f t="shared" si="2"/>
        <v>39.988891974451541</v>
      </c>
      <c r="Y328" s="10" t="s">
        <v>69</v>
      </c>
      <c r="Z328" s="61"/>
      <c r="AA328" s="54"/>
      <c r="AB328" s="14" t="s">
        <v>40</v>
      </c>
      <c r="AC328" s="4" t="s">
        <v>405</v>
      </c>
      <c r="AE328" s="29"/>
      <c r="AF328" s="301"/>
      <c r="AG328" s="29"/>
    </row>
    <row r="329" spans="1:33" ht="24" customHeight="1">
      <c r="A329" s="2"/>
      <c r="B329" s="11" t="s">
        <v>322</v>
      </c>
      <c r="C329" s="11" t="s">
        <v>35</v>
      </c>
      <c r="D329" s="2">
        <v>100650</v>
      </c>
      <c r="E329" s="4" t="s">
        <v>387</v>
      </c>
      <c r="F329" s="4" t="s">
        <v>406</v>
      </c>
      <c r="G329" s="14" t="s">
        <v>83</v>
      </c>
      <c r="H329" s="7">
        <v>6889</v>
      </c>
      <c r="I329" s="7">
        <f t="shared" si="0"/>
        <v>6889</v>
      </c>
      <c r="J329" s="7">
        <v>7000</v>
      </c>
      <c r="K329" s="4" t="s">
        <v>407</v>
      </c>
      <c r="L329" s="8">
        <v>44630</v>
      </c>
      <c r="M329" s="9">
        <v>48282</v>
      </c>
      <c r="O329" s="9">
        <v>46456</v>
      </c>
      <c r="Q329" s="10">
        <v>385000</v>
      </c>
      <c r="R329" s="10">
        <f t="shared" si="1"/>
        <v>385000</v>
      </c>
      <c r="T329" s="10">
        <v>390000</v>
      </c>
      <c r="U329" s="10">
        <f t="shared" si="3"/>
        <v>390000</v>
      </c>
      <c r="V329" s="10">
        <v>390000</v>
      </c>
      <c r="W329" s="10">
        <f t="shared" si="4"/>
        <v>390000</v>
      </c>
      <c r="X329" s="299">
        <f t="shared" si="2"/>
        <v>56.611990129191462</v>
      </c>
      <c r="Y329" s="10" t="s">
        <v>243</v>
      </c>
      <c r="Z329" s="61"/>
      <c r="AA329" s="54"/>
      <c r="AB329" s="14" t="s">
        <v>40</v>
      </c>
      <c r="AC329" s="4" t="s">
        <v>408</v>
      </c>
      <c r="AF329" s="300"/>
    </row>
    <row r="330" spans="1:33" ht="14.25" customHeight="1">
      <c r="A330" s="2"/>
      <c r="B330" s="11"/>
      <c r="C330" s="11" t="s">
        <v>35</v>
      </c>
      <c r="D330" s="2"/>
      <c r="E330" s="4"/>
      <c r="H330" s="18"/>
      <c r="I330" s="19"/>
      <c r="J330" s="19"/>
      <c r="Q330" s="19"/>
      <c r="R330" s="19"/>
      <c r="S330" s="19"/>
      <c r="T330" s="19"/>
      <c r="U330" s="19"/>
      <c r="V330" s="19"/>
      <c r="W330" s="19"/>
      <c r="X330" s="19"/>
      <c r="Y330" s="19"/>
      <c r="Z330" s="62"/>
      <c r="AA330" s="54"/>
      <c r="AB330" s="14"/>
      <c r="AF330" s="300"/>
    </row>
    <row r="331" spans="1:33" ht="14.25" customHeight="1">
      <c r="A331" s="2"/>
      <c r="B331" s="11"/>
      <c r="C331" s="11" t="s">
        <v>35</v>
      </c>
      <c r="D331" s="2"/>
      <c r="E331" s="4"/>
      <c r="G331" s="6" t="s">
        <v>409</v>
      </c>
      <c r="I331" s="10"/>
      <c r="J331" s="10"/>
      <c r="K331" s="32"/>
      <c r="T331" s="11"/>
      <c r="U331" s="10"/>
      <c r="V331" s="11"/>
      <c r="W331" s="10"/>
      <c r="X331" s="10"/>
      <c r="Y331" s="10"/>
      <c r="Z331" s="61"/>
      <c r="AA331" s="55"/>
      <c r="AB331" s="14"/>
      <c r="AF331" s="300"/>
    </row>
    <row r="332" spans="1:33" ht="14.25" customHeight="1">
      <c r="A332" s="2"/>
      <c r="B332" s="11"/>
      <c r="C332" s="11" t="s">
        <v>35</v>
      </c>
      <c r="D332" s="2"/>
      <c r="E332" s="4"/>
      <c r="G332" s="26"/>
      <c r="I332" s="10"/>
      <c r="J332" s="10"/>
      <c r="K332" s="32"/>
      <c r="T332" s="11"/>
      <c r="U332" s="10"/>
      <c r="V332" s="11"/>
      <c r="W332" s="10"/>
      <c r="X332" s="10"/>
      <c r="Y332" s="10"/>
      <c r="Z332" s="61"/>
      <c r="AA332" s="55"/>
      <c r="AB332" s="14"/>
      <c r="AF332" s="300"/>
    </row>
    <row r="333" spans="1:33" ht="14.25" customHeight="1">
      <c r="A333" s="2"/>
      <c r="B333" s="11" t="s">
        <v>322</v>
      </c>
      <c r="C333" s="11" t="s">
        <v>35</v>
      </c>
      <c r="D333" s="2">
        <v>100680</v>
      </c>
      <c r="E333" s="4" t="s">
        <v>409</v>
      </c>
      <c r="F333" s="4" t="s">
        <v>410</v>
      </c>
      <c r="G333" s="14" t="s">
        <v>251</v>
      </c>
      <c r="H333" s="11">
        <v>0</v>
      </c>
      <c r="I333" s="7">
        <f t="shared" ref="I333:I339" si="5">H333</f>
        <v>0</v>
      </c>
      <c r="K333" s="4" t="s">
        <v>411</v>
      </c>
      <c r="L333" s="8">
        <v>44736</v>
      </c>
      <c r="M333" s="9">
        <v>46657</v>
      </c>
      <c r="Q333" s="10">
        <v>1000</v>
      </c>
      <c r="R333" s="10">
        <f t="shared" ref="R333:R339" si="6">Q333</f>
        <v>1000</v>
      </c>
      <c r="T333" s="10">
        <v>1000</v>
      </c>
      <c r="U333" s="10">
        <f t="shared" ref="U333:U339" si="7">T333</f>
        <v>1000</v>
      </c>
      <c r="V333" s="10">
        <v>0</v>
      </c>
      <c r="W333" s="10">
        <f t="shared" ref="W333:W339" si="8">V333</f>
        <v>0</v>
      </c>
      <c r="X333" s="299"/>
      <c r="Y333" s="10"/>
      <c r="Z333" s="61"/>
      <c r="AA333" s="55"/>
      <c r="AB333" s="14" t="s">
        <v>40</v>
      </c>
      <c r="AC333" s="4" t="s">
        <v>412</v>
      </c>
      <c r="AF333" s="300"/>
    </row>
    <row r="334" spans="1:33" ht="24" customHeight="1">
      <c r="A334" s="2"/>
      <c r="B334" s="11" t="s">
        <v>322</v>
      </c>
      <c r="C334" s="11" t="s">
        <v>35</v>
      </c>
      <c r="D334" s="2">
        <v>100680</v>
      </c>
      <c r="E334" s="4" t="s">
        <v>409</v>
      </c>
      <c r="F334" s="4" t="s">
        <v>413</v>
      </c>
      <c r="G334" s="14" t="s">
        <v>285</v>
      </c>
      <c r="H334" s="7">
        <v>7079</v>
      </c>
      <c r="I334" s="7">
        <f t="shared" si="5"/>
        <v>7079</v>
      </c>
      <c r="J334" s="7">
        <v>7000</v>
      </c>
      <c r="K334" s="4" t="s">
        <v>411</v>
      </c>
      <c r="L334" s="8">
        <v>41180</v>
      </c>
      <c r="M334" s="9">
        <v>46657</v>
      </c>
      <c r="Q334" s="10">
        <v>425033</v>
      </c>
      <c r="R334" s="10">
        <f t="shared" si="6"/>
        <v>425033</v>
      </c>
      <c r="T334" s="10">
        <v>447350</v>
      </c>
      <c r="U334" s="10">
        <f t="shared" si="7"/>
        <v>447350</v>
      </c>
      <c r="V334" s="10">
        <v>360100</v>
      </c>
      <c r="W334" s="10">
        <f t="shared" si="8"/>
        <v>360100</v>
      </c>
      <c r="X334" s="299">
        <f>T334/H334</f>
        <v>63.193953948297782</v>
      </c>
      <c r="Y334" s="10" t="s">
        <v>58</v>
      </c>
      <c r="Z334" s="61"/>
      <c r="AA334" s="54"/>
      <c r="AB334" s="14" t="s">
        <v>94</v>
      </c>
      <c r="AF334" s="300"/>
    </row>
    <row r="335" spans="1:33">
      <c r="A335" s="2"/>
      <c r="B335" s="11" t="s">
        <v>322</v>
      </c>
      <c r="C335" s="11" t="s">
        <v>35</v>
      </c>
      <c r="D335" s="2">
        <v>100680</v>
      </c>
      <c r="E335" s="4" t="s">
        <v>409</v>
      </c>
      <c r="F335" s="4" t="s">
        <v>414</v>
      </c>
      <c r="G335" s="14" t="s">
        <v>251</v>
      </c>
      <c r="H335" s="7">
        <v>0</v>
      </c>
      <c r="I335" s="7">
        <f t="shared" si="5"/>
        <v>0</v>
      </c>
      <c r="K335" s="4" t="s">
        <v>411</v>
      </c>
      <c r="L335" s="8">
        <v>42114</v>
      </c>
      <c r="M335" s="9">
        <v>46657</v>
      </c>
      <c r="Q335" s="10">
        <v>22317</v>
      </c>
      <c r="R335" s="10">
        <f t="shared" si="6"/>
        <v>22317</v>
      </c>
      <c r="T335" s="10">
        <v>21000</v>
      </c>
      <c r="U335" s="10">
        <f t="shared" si="7"/>
        <v>21000</v>
      </c>
      <c r="V335" s="10">
        <v>0</v>
      </c>
      <c r="W335" s="10">
        <f t="shared" si="8"/>
        <v>0</v>
      </c>
      <c r="X335" s="299"/>
      <c r="Y335" s="10"/>
      <c r="Z335" s="61"/>
      <c r="AA335" s="54"/>
      <c r="AB335" s="14" t="s">
        <v>40</v>
      </c>
      <c r="AF335" s="300"/>
    </row>
    <row r="336" spans="1:33" ht="30" customHeight="1">
      <c r="A336" s="2"/>
      <c r="B336" s="11" t="s">
        <v>322</v>
      </c>
      <c r="C336" s="11" t="s">
        <v>35</v>
      </c>
      <c r="D336" s="2">
        <v>100680</v>
      </c>
      <c r="E336" s="4" t="s">
        <v>409</v>
      </c>
      <c r="F336" s="4" t="s">
        <v>415</v>
      </c>
      <c r="G336" s="11" t="s">
        <v>46</v>
      </c>
      <c r="H336" s="7">
        <v>3030</v>
      </c>
      <c r="I336" s="7">
        <f t="shared" si="5"/>
        <v>3030</v>
      </c>
      <c r="J336" s="7">
        <v>3000</v>
      </c>
      <c r="K336" s="4" t="s">
        <v>416</v>
      </c>
      <c r="L336" s="8">
        <v>45711</v>
      </c>
      <c r="M336" s="9">
        <v>49362</v>
      </c>
      <c r="Q336" s="10">
        <v>250000</v>
      </c>
      <c r="R336" s="10">
        <f t="shared" si="6"/>
        <v>250000</v>
      </c>
      <c r="T336" s="10">
        <v>393300</v>
      </c>
      <c r="U336" s="10">
        <f t="shared" si="7"/>
        <v>393300</v>
      </c>
      <c r="V336" s="10">
        <v>500000</v>
      </c>
      <c r="W336" s="10">
        <f t="shared" si="8"/>
        <v>500000</v>
      </c>
      <c r="X336" s="299">
        <f>T336/H336</f>
        <v>129.80198019801981</v>
      </c>
      <c r="Y336" s="10" t="s">
        <v>39</v>
      </c>
      <c r="Z336" s="61"/>
      <c r="AA336" s="54"/>
      <c r="AB336" s="14" t="s">
        <v>40</v>
      </c>
      <c r="AC336" s="4" t="s">
        <v>417</v>
      </c>
      <c r="AD336" s="325"/>
      <c r="AE336" s="37"/>
      <c r="AF336" s="302"/>
      <c r="AG336" s="37"/>
    </row>
    <row r="337" spans="1:33" ht="28.5" customHeight="1">
      <c r="A337" s="2"/>
      <c r="B337" s="11" t="s">
        <v>322</v>
      </c>
      <c r="C337" s="11" t="s">
        <v>35</v>
      </c>
      <c r="D337" s="2">
        <v>100680</v>
      </c>
      <c r="E337" s="4" t="s">
        <v>409</v>
      </c>
      <c r="F337" s="4" t="s">
        <v>418</v>
      </c>
      <c r="G337" s="14" t="s">
        <v>46</v>
      </c>
      <c r="H337" s="7">
        <v>1296</v>
      </c>
      <c r="I337" s="7">
        <f t="shared" si="5"/>
        <v>1296</v>
      </c>
      <c r="J337" s="7">
        <v>1250</v>
      </c>
      <c r="K337" s="4" t="s">
        <v>419</v>
      </c>
      <c r="L337" s="8">
        <v>44908</v>
      </c>
      <c r="M337" s="9">
        <v>46003</v>
      </c>
      <c r="Q337" s="10">
        <v>295000</v>
      </c>
      <c r="R337" s="10">
        <f t="shared" si="6"/>
        <v>295000</v>
      </c>
      <c r="T337" s="10">
        <v>275300</v>
      </c>
      <c r="U337" s="10">
        <f t="shared" si="7"/>
        <v>275300</v>
      </c>
      <c r="V337" s="10">
        <v>333100</v>
      </c>
      <c r="W337" s="10">
        <f t="shared" si="8"/>
        <v>333100</v>
      </c>
      <c r="X337" s="299">
        <f>T337/H337</f>
        <v>212.42283950617283</v>
      </c>
      <c r="Y337" s="10" t="s">
        <v>58</v>
      </c>
      <c r="Z337" s="61"/>
      <c r="AA337" s="54"/>
      <c r="AB337" s="14" t="s">
        <v>40</v>
      </c>
      <c r="AC337" s="37"/>
      <c r="AD337" s="325"/>
      <c r="AE337" s="37"/>
      <c r="AF337" s="302"/>
      <c r="AG337" s="37"/>
    </row>
    <row r="338" spans="1:33">
      <c r="A338" s="2"/>
      <c r="B338" s="11" t="s">
        <v>322</v>
      </c>
      <c r="C338" s="11" t="s">
        <v>35</v>
      </c>
      <c r="D338" s="2">
        <v>100680</v>
      </c>
      <c r="E338" s="4" t="s">
        <v>409</v>
      </c>
      <c r="F338" s="4" t="s">
        <v>420</v>
      </c>
      <c r="G338" s="14" t="s">
        <v>46</v>
      </c>
      <c r="H338" s="7">
        <v>1690</v>
      </c>
      <c r="I338" s="7">
        <f t="shared" si="5"/>
        <v>1690</v>
      </c>
      <c r="J338" s="7">
        <v>1500</v>
      </c>
      <c r="K338" s="4" t="s">
        <v>421</v>
      </c>
      <c r="L338" s="8">
        <v>42388</v>
      </c>
      <c r="M338" s="9">
        <v>46040</v>
      </c>
      <c r="Q338" s="10">
        <v>500000</v>
      </c>
      <c r="R338" s="10">
        <f t="shared" si="6"/>
        <v>500000</v>
      </c>
      <c r="T338" s="10">
        <v>337700</v>
      </c>
      <c r="U338" s="10">
        <f t="shared" si="7"/>
        <v>337700</v>
      </c>
      <c r="V338" s="10">
        <v>415900</v>
      </c>
      <c r="W338" s="10">
        <f t="shared" si="8"/>
        <v>415900</v>
      </c>
      <c r="X338" s="299">
        <f>T338/H338</f>
        <v>199.82248520710058</v>
      </c>
      <c r="Y338" s="10" t="s">
        <v>58</v>
      </c>
      <c r="Z338" s="61"/>
      <c r="AA338" s="54"/>
      <c r="AB338" s="14" t="s">
        <v>40</v>
      </c>
      <c r="AF338" s="300"/>
    </row>
    <row r="339" spans="1:33" ht="24" customHeight="1">
      <c r="A339" s="2"/>
      <c r="B339" s="11" t="s">
        <v>322</v>
      </c>
      <c r="C339" s="11" t="s">
        <v>35</v>
      </c>
      <c r="D339" s="2">
        <v>100680</v>
      </c>
      <c r="E339" s="4" t="s">
        <v>409</v>
      </c>
      <c r="F339" s="4" t="s">
        <v>422</v>
      </c>
      <c r="G339" s="14" t="s">
        <v>46</v>
      </c>
      <c r="H339" s="7">
        <v>2304</v>
      </c>
      <c r="I339" s="7">
        <f t="shared" si="5"/>
        <v>2304</v>
      </c>
      <c r="J339" s="7">
        <v>2250</v>
      </c>
      <c r="K339" s="4" t="s">
        <v>423</v>
      </c>
      <c r="L339" s="8">
        <v>45017</v>
      </c>
      <c r="M339" s="9">
        <v>45747</v>
      </c>
      <c r="Q339" s="10">
        <v>255000</v>
      </c>
      <c r="R339" s="10">
        <f t="shared" si="6"/>
        <v>255000</v>
      </c>
      <c r="T339" s="10">
        <v>371300</v>
      </c>
      <c r="U339" s="10">
        <f t="shared" si="7"/>
        <v>371300</v>
      </c>
      <c r="V339" s="10">
        <v>426800</v>
      </c>
      <c r="W339" s="10">
        <f t="shared" si="8"/>
        <v>426800</v>
      </c>
      <c r="X339" s="299">
        <f>T339/H339</f>
        <v>161.15451388888889</v>
      </c>
      <c r="Y339" s="10" t="s">
        <v>39</v>
      </c>
      <c r="Z339" s="61"/>
      <c r="AA339" s="54"/>
      <c r="AB339" s="14" t="s">
        <v>40</v>
      </c>
      <c r="AC339" s="4" t="s">
        <v>424</v>
      </c>
      <c r="AF339" s="300"/>
    </row>
    <row r="340" spans="1:33" ht="14.25" customHeight="1">
      <c r="A340" s="2"/>
      <c r="B340" s="11"/>
      <c r="C340" s="11" t="s">
        <v>35</v>
      </c>
      <c r="D340" s="2"/>
      <c r="E340" s="4"/>
      <c r="G340" s="41"/>
      <c r="H340" s="18"/>
      <c r="I340" s="19"/>
      <c r="J340" s="19"/>
      <c r="O340" s="43"/>
      <c r="P340" s="8"/>
      <c r="Q340" s="19"/>
      <c r="R340" s="19"/>
      <c r="S340" s="19"/>
      <c r="T340" s="19"/>
      <c r="U340" s="19"/>
      <c r="V340" s="19"/>
      <c r="W340" s="19"/>
      <c r="X340" s="19"/>
      <c r="Y340" s="19"/>
      <c r="Z340" s="62"/>
      <c r="AA340" s="54"/>
      <c r="AB340" s="14"/>
      <c r="AC340" s="37"/>
      <c r="AD340" s="325"/>
      <c r="AE340" s="37"/>
      <c r="AF340" s="302"/>
      <c r="AG340" s="37"/>
    </row>
    <row r="341" spans="1:33" ht="14.25" customHeight="1">
      <c r="A341" s="2"/>
      <c r="B341" s="11"/>
      <c r="C341" s="11" t="s">
        <v>35</v>
      </c>
      <c r="D341" s="2"/>
      <c r="E341" s="4"/>
      <c r="G341" s="6" t="s">
        <v>425</v>
      </c>
      <c r="I341" s="10"/>
      <c r="J341" s="10"/>
      <c r="K341" s="32"/>
      <c r="T341" s="11"/>
      <c r="U341" s="10"/>
      <c r="V341" s="11"/>
      <c r="W341" s="10"/>
      <c r="X341" s="10"/>
      <c r="Y341" s="10"/>
      <c r="Z341" s="61"/>
      <c r="AA341" s="55"/>
      <c r="AB341" s="14"/>
      <c r="AF341" s="300"/>
    </row>
    <row r="342" spans="1:33" ht="14.25" customHeight="1">
      <c r="A342" s="2"/>
      <c r="B342" s="11"/>
      <c r="C342" s="11" t="s">
        <v>35</v>
      </c>
      <c r="D342" s="2"/>
      <c r="E342" s="4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2"/>
      <c r="AA342" s="54"/>
      <c r="AB342" s="14"/>
      <c r="AF342" s="300"/>
    </row>
    <row r="343" spans="1:33" ht="14.25" customHeight="1">
      <c r="A343" s="2"/>
      <c r="B343" s="11" t="s">
        <v>119</v>
      </c>
      <c r="C343" s="11" t="s">
        <v>35</v>
      </c>
      <c r="D343" s="2">
        <v>550030</v>
      </c>
      <c r="E343" s="4" t="s">
        <v>425</v>
      </c>
      <c r="F343" s="4" t="s">
        <v>317</v>
      </c>
      <c r="G343" s="14" t="s">
        <v>37</v>
      </c>
      <c r="H343" s="7">
        <v>825</v>
      </c>
      <c r="I343" s="10">
        <f>H343</f>
        <v>825</v>
      </c>
      <c r="J343" s="10">
        <v>1000</v>
      </c>
      <c r="K343" s="4" t="s">
        <v>68</v>
      </c>
      <c r="N343" s="9">
        <v>44709</v>
      </c>
      <c r="Q343" s="10">
        <v>0</v>
      </c>
      <c r="R343" s="10">
        <f>Q343</f>
        <v>0</v>
      </c>
      <c r="T343" s="10">
        <v>27200</v>
      </c>
      <c r="U343" s="10">
        <f>T343</f>
        <v>27200</v>
      </c>
      <c r="V343" s="10">
        <v>33000</v>
      </c>
      <c r="W343" s="10">
        <f>V343</f>
        <v>33000</v>
      </c>
      <c r="X343" s="299">
        <f>T343/H343</f>
        <v>32.969696969696969</v>
      </c>
      <c r="Y343" s="10" t="s">
        <v>58</v>
      </c>
      <c r="Z343" s="61"/>
      <c r="AA343" s="54"/>
      <c r="AB343" s="14" t="s">
        <v>40</v>
      </c>
      <c r="AF343" s="300"/>
    </row>
    <row r="344" spans="1:33" ht="14.25" customHeight="1">
      <c r="A344" s="2"/>
      <c r="B344" s="11"/>
      <c r="C344" s="11" t="s">
        <v>35</v>
      </c>
      <c r="D344" s="2"/>
      <c r="E344" s="4"/>
      <c r="G344" s="41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19"/>
      <c r="Z344" s="62"/>
      <c r="AA344" s="54"/>
      <c r="AB344" s="14"/>
      <c r="AF344" s="300"/>
    </row>
    <row r="345" spans="1:33" ht="14.25" customHeight="1">
      <c r="A345" s="2"/>
      <c r="B345" s="11"/>
      <c r="C345" s="11" t="s">
        <v>35</v>
      </c>
      <c r="D345" s="2"/>
      <c r="E345" s="4"/>
      <c r="G345" s="6" t="s">
        <v>426</v>
      </c>
      <c r="I345" s="10"/>
      <c r="J345" s="10"/>
      <c r="K345" s="32"/>
      <c r="P345" s="36"/>
      <c r="T345" s="11"/>
      <c r="U345" s="10"/>
      <c r="V345" s="11"/>
      <c r="W345" s="10"/>
      <c r="X345" s="10"/>
      <c r="Y345" s="10"/>
      <c r="Z345" s="61"/>
      <c r="AA345" s="55"/>
      <c r="AB345" s="14"/>
      <c r="AF345" s="300"/>
    </row>
    <row r="346" spans="1:33" ht="14.25" customHeight="1">
      <c r="A346" s="2"/>
      <c r="B346" s="11"/>
      <c r="C346" s="11" t="s">
        <v>35</v>
      </c>
      <c r="D346" s="2"/>
      <c r="E346" s="4"/>
      <c r="I346" s="10"/>
      <c r="J346" s="10"/>
      <c r="P346" s="36"/>
      <c r="T346" s="10"/>
      <c r="U346" s="10"/>
      <c r="V346" s="10"/>
      <c r="W346" s="10"/>
      <c r="X346" s="10"/>
      <c r="Y346" s="10"/>
      <c r="Z346" s="61"/>
      <c r="AA346" s="55"/>
      <c r="AB346" s="14"/>
      <c r="AF346" s="300"/>
    </row>
    <row r="347" spans="1:33">
      <c r="A347" s="2"/>
      <c r="B347" s="11" t="s">
        <v>119</v>
      </c>
      <c r="C347" s="11" t="s">
        <v>35</v>
      </c>
      <c r="D347" s="2">
        <v>550760</v>
      </c>
      <c r="E347" s="4" t="s">
        <v>426</v>
      </c>
      <c r="F347" s="4" t="s">
        <v>36</v>
      </c>
      <c r="G347" s="14" t="s">
        <v>427</v>
      </c>
      <c r="H347" s="18">
        <v>2085</v>
      </c>
      <c r="I347" s="10">
        <f>H347</f>
        <v>2085</v>
      </c>
      <c r="J347" s="10">
        <v>2000</v>
      </c>
      <c r="K347" s="4" t="s">
        <v>428</v>
      </c>
      <c r="L347" s="8">
        <v>44927</v>
      </c>
      <c r="Q347" s="19">
        <v>89918</v>
      </c>
      <c r="R347" s="10">
        <f>Q347</f>
        <v>89918</v>
      </c>
      <c r="S347" s="19">
        <f>R347</f>
        <v>89918</v>
      </c>
      <c r="T347" s="19">
        <v>80000</v>
      </c>
      <c r="U347" s="10">
        <f>T347</f>
        <v>80000</v>
      </c>
      <c r="V347" s="19">
        <v>79600</v>
      </c>
      <c r="W347" s="10">
        <f>V347</f>
        <v>79600</v>
      </c>
      <c r="X347" s="10"/>
      <c r="Y347" s="10" t="s">
        <v>69</v>
      </c>
      <c r="Z347" s="61"/>
      <c r="AA347" s="19">
        <v>1200000</v>
      </c>
      <c r="AB347" s="14" t="s">
        <v>40</v>
      </c>
      <c r="AC347" s="4" t="s">
        <v>429</v>
      </c>
      <c r="AF347" s="300"/>
    </row>
    <row r="348" spans="1:33" ht="14.25" customHeight="1">
      <c r="A348" s="2"/>
      <c r="B348" s="11"/>
      <c r="C348" s="11"/>
      <c r="D348" s="2"/>
      <c r="E348" s="4"/>
      <c r="F348" s="92" t="s">
        <v>426</v>
      </c>
      <c r="H348" s="33"/>
      <c r="I348" s="18"/>
      <c r="J348" s="18"/>
      <c r="K348" s="34"/>
      <c r="L348" s="35"/>
      <c r="M348" s="36"/>
      <c r="N348" s="36"/>
      <c r="O348" s="36"/>
      <c r="Q348" s="18"/>
      <c r="R348" s="33"/>
      <c r="S348" s="33"/>
      <c r="T348" s="33">
        <f>SUM(T347:T347)</f>
        <v>80000</v>
      </c>
      <c r="U348" s="33"/>
      <c r="V348" s="33">
        <f>SUM(V347:V347)</f>
        <v>79600</v>
      </c>
      <c r="W348" s="33"/>
      <c r="X348" s="33"/>
      <c r="Y348" s="33"/>
      <c r="Z348" s="63"/>
      <c r="AA348" s="19"/>
      <c r="AB348" s="14"/>
      <c r="AF348" s="300"/>
    </row>
    <row r="349" spans="1:33" ht="14.25" customHeight="1">
      <c r="H349" s="18"/>
      <c r="I349" s="18"/>
      <c r="J349" s="18"/>
      <c r="Q349" s="19"/>
      <c r="R349" s="19"/>
      <c r="S349" s="19"/>
      <c r="T349" s="19"/>
      <c r="U349" s="19"/>
      <c r="V349" s="19"/>
      <c r="W349" s="19"/>
      <c r="X349" s="19"/>
      <c r="Y349" s="19"/>
      <c r="Z349" s="62"/>
      <c r="AA349" s="54"/>
      <c r="AB349" s="54"/>
      <c r="AF349" s="300"/>
    </row>
    <row r="350" spans="1:33" ht="14.25" customHeight="1" thickBot="1">
      <c r="F350" s="192" t="s">
        <v>430</v>
      </c>
      <c r="G350" s="193"/>
      <c r="H350" s="194">
        <f>I350</f>
        <v>394091</v>
      </c>
      <c r="I350" s="194">
        <f>SUM(I5:I349)</f>
        <v>394091</v>
      </c>
      <c r="J350" s="194"/>
      <c r="K350" s="195"/>
      <c r="L350" s="196"/>
      <c r="M350" s="197"/>
      <c r="N350" s="197"/>
      <c r="O350" s="197"/>
      <c r="P350" s="197"/>
      <c r="Q350" s="367">
        <f>SUM(R7:R347)</f>
        <v>19695187</v>
      </c>
      <c r="R350" s="198"/>
      <c r="S350" s="198"/>
      <c r="T350" s="194">
        <f>SUM(U7:U347)</f>
        <v>20069654</v>
      </c>
      <c r="U350" s="198"/>
      <c r="V350" s="194">
        <f>SUM(W7:W347)</f>
        <v>21142416</v>
      </c>
      <c r="W350" s="198"/>
      <c r="X350" s="198"/>
      <c r="Y350" s="198"/>
      <c r="Z350" s="199"/>
      <c r="AA350" s="194">
        <f>SUM(AA7:AA347)</f>
        <v>208570000</v>
      </c>
      <c r="AB350" s="200"/>
      <c r="AC350" s="195"/>
      <c r="AD350" s="330"/>
      <c r="AE350" s="236"/>
      <c r="AF350" s="309"/>
      <c r="AG350" s="236"/>
    </row>
    <row r="351" spans="1:33" ht="14.25" customHeight="1" thickTop="1">
      <c r="T351" s="10"/>
      <c r="U351" s="10"/>
      <c r="V351" s="10"/>
      <c r="W351" s="10"/>
      <c r="X351" s="10"/>
      <c r="Y351" s="10"/>
      <c r="Z351" s="61"/>
      <c r="AA351" s="55"/>
      <c r="AF351" s="300"/>
    </row>
    <row r="352" spans="1:33" ht="13" customHeight="1">
      <c r="F352" s="146"/>
      <c r="G352" s="147"/>
      <c r="H352" s="148"/>
      <c r="I352" s="148"/>
      <c r="J352" s="148"/>
      <c r="K352" s="146"/>
      <c r="L352" s="149"/>
      <c r="M352" s="149"/>
      <c r="N352" s="149"/>
      <c r="O352" s="149"/>
      <c r="P352" s="149"/>
      <c r="Q352" s="150"/>
      <c r="R352" s="150"/>
      <c r="T352" s="150"/>
      <c r="U352" s="150"/>
      <c r="V352" s="150"/>
      <c r="W352" s="150"/>
      <c r="X352" s="150"/>
      <c r="Y352" s="150"/>
      <c r="Z352" s="147"/>
      <c r="AA352" s="147"/>
      <c r="AB352" s="147"/>
      <c r="AC352" s="146"/>
      <c r="AD352" s="331"/>
      <c r="AE352" s="146"/>
      <c r="AF352" s="310"/>
      <c r="AG352" s="146"/>
    </row>
    <row r="353" spans="2:33" ht="13" customHeight="1">
      <c r="F353" s="146"/>
      <c r="G353" s="151" t="s">
        <v>431</v>
      </c>
      <c r="H353" s="148"/>
      <c r="I353" s="148"/>
      <c r="J353" s="148"/>
      <c r="K353" s="146"/>
      <c r="L353" s="149"/>
      <c r="M353" s="149"/>
      <c r="N353" s="149"/>
      <c r="O353" s="149"/>
      <c r="P353" s="149"/>
      <c r="Q353" s="150"/>
      <c r="R353" s="150"/>
      <c r="T353" s="150"/>
      <c r="U353" s="150"/>
      <c r="V353" s="150"/>
      <c r="W353" s="150"/>
      <c r="X353" s="150"/>
      <c r="Y353" s="150"/>
      <c r="Z353" s="147"/>
      <c r="AA353" s="147"/>
      <c r="AB353" s="147"/>
      <c r="AC353" s="146"/>
      <c r="AD353" s="331"/>
      <c r="AE353" s="146"/>
      <c r="AF353" s="310"/>
      <c r="AG353" s="146"/>
    </row>
    <row r="354" spans="2:33" ht="13" customHeight="1">
      <c r="F354" s="146"/>
      <c r="G354" s="147"/>
      <c r="H354" s="148"/>
      <c r="I354" s="148"/>
      <c r="J354" s="148"/>
      <c r="K354" s="146"/>
      <c r="L354" s="149"/>
      <c r="M354" s="149"/>
      <c r="N354" s="149"/>
      <c r="O354" s="149"/>
      <c r="P354" s="149"/>
      <c r="Q354" s="150"/>
      <c r="R354" s="150"/>
      <c r="T354" s="150"/>
      <c r="U354" s="150"/>
      <c r="V354" s="150"/>
      <c r="W354" s="150"/>
      <c r="X354" s="150"/>
      <c r="Y354" s="150"/>
      <c r="Z354" s="147"/>
      <c r="AA354" s="147"/>
      <c r="AB354" s="147"/>
      <c r="AC354" s="146"/>
      <c r="AD354" s="331"/>
      <c r="AE354" s="146"/>
      <c r="AF354" s="310"/>
      <c r="AG354" s="146"/>
    </row>
    <row r="355" spans="2:33" s="1" customFormat="1" ht="16.5" customHeight="1">
      <c r="B355" s="11" t="s">
        <v>97</v>
      </c>
      <c r="C355" s="11" t="s">
        <v>432</v>
      </c>
      <c r="D355" s="170">
        <v>800200</v>
      </c>
      <c r="E355" s="170" t="s">
        <v>431</v>
      </c>
      <c r="F355" s="170" t="s">
        <v>36</v>
      </c>
      <c r="G355" s="171" t="s">
        <v>433</v>
      </c>
      <c r="H355" s="172">
        <v>3122</v>
      </c>
      <c r="I355" s="173">
        <f>H355</f>
        <v>3122</v>
      </c>
      <c r="J355" s="173">
        <v>3000</v>
      </c>
      <c r="K355" s="170" t="s">
        <v>434</v>
      </c>
      <c r="L355" s="174">
        <v>42580</v>
      </c>
      <c r="M355" s="174">
        <v>46231</v>
      </c>
      <c r="N355" s="174"/>
      <c r="O355" s="174">
        <v>44406</v>
      </c>
      <c r="P355" s="174"/>
      <c r="Q355" s="175">
        <v>170000</v>
      </c>
      <c r="R355" s="172">
        <f>Q355</f>
        <v>170000</v>
      </c>
      <c r="S355" s="10"/>
      <c r="T355" s="175">
        <v>124100</v>
      </c>
      <c r="U355" s="173">
        <f>T355</f>
        <v>124100</v>
      </c>
      <c r="V355" s="175">
        <v>124100</v>
      </c>
      <c r="W355" s="173">
        <f>V355</f>
        <v>124100</v>
      </c>
      <c r="X355" s="299">
        <f>T355/H355</f>
        <v>39.750160153747601</v>
      </c>
      <c r="Y355" s="173" t="s">
        <v>76</v>
      </c>
      <c r="Z355" s="171"/>
      <c r="AA355" s="172">
        <v>1325000</v>
      </c>
      <c r="AB355" s="176" t="s">
        <v>40</v>
      </c>
      <c r="AC355" s="170"/>
      <c r="AD355" s="332"/>
      <c r="AE355" s="170"/>
      <c r="AF355" s="311"/>
      <c r="AG355" s="170"/>
    </row>
    <row r="356" spans="2:33" ht="13" customHeight="1">
      <c r="D356" s="152"/>
      <c r="E356" s="152"/>
      <c r="F356" s="146"/>
      <c r="G356" s="147"/>
      <c r="H356" s="148"/>
      <c r="I356" s="148"/>
      <c r="J356" s="148"/>
      <c r="K356" s="146"/>
      <c r="L356" s="149"/>
      <c r="M356" s="149"/>
      <c r="N356" s="149"/>
      <c r="O356" s="149"/>
      <c r="P356" s="149"/>
      <c r="Q356" s="150"/>
      <c r="R356" s="148"/>
      <c r="T356" s="150"/>
      <c r="U356" s="148"/>
      <c r="V356" s="150"/>
      <c r="W356" s="148"/>
      <c r="X356" s="148"/>
      <c r="Y356" s="148"/>
      <c r="Z356" s="153"/>
      <c r="AA356" s="147"/>
      <c r="AB356" s="153"/>
      <c r="AC356" s="146"/>
      <c r="AD356" s="331"/>
      <c r="AE356" s="146"/>
      <c r="AF356" s="310"/>
      <c r="AG356" s="146"/>
    </row>
    <row r="357" spans="2:33" ht="13" customHeight="1">
      <c r="D357" s="152"/>
      <c r="E357" s="152"/>
      <c r="F357" s="146"/>
      <c r="G357" s="147"/>
      <c r="H357" s="148"/>
      <c r="I357" s="148"/>
      <c r="J357" s="148"/>
      <c r="K357" s="146"/>
      <c r="L357" s="149"/>
      <c r="M357" s="149"/>
      <c r="N357" s="149"/>
      <c r="O357" s="149"/>
      <c r="P357" s="149"/>
      <c r="Q357" s="150"/>
      <c r="R357" s="148"/>
      <c r="T357" s="150"/>
      <c r="U357" s="148"/>
      <c r="V357" s="150"/>
      <c r="W357" s="148"/>
      <c r="X357" s="148"/>
      <c r="Y357" s="148"/>
      <c r="Z357" s="147"/>
      <c r="AA357" s="147"/>
      <c r="AB357" s="147"/>
      <c r="AC357" s="146"/>
      <c r="AD357" s="331"/>
      <c r="AE357" s="146"/>
      <c r="AF357" s="310"/>
      <c r="AG357" s="146"/>
    </row>
    <row r="358" spans="2:33" ht="13" customHeight="1">
      <c r="D358" s="152"/>
      <c r="E358" s="152"/>
      <c r="F358" s="146"/>
      <c r="G358" s="151" t="s">
        <v>435</v>
      </c>
      <c r="H358" s="148"/>
      <c r="I358" s="148"/>
      <c r="J358" s="148"/>
      <c r="K358" s="146"/>
      <c r="L358" s="149"/>
      <c r="M358" s="149"/>
      <c r="N358" s="149"/>
      <c r="O358" s="149"/>
      <c r="P358" s="149"/>
      <c r="Q358" s="150"/>
      <c r="R358" s="148"/>
      <c r="T358" s="150"/>
      <c r="U358" s="148"/>
      <c r="V358" s="150"/>
      <c r="W358" s="148"/>
      <c r="X358" s="148"/>
      <c r="Y358" s="148"/>
      <c r="Z358" s="147"/>
      <c r="AA358" s="147"/>
      <c r="AB358" s="147"/>
      <c r="AC358" s="146"/>
      <c r="AD358" s="331"/>
      <c r="AE358" s="146"/>
      <c r="AF358" s="310"/>
      <c r="AG358" s="146"/>
    </row>
    <row r="359" spans="2:33" ht="13" customHeight="1">
      <c r="D359" s="152"/>
      <c r="E359" s="152"/>
      <c r="F359" s="146"/>
      <c r="G359" s="147"/>
      <c r="H359" s="148"/>
      <c r="I359" s="148"/>
      <c r="J359" s="148"/>
      <c r="K359" s="146"/>
      <c r="L359" s="149"/>
      <c r="M359" s="149"/>
      <c r="N359" s="149"/>
      <c r="O359" s="149"/>
      <c r="P359" s="149"/>
      <c r="Q359" s="150"/>
      <c r="R359" s="148"/>
      <c r="T359" s="150"/>
      <c r="U359" s="148"/>
      <c r="V359" s="150"/>
      <c r="W359" s="148"/>
      <c r="X359" s="148"/>
      <c r="Y359" s="148"/>
      <c r="Z359" s="147"/>
      <c r="AA359" s="147"/>
      <c r="AB359" s="147"/>
      <c r="AC359" s="146"/>
      <c r="AD359" s="331"/>
      <c r="AE359" s="146"/>
      <c r="AF359" s="310"/>
      <c r="AG359" s="146"/>
    </row>
    <row r="360" spans="2:33" s="1" customFormat="1" ht="12" customHeight="1">
      <c r="B360" s="11" t="s">
        <v>97</v>
      </c>
      <c r="C360" s="11" t="s">
        <v>432</v>
      </c>
      <c r="D360" s="170">
        <v>800100</v>
      </c>
      <c r="E360" s="170" t="s">
        <v>435</v>
      </c>
      <c r="F360" s="170" t="s">
        <v>139</v>
      </c>
      <c r="G360" s="171" t="s">
        <v>83</v>
      </c>
      <c r="H360" s="173">
        <v>4332</v>
      </c>
      <c r="I360" s="173">
        <f>H360</f>
        <v>4332</v>
      </c>
      <c r="J360" s="173">
        <v>4250</v>
      </c>
      <c r="K360" s="116" t="s">
        <v>436</v>
      </c>
      <c r="L360" s="174">
        <v>41789</v>
      </c>
      <c r="M360" s="174">
        <v>47267</v>
      </c>
      <c r="N360" s="174"/>
      <c r="O360" s="174"/>
      <c r="P360" s="174"/>
      <c r="Q360" s="176">
        <v>255000</v>
      </c>
      <c r="R360" s="173">
        <f>Q360</f>
        <v>255000</v>
      </c>
      <c r="S360" s="10"/>
      <c r="T360" s="176">
        <v>290500</v>
      </c>
      <c r="U360" s="173">
        <f>T360</f>
        <v>290500</v>
      </c>
      <c r="V360" s="176">
        <v>290500</v>
      </c>
      <c r="W360" s="173">
        <f>V360</f>
        <v>290500</v>
      </c>
      <c r="X360" s="299">
        <f>T360/H360</f>
        <v>67.059095106186518</v>
      </c>
      <c r="Y360" s="173" t="s">
        <v>69</v>
      </c>
      <c r="Z360" s="177" t="s">
        <v>25</v>
      </c>
      <c r="AA360" s="177"/>
      <c r="AB360" s="176" t="s">
        <v>40</v>
      </c>
      <c r="AC360" s="170" t="s">
        <v>437</v>
      </c>
      <c r="AD360" s="332"/>
      <c r="AE360" s="170"/>
      <c r="AF360" s="311"/>
      <c r="AG360" s="170"/>
    </row>
    <row r="361" spans="2:33" ht="13" customHeight="1">
      <c r="D361" s="152"/>
      <c r="E361" s="152"/>
      <c r="F361" s="146"/>
      <c r="G361" s="147"/>
      <c r="H361" s="148"/>
      <c r="I361" s="159"/>
      <c r="J361" s="159"/>
      <c r="K361" s="157"/>
      <c r="L361" s="149"/>
      <c r="M361" s="149"/>
      <c r="N361" s="149"/>
      <c r="O361" s="149"/>
      <c r="P361" s="149"/>
      <c r="Q361" s="150"/>
      <c r="R361" s="150"/>
      <c r="T361" s="150"/>
      <c r="U361" s="155"/>
      <c r="V361" s="150"/>
      <c r="W361" s="155"/>
      <c r="X361" s="155"/>
      <c r="Y361" s="155"/>
      <c r="Z361" s="147"/>
      <c r="AA361" s="147"/>
      <c r="AB361" s="147"/>
      <c r="AC361" s="152"/>
      <c r="AD361" s="333"/>
      <c r="AE361" s="152"/>
      <c r="AF361" s="312"/>
      <c r="AG361" s="152"/>
    </row>
    <row r="362" spans="2:33" ht="13" customHeight="1">
      <c r="D362" s="152"/>
      <c r="E362" s="152"/>
      <c r="F362" s="146"/>
      <c r="G362" s="147"/>
      <c r="H362" s="148"/>
      <c r="I362" s="159"/>
      <c r="J362" s="159"/>
      <c r="K362" s="157"/>
      <c r="L362" s="149"/>
      <c r="M362" s="149"/>
      <c r="N362" s="149"/>
      <c r="O362" s="149"/>
      <c r="P362" s="149"/>
      <c r="Q362" s="150"/>
      <c r="R362" s="150"/>
      <c r="T362" s="150"/>
      <c r="U362" s="155"/>
      <c r="V362" s="150"/>
      <c r="W362" s="155"/>
      <c r="X362" s="155"/>
      <c r="Y362" s="155"/>
      <c r="Z362" s="147"/>
      <c r="AA362" s="147"/>
      <c r="AB362" s="147"/>
      <c r="AC362" s="152"/>
      <c r="AD362" s="333"/>
      <c r="AE362" s="152"/>
      <c r="AF362" s="312"/>
      <c r="AG362" s="152"/>
    </row>
    <row r="363" spans="2:33" ht="13" customHeight="1">
      <c r="D363" s="152"/>
      <c r="E363" s="152"/>
      <c r="F363" s="146"/>
      <c r="G363" s="151" t="s">
        <v>438</v>
      </c>
      <c r="H363" s="148"/>
      <c r="I363" s="159"/>
      <c r="J363" s="159"/>
      <c r="K363" s="157"/>
      <c r="L363" s="149"/>
      <c r="M363" s="149"/>
      <c r="N363" s="149"/>
      <c r="O363" s="149"/>
      <c r="P363" s="149"/>
      <c r="Q363" s="150"/>
      <c r="R363" s="150"/>
      <c r="T363" s="150"/>
      <c r="U363" s="155"/>
      <c r="V363" s="150"/>
      <c r="W363" s="155"/>
      <c r="X363" s="155"/>
      <c r="Y363" s="155"/>
      <c r="Z363" s="147"/>
      <c r="AA363" s="147"/>
      <c r="AB363" s="147"/>
      <c r="AC363" s="152"/>
      <c r="AD363" s="333"/>
      <c r="AE363" s="152"/>
      <c r="AF363" s="312"/>
      <c r="AG363" s="152"/>
    </row>
    <row r="364" spans="2:33" ht="13" customHeight="1">
      <c r="D364" s="152"/>
      <c r="E364" s="152"/>
      <c r="F364" s="146"/>
      <c r="G364" s="147"/>
      <c r="H364" s="148"/>
      <c r="I364" s="159"/>
      <c r="J364" s="159"/>
      <c r="K364" s="157"/>
      <c r="L364" s="149"/>
      <c r="M364" s="149"/>
      <c r="N364" s="149"/>
      <c r="O364" s="149"/>
      <c r="P364" s="149"/>
      <c r="Q364" s="150"/>
      <c r="R364" s="150"/>
      <c r="T364" s="150"/>
      <c r="U364" s="155"/>
      <c r="V364" s="150"/>
      <c r="W364" s="155"/>
      <c r="X364" s="155"/>
      <c r="Y364" s="155"/>
      <c r="Z364" s="147"/>
      <c r="AA364" s="147"/>
      <c r="AB364" s="147"/>
      <c r="AC364" s="152"/>
      <c r="AD364" s="333"/>
      <c r="AE364" s="152"/>
      <c r="AF364" s="312"/>
      <c r="AG364" s="152"/>
    </row>
    <row r="365" spans="2:33" s="1" customFormat="1" ht="12" customHeight="1">
      <c r="B365" s="11" t="s">
        <v>97</v>
      </c>
      <c r="C365" s="11" t="s">
        <v>432</v>
      </c>
      <c r="D365" s="170">
        <v>800400</v>
      </c>
      <c r="E365" s="170" t="s">
        <v>438</v>
      </c>
      <c r="F365" s="170" t="s">
        <v>36</v>
      </c>
      <c r="G365" s="171" t="s">
        <v>433</v>
      </c>
      <c r="H365" s="172">
        <v>2598</v>
      </c>
      <c r="I365" s="173">
        <f>H365</f>
        <v>2598</v>
      </c>
      <c r="J365" s="173">
        <v>2500</v>
      </c>
      <c r="K365" s="116" t="s">
        <v>439</v>
      </c>
      <c r="L365" s="174">
        <v>43070</v>
      </c>
      <c r="M365" s="174">
        <v>46721</v>
      </c>
      <c r="N365" s="174"/>
      <c r="O365" s="174">
        <v>44896</v>
      </c>
      <c r="P365" s="174"/>
      <c r="Q365" s="172">
        <v>155000</v>
      </c>
      <c r="R365" s="172">
        <f>Q365</f>
        <v>155000</v>
      </c>
      <c r="S365" s="10"/>
      <c r="T365" s="172">
        <v>118500</v>
      </c>
      <c r="U365" s="173">
        <f>T365</f>
        <v>118500</v>
      </c>
      <c r="V365" s="172">
        <v>121500</v>
      </c>
      <c r="W365" s="173">
        <f>V365</f>
        <v>121500</v>
      </c>
      <c r="X365" s="173"/>
      <c r="Y365" s="173" t="s">
        <v>243</v>
      </c>
      <c r="Z365" s="179"/>
      <c r="AA365" s="172">
        <v>2200000</v>
      </c>
      <c r="AB365" s="176" t="s">
        <v>40</v>
      </c>
      <c r="AC365" s="4"/>
      <c r="AD365" s="322"/>
      <c r="AE365" s="29"/>
      <c r="AF365" s="301"/>
      <c r="AG365" s="29"/>
    </row>
    <row r="366" spans="2:33" ht="13" customHeight="1">
      <c r="F366" s="152"/>
      <c r="G366" s="147"/>
      <c r="H366" s="154"/>
      <c r="I366" s="164"/>
      <c r="J366" s="164"/>
      <c r="K366" s="157"/>
      <c r="L366" s="149"/>
      <c r="M366" s="149"/>
      <c r="N366" s="149"/>
      <c r="O366" s="149"/>
      <c r="P366" s="149"/>
      <c r="Q366" s="150"/>
      <c r="R366" s="150"/>
      <c r="T366" s="150"/>
      <c r="U366" s="150"/>
      <c r="V366" s="150"/>
      <c r="W366" s="150"/>
      <c r="X366" s="150"/>
      <c r="Y366" s="150"/>
      <c r="Z366" s="147"/>
      <c r="AA366" s="154"/>
      <c r="AB366" s="147"/>
      <c r="AC366" s="152"/>
      <c r="AD366" s="333"/>
      <c r="AE366" s="152"/>
      <c r="AF366" s="312"/>
      <c r="AG366" s="152"/>
    </row>
    <row r="367" spans="2:33" ht="13" customHeight="1">
      <c r="F367" s="146"/>
      <c r="G367" s="147"/>
      <c r="H367" s="148"/>
      <c r="I367" s="148"/>
      <c r="J367" s="148"/>
      <c r="K367" s="157"/>
      <c r="L367" s="149"/>
      <c r="M367" s="149"/>
      <c r="N367" s="149"/>
      <c r="O367" s="149"/>
      <c r="P367" s="149"/>
      <c r="Q367" s="150"/>
      <c r="R367" s="150"/>
      <c r="T367" s="150"/>
      <c r="U367" s="150"/>
      <c r="V367" s="150"/>
      <c r="W367" s="150"/>
      <c r="X367" s="150"/>
      <c r="Y367" s="150"/>
      <c r="Z367" s="147"/>
      <c r="AA367" s="147"/>
      <c r="AB367" s="147"/>
      <c r="AC367" s="152"/>
      <c r="AD367" s="333"/>
      <c r="AE367" s="152"/>
      <c r="AF367" s="312"/>
      <c r="AG367" s="152"/>
    </row>
    <row r="368" spans="2:33" ht="13" customHeight="1">
      <c r="F368" s="146"/>
      <c r="G368" s="151" t="s">
        <v>440</v>
      </c>
      <c r="H368" s="148"/>
      <c r="I368" s="148"/>
      <c r="J368" s="148"/>
      <c r="K368" s="157"/>
      <c r="L368" s="149"/>
      <c r="M368" s="149"/>
      <c r="N368" s="149"/>
      <c r="O368" s="149"/>
      <c r="P368" s="149"/>
      <c r="Q368" s="150"/>
      <c r="R368" s="150"/>
      <c r="T368" s="150"/>
      <c r="U368" s="150"/>
      <c r="V368" s="150"/>
      <c r="W368" s="150"/>
      <c r="X368" s="150"/>
      <c r="Y368" s="150"/>
      <c r="Z368" s="147"/>
      <c r="AA368" s="147"/>
      <c r="AB368" s="147"/>
      <c r="AC368" s="152"/>
      <c r="AD368" s="333"/>
      <c r="AE368" s="152"/>
      <c r="AF368" s="312"/>
      <c r="AG368" s="152"/>
    </row>
    <row r="369" spans="2:33" ht="13" customHeight="1">
      <c r="F369" s="146"/>
      <c r="G369" s="147"/>
      <c r="H369" s="148"/>
      <c r="I369" s="164"/>
      <c r="J369" s="164"/>
      <c r="K369" s="157"/>
      <c r="L369" s="149"/>
      <c r="M369" s="149"/>
      <c r="N369" s="149"/>
      <c r="O369" s="149"/>
      <c r="P369" s="149"/>
      <c r="Q369" s="150"/>
      <c r="R369" s="150"/>
      <c r="T369" s="150"/>
      <c r="U369" s="150"/>
      <c r="V369" s="150"/>
      <c r="W369" s="150"/>
      <c r="X369" s="150"/>
      <c r="Y369" s="150"/>
      <c r="Z369" s="147"/>
      <c r="AA369" s="147"/>
      <c r="AB369" s="147"/>
      <c r="AC369" s="152"/>
      <c r="AD369" s="333"/>
      <c r="AE369" s="152"/>
      <c r="AF369" s="312"/>
      <c r="AG369" s="152"/>
    </row>
    <row r="370" spans="2:33" s="180" customFormat="1" ht="12" customHeight="1">
      <c r="B370" s="11" t="s">
        <v>119</v>
      </c>
      <c r="C370" s="11" t="s">
        <v>432</v>
      </c>
      <c r="D370" s="170">
        <v>800300</v>
      </c>
      <c r="E370" s="170" t="s">
        <v>440</v>
      </c>
      <c r="F370" s="170" t="s">
        <v>36</v>
      </c>
      <c r="G370" s="225" t="s">
        <v>124</v>
      </c>
      <c r="H370" s="172">
        <v>19812</v>
      </c>
      <c r="I370" s="181">
        <f>H370</f>
        <v>19812</v>
      </c>
      <c r="J370" s="181">
        <v>20000</v>
      </c>
      <c r="K370" s="116" t="s">
        <v>441</v>
      </c>
      <c r="L370" s="174">
        <v>44986</v>
      </c>
      <c r="M370" s="174">
        <v>50464</v>
      </c>
      <c r="N370" s="174"/>
      <c r="O370" s="174">
        <v>46813</v>
      </c>
      <c r="P370" s="174"/>
      <c r="Q370" s="175">
        <v>729167</v>
      </c>
      <c r="R370" s="173">
        <f>Q370</f>
        <v>729167</v>
      </c>
      <c r="T370" s="175">
        <v>1250000</v>
      </c>
      <c r="U370" s="173">
        <f>T370</f>
        <v>1250000</v>
      </c>
      <c r="V370" s="175">
        <v>1250000</v>
      </c>
      <c r="W370" s="173">
        <f>V370</f>
        <v>1250000</v>
      </c>
      <c r="X370" s="173"/>
      <c r="Y370" s="173" t="s">
        <v>58</v>
      </c>
      <c r="Z370" s="182"/>
      <c r="AA370" s="172">
        <v>22175000</v>
      </c>
      <c r="AB370" s="176" t="s">
        <v>40</v>
      </c>
      <c r="AC370" s="170" t="s">
        <v>442</v>
      </c>
      <c r="AD370" s="332"/>
      <c r="AE370" s="170"/>
      <c r="AF370" s="311"/>
      <c r="AG370" s="170"/>
    </row>
    <row r="371" spans="2:33" ht="13" customHeight="1">
      <c r="F371" s="152"/>
      <c r="G371" s="153"/>
      <c r="H371" s="155"/>
      <c r="I371" s="165"/>
      <c r="J371" s="165"/>
      <c r="K371" s="157"/>
      <c r="L371" s="166"/>
      <c r="M371" s="166"/>
      <c r="N371" s="166"/>
      <c r="O371" s="166"/>
      <c r="P371" s="166"/>
      <c r="Q371" s="167"/>
      <c r="R371" s="167"/>
      <c r="T371" s="167"/>
      <c r="U371" s="167"/>
      <c r="V371" s="167"/>
      <c r="W371" s="167"/>
      <c r="X371" s="167"/>
      <c r="Y371" s="167"/>
      <c r="Z371" s="158"/>
      <c r="AA371" s="158"/>
      <c r="AB371" s="158"/>
      <c r="AC371" s="152"/>
      <c r="AD371" s="333"/>
      <c r="AE371" s="152"/>
      <c r="AF371" s="312"/>
      <c r="AG371" s="152"/>
    </row>
    <row r="372" spans="2:33" ht="13" customHeight="1">
      <c r="F372" s="152"/>
      <c r="G372" s="153"/>
      <c r="H372" s="155"/>
      <c r="I372" s="165"/>
      <c r="J372" s="165"/>
      <c r="K372" s="157"/>
      <c r="L372" s="166"/>
      <c r="M372" s="166"/>
      <c r="N372" s="166"/>
      <c r="O372" s="166"/>
      <c r="P372" s="166"/>
      <c r="Q372" s="167"/>
      <c r="R372" s="167"/>
      <c r="T372" s="167"/>
      <c r="U372" s="167"/>
      <c r="V372" s="167"/>
      <c r="W372" s="167"/>
      <c r="X372" s="167"/>
      <c r="Y372" s="167"/>
      <c r="Z372" s="158"/>
      <c r="AA372" s="158"/>
      <c r="AB372" s="158"/>
      <c r="AC372" s="152"/>
      <c r="AD372" s="333"/>
      <c r="AE372" s="152"/>
      <c r="AF372" s="312"/>
      <c r="AG372" s="152"/>
    </row>
    <row r="373" spans="2:33" ht="13" customHeight="1">
      <c r="F373" s="152"/>
      <c r="G373" s="151" t="s">
        <v>443</v>
      </c>
      <c r="H373" s="155"/>
      <c r="I373" s="165"/>
      <c r="J373" s="165"/>
      <c r="K373" s="157"/>
      <c r="L373" s="166"/>
      <c r="M373" s="166"/>
      <c r="N373" s="166"/>
      <c r="O373" s="166"/>
      <c r="P373" s="166"/>
      <c r="Q373" s="167"/>
      <c r="R373" s="167"/>
      <c r="T373" s="167"/>
      <c r="U373" s="167"/>
      <c r="V373" s="167"/>
      <c r="W373" s="167"/>
      <c r="X373" s="167"/>
      <c r="Y373" s="167"/>
      <c r="Z373" s="158"/>
      <c r="AA373" s="158"/>
      <c r="AB373" s="158"/>
      <c r="AC373" s="152"/>
      <c r="AD373" s="333"/>
      <c r="AE373" s="152"/>
      <c r="AF373" s="312"/>
      <c r="AG373" s="152"/>
    </row>
    <row r="374" spans="2:33" ht="13" customHeight="1">
      <c r="F374" s="152"/>
      <c r="G374" s="153"/>
      <c r="H374" s="155"/>
      <c r="I374" s="165"/>
      <c r="J374" s="165"/>
      <c r="K374" s="157"/>
      <c r="L374" s="166"/>
      <c r="M374" s="166"/>
      <c r="N374" s="166"/>
      <c r="O374" s="166"/>
      <c r="P374" s="166"/>
      <c r="Q374" s="167"/>
      <c r="R374" s="167"/>
      <c r="T374" s="167"/>
      <c r="U374" s="167"/>
      <c r="V374" s="167"/>
      <c r="W374" s="167"/>
      <c r="X374" s="167"/>
      <c r="Y374" s="167"/>
      <c r="Z374" s="158"/>
      <c r="AA374" s="158"/>
      <c r="AB374" s="158"/>
      <c r="AC374" s="152"/>
      <c r="AD374" s="333"/>
      <c r="AE374" s="152"/>
      <c r="AF374" s="312"/>
      <c r="AG374" s="152"/>
    </row>
    <row r="375" spans="2:33" s="1" customFormat="1" ht="23.25" customHeight="1">
      <c r="B375" s="11" t="s">
        <v>60</v>
      </c>
      <c r="C375" s="11" t="s">
        <v>432</v>
      </c>
      <c r="D375" s="170">
        <v>800500</v>
      </c>
      <c r="E375" s="170" t="s">
        <v>443</v>
      </c>
      <c r="F375" s="170" t="s">
        <v>87</v>
      </c>
      <c r="G375" s="171" t="s">
        <v>120</v>
      </c>
      <c r="H375" s="173">
        <v>1582</v>
      </c>
      <c r="I375" s="181">
        <f>H375</f>
        <v>1582</v>
      </c>
      <c r="J375" s="181">
        <v>1500</v>
      </c>
      <c r="K375" s="116" t="s">
        <v>444</v>
      </c>
      <c r="L375" s="174">
        <v>43514</v>
      </c>
      <c r="M375" s="174">
        <v>46982</v>
      </c>
      <c r="N375" s="174"/>
      <c r="O375" s="174">
        <v>45340</v>
      </c>
      <c r="P375" s="174"/>
      <c r="Q375" s="176">
        <v>70000</v>
      </c>
      <c r="R375" s="173">
        <f>Q375</f>
        <v>70000</v>
      </c>
      <c r="S375" s="10"/>
      <c r="T375" s="176">
        <v>63300</v>
      </c>
      <c r="U375" s="173">
        <f>T375</f>
        <v>63300</v>
      </c>
      <c r="V375" s="176">
        <v>63300</v>
      </c>
      <c r="W375" s="173">
        <f>V375</f>
        <v>63300</v>
      </c>
      <c r="X375" s="299">
        <f>T375/H375</f>
        <v>40.012642225031605</v>
      </c>
      <c r="Y375" s="173" t="s">
        <v>39</v>
      </c>
      <c r="Z375" s="182"/>
      <c r="AA375" s="172"/>
      <c r="AB375" s="176" t="s">
        <v>40</v>
      </c>
      <c r="AC375" s="170"/>
      <c r="AD375" s="332"/>
      <c r="AE375" s="170"/>
      <c r="AF375" s="311"/>
      <c r="AG375" s="170"/>
    </row>
    <row r="376" spans="2:33" ht="13" customHeight="1">
      <c r="F376" s="152"/>
      <c r="G376" s="153"/>
      <c r="H376" s="155"/>
      <c r="I376" s="165"/>
      <c r="J376" s="165"/>
      <c r="K376" s="157"/>
      <c r="L376" s="166"/>
      <c r="M376" s="166"/>
      <c r="N376" s="166"/>
      <c r="O376" s="166"/>
      <c r="P376" s="166"/>
      <c r="Q376" s="167"/>
      <c r="R376" s="167"/>
      <c r="T376" s="167"/>
      <c r="U376" s="167"/>
      <c r="V376" s="167"/>
      <c r="W376" s="167"/>
      <c r="X376" s="167"/>
      <c r="Y376" s="167"/>
      <c r="Z376" s="158"/>
      <c r="AA376" s="158"/>
      <c r="AB376" s="158"/>
      <c r="AC376" s="152"/>
      <c r="AD376" s="333"/>
      <c r="AE376" s="152"/>
      <c r="AF376" s="312"/>
      <c r="AG376" s="152"/>
    </row>
    <row r="377" spans="2:33" ht="13" customHeight="1">
      <c r="F377" s="152"/>
      <c r="G377" s="153"/>
      <c r="H377" s="155"/>
      <c r="I377" s="165"/>
      <c r="J377" s="165"/>
      <c r="K377" s="157"/>
      <c r="L377" s="166"/>
      <c r="M377" s="166"/>
      <c r="N377" s="166"/>
      <c r="O377" s="166"/>
      <c r="P377" s="166"/>
      <c r="Q377" s="167"/>
      <c r="R377" s="167"/>
      <c r="T377" s="167"/>
      <c r="U377" s="167"/>
      <c r="V377" s="167"/>
      <c r="W377" s="167"/>
      <c r="X377" s="167"/>
      <c r="Y377" s="167"/>
      <c r="Z377" s="158"/>
      <c r="AA377" s="158"/>
      <c r="AB377" s="158"/>
      <c r="AC377" s="152"/>
      <c r="AD377" s="333"/>
      <c r="AE377" s="152"/>
      <c r="AF377" s="312"/>
      <c r="AG377" s="152"/>
    </row>
    <row r="378" spans="2:33" ht="13" customHeight="1">
      <c r="F378" s="152"/>
      <c r="G378" s="151" t="s">
        <v>445</v>
      </c>
      <c r="H378" s="155"/>
      <c r="I378" s="165"/>
      <c r="J378" s="165"/>
      <c r="K378" s="157"/>
      <c r="L378" s="166"/>
      <c r="M378" s="166"/>
      <c r="N378" s="166"/>
      <c r="O378" s="166"/>
      <c r="P378" s="166"/>
      <c r="Q378" s="167"/>
      <c r="R378" s="167"/>
      <c r="T378" s="167"/>
      <c r="U378" s="167"/>
      <c r="V378" s="167"/>
      <c r="W378" s="167"/>
      <c r="X378" s="167"/>
      <c r="Y378" s="167"/>
      <c r="Z378" s="158"/>
      <c r="AA378" s="158"/>
      <c r="AB378" s="158"/>
      <c r="AC378" s="152"/>
      <c r="AD378" s="333"/>
      <c r="AE378" s="152"/>
      <c r="AF378" s="312"/>
      <c r="AG378" s="152"/>
    </row>
    <row r="379" spans="2:33" ht="13" customHeight="1">
      <c r="F379" s="152"/>
      <c r="G379" s="153"/>
      <c r="H379" s="155"/>
      <c r="I379" s="165"/>
      <c r="J379" s="165"/>
      <c r="K379" s="157"/>
      <c r="L379" s="166"/>
      <c r="M379" s="166"/>
      <c r="N379" s="166"/>
      <c r="O379" s="166"/>
      <c r="P379" s="166"/>
      <c r="Q379" s="167"/>
      <c r="R379" s="167"/>
      <c r="T379" s="167"/>
      <c r="U379" s="167"/>
      <c r="V379" s="167"/>
      <c r="W379" s="167"/>
      <c r="X379" s="167"/>
      <c r="Y379" s="167"/>
      <c r="Z379" s="158"/>
      <c r="AA379" s="158"/>
      <c r="AB379" s="158"/>
      <c r="AC379" s="152"/>
      <c r="AD379" s="333"/>
      <c r="AE379" s="152"/>
      <c r="AF379" s="312"/>
      <c r="AG379" s="152"/>
    </row>
    <row r="380" spans="2:33" s="1" customFormat="1" ht="23.25" customHeight="1">
      <c r="B380" s="11" t="s">
        <v>60</v>
      </c>
      <c r="C380" s="11" t="s">
        <v>432</v>
      </c>
      <c r="D380" s="170">
        <v>800600</v>
      </c>
      <c r="E380" s="170" t="s">
        <v>445</v>
      </c>
      <c r="F380" s="170" t="s">
        <v>446</v>
      </c>
      <c r="G380" s="178" t="s">
        <v>447</v>
      </c>
      <c r="H380" s="173">
        <v>0</v>
      </c>
      <c r="I380" s="181">
        <f>H380</f>
        <v>0</v>
      </c>
      <c r="J380" s="181"/>
      <c r="K380" s="116" t="s">
        <v>448</v>
      </c>
      <c r="L380" s="174">
        <v>18170</v>
      </c>
      <c r="M380" s="174">
        <v>54329</v>
      </c>
      <c r="N380" s="174"/>
      <c r="O380" s="174"/>
      <c r="P380" s="174"/>
      <c r="Q380" s="176">
        <v>0</v>
      </c>
      <c r="R380" s="173">
        <f>Q380</f>
        <v>0</v>
      </c>
      <c r="S380" s="10"/>
      <c r="T380" s="176">
        <v>0</v>
      </c>
      <c r="U380" s="173">
        <f>T380</f>
        <v>0</v>
      </c>
      <c r="V380" s="176">
        <v>0</v>
      </c>
      <c r="W380" s="173">
        <f>V380</f>
        <v>0</v>
      </c>
      <c r="X380" s="299"/>
      <c r="Y380" s="173"/>
      <c r="Z380" s="182"/>
      <c r="AA380" s="172"/>
      <c r="AB380" s="176" t="s">
        <v>94</v>
      </c>
      <c r="AC380" s="170" t="s">
        <v>449</v>
      </c>
      <c r="AD380" s="332"/>
      <c r="AE380" s="170"/>
      <c r="AF380" s="311"/>
      <c r="AG380" s="170"/>
    </row>
    <row r="381" spans="2:33" s="1" customFormat="1" ht="31.5" customHeight="1">
      <c r="B381" s="11" t="s">
        <v>60</v>
      </c>
      <c r="C381" s="11" t="s">
        <v>432</v>
      </c>
      <c r="D381" s="170">
        <v>800600</v>
      </c>
      <c r="E381" s="170" t="s">
        <v>445</v>
      </c>
      <c r="F381" s="170" t="s">
        <v>450</v>
      </c>
      <c r="G381" s="171" t="s">
        <v>451</v>
      </c>
      <c r="H381" s="173">
        <v>3356</v>
      </c>
      <c r="I381" s="181">
        <f>H381</f>
        <v>3356</v>
      </c>
      <c r="J381" s="181">
        <v>3500</v>
      </c>
      <c r="K381" s="116" t="s">
        <v>68</v>
      </c>
      <c r="L381" s="174"/>
      <c r="M381" s="174"/>
      <c r="N381" s="174">
        <v>45457</v>
      </c>
      <c r="O381" s="174"/>
      <c r="P381" s="174"/>
      <c r="Q381" s="176">
        <v>0</v>
      </c>
      <c r="R381" s="173">
        <f>Q381</f>
        <v>0</v>
      </c>
      <c r="S381" s="10"/>
      <c r="T381" s="176">
        <v>174600</v>
      </c>
      <c r="U381" s="173">
        <f>T381</f>
        <v>174600</v>
      </c>
      <c r="V381" s="176">
        <v>174600</v>
      </c>
      <c r="W381" s="173">
        <f>V381</f>
        <v>174600</v>
      </c>
      <c r="X381" s="299">
        <f>T381/H381</f>
        <v>52.026221692491063</v>
      </c>
      <c r="Y381" s="173" t="s">
        <v>58</v>
      </c>
      <c r="Z381" s="182"/>
      <c r="AA381" s="172"/>
      <c r="AB381" s="176" t="s">
        <v>40</v>
      </c>
      <c r="AC381" s="170" t="s">
        <v>326</v>
      </c>
      <c r="AD381" s="332">
        <v>45</v>
      </c>
      <c r="AE381" s="170">
        <v>2</v>
      </c>
      <c r="AF381" s="311">
        <v>2</v>
      </c>
      <c r="AG381" s="170" t="s">
        <v>160</v>
      </c>
    </row>
    <row r="382" spans="2:33" s="1" customFormat="1" ht="24" customHeight="1">
      <c r="B382" s="11" t="s">
        <v>60</v>
      </c>
      <c r="C382" s="11" t="s">
        <v>432</v>
      </c>
      <c r="D382" s="170">
        <v>800600</v>
      </c>
      <c r="E382" s="170" t="s">
        <v>445</v>
      </c>
      <c r="F382" s="170" t="s">
        <v>452</v>
      </c>
      <c r="G382" s="171" t="s">
        <v>128</v>
      </c>
      <c r="H382" s="173">
        <v>1157</v>
      </c>
      <c r="I382" s="181">
        <f>H382</f>
        <v>1157</v>
      </c>
      <c r="J382" s="181">
        <v>1000</v>
      </c>
      <c r="K382" s="116" t="s">
        <v>453</v>
      </c>
      <c r="L382" s="174">
        <v>45230</v>
      </c>
      <c r="M382" s="174">
        <v>46325</v>
      </c>
      <c r="N382" s="174"/>
      <c r="O382" s="174"/>
      <c r="P382" s="174"/>
      <c r="Q382" s="176">
        <v>46000</v>
      </c>
      <c r="R382" s="173">
        <f>Q382</f>
        <v>46000</v>
      </c>
      <c r="S382" s="10"/>
      <c r="T382" s="176">
        <v>52800</v>
      </c>
      <c r="U382" s="173">
        <f>T382</f>
        <v>52800</v>
      </c>
      <c r="V382" s="176">
        <v>52800</v>
      </c>
      <c r="W382" s="173">
        <f>V382</f>
        <v>52800</v>
      </c>
      <c r="X382" s="299">
        <f>T382/H382</f>
        <v>45.635263612791704</v>
      </c>
      <c r="Y382" s="173" t="s">
        <v>69</v>
      </c>
      <c r="Z382" s="182"/>
      <c r="AA382" s="172"/>
      <c r="AB382" s="176" t="s">
        <v>40</v>
      </c>
      <c r="AC382" s="170" t="s">
        <v>454</v>
      </c>
      <c r="AD382" s="332"/>
      <c r="AE382" s="170"/>
      <c r="AF382" s="311"/>
      <c r="AG382" s="170"/>
    </row>
    <row r="383" spans="2:33" ht="13" customHeight="1">
      <c r="F383" s="152"/>
      <c r="G383" s="153"/>
      <c r="H383" s="154"/>
      <c r="I383" s="165"/>
      <c r="J383" s="165"/>
      <c r="K383" s="157"/>
      <c r="L383" s="166"/>
      <c r="M383" s="166"/>
      <c r="N383" s="166"/>
      <c r="O383" s="166"/>
      <c r="P383" s="166"/>
      <c r="Q383" s="154"/>
      <c r="R383" s="154"/>
      <c r="T383" s="154"/>
      <c r="U383" s="167"/>
      <c r="V383" s="154"/>
      <c r="W383" s="167"/>
      <c r="X383" s="167"/>
      <c r="Y383" s="167"/>
      <c r="Z383" s="158"/>
      <c r="AA383" s="154"/>
      <c r="AB383" s="158"/>
      <c r="AC383" s="152"/>
      <c r="AD383" s="333"/>
      <c r="AE383" s="152"/>
      <c r="AF383" s="312"/>
      <c r="AG383" s="152"/>
    </row>
    <row r="384" spans="2:33" ht="13" customHeight="1">
      <c r="F384" s="152"/>
      <c r="G384" s="153"/>
      <c r="H384" s="154"/>
      <c r="I384" s="165"/>
      <c r="J384" s="165"/>
      <c r="K384" s="157"/>
      <c r="L384" s="166"/>
      <c r="M384" s="166"/>
      <c r="N384" s="166"/>
      <c r="O384" s="166"/>
      <c r="P384" s="166"/>
      <c r="Q384" s="167"/>
      <c r="R384" s="167"/>
      <c r="T384" s="167"/>
      <c r="U384" s="167"/>
      <c r="V384" s="167"/>
      <c r="W384" s="167"/>
      <c r="X384" s="167"/>
      <c r="Y384" s="167"/>
      <c r="Z384" s="158"/>
      <c r="AA384" s="158"/>
      <c r="AB384" s="158"/>
      <c r="AC384" s="152"/>
      <c r="AD384" s="333"/>
      <c r="AE384" s="152"/>
      <c r="AF384" s="312"/>
      <c r="AG384" s="152"/>
    </row>
    <row r="385" spans="2:33" ht="13" customHeight="1">
      <c r="D385" s="152"/>
      <c r="E385" s="152"/>
      <c r="F385" s="146"/>
      <c r="G385" s="151" t="s">
        <v>455</v>
      </c>
      <c r="H385" s="162"/>
      <c r="I385" s="148"/>
      <c r="J385" s="148"/>
      <c r="K385" s="146"/>
      <c r="L385" s="149"/>
      <c r="M385" s="149"/>
      <c r="N385" s="149"/>
      <c r="O385" s="149"/>
      <c r="P385" s="149"/>
      <c r="Q385" s="150"/>
      <c r="R385" s="148"/>
      <c r="T385" s="150"/>
      <c r="U385" s="148"/>
      <c r="V385" s="150"/>
      <c r="W385" s="148"/>
      <c r="X385" s="148"/>
      <c r="Y385" s="148"/>
      <c r="Z385" s="147"/>
      <c r="AA385" s="147"/>
      <c r="AB385" s="147"/>
      <c r="AC385" s="146"/>
      <c r="AD385" s="331"/>
      <c r="AE385" s="146"/>
      <c r="AF385" s="310"/>
      <c r="AG385" s="146"/>
    </row>
    <row r="386" spans="2:33" ht="13" customHeight="1">
      <c r="D386" s="152"/>
      <c r="E386" s="152"/>
      <c r="F386" s="146"/>
      <c r="G386" s="147"/>
      <c r="H386" s="148"/>
      <c r="I386" s="148"/>
      <c r="J386" s="148"/>
      <c r="K386" s="146"/>
      <c r="L386" s="149"/>
      <c r="M386" s="149"/>
      <c r="N386" s="149"/>
      <c r="O386" s="149"/>
      <c r="P386" s="149"/>
      <c r="Q386" s="150"/>
      <c r="R386" s="148"/>
      <c r="T386" s="150"/>
      <c r="U386" s="148"/>
      <c r="V386" s="150"/>
      <c r="W386" s="148"/>
      <c r="X386" s="148"/>
      <c r="Y386" s="148"/>
      <c r="Z386" s="147"/>
      <c r="AA386" s="147"/>
      <c r="AB386" s="147"/>
      <c r="AC386" s="170"/>
      <c r="AD386" s="332"/>
      <c r="AE386" s="224"/>
      <c r="AF386" s="314"/>
      <c r="AG386" s="317"/>
    </row>
    <row r="387" spans="2:33" s="1" customFormat="1" ht="12" customHeight="1">
      <c r="B387" s="11" t="s">
        <v>60</v>
      </c>
      <c r="C387" s="11" t="s">
        <v>456</v>
      </c>
      <c r="D387" s="170">
        <v>111010</v>
      </c>
      <c r="E387" s="170" t="s">
        <v>455</v>
      </c>
      <c r="F387" s="170" t="s">
        <v>139</v>
      </c>
      <c r="G387" s="178" t="s">
        <v>318</v>
      </c>
      <c r="H387" s="173">
        <v>4289</v>
      </c>
      <c r="I387" s="173">
        <f>H387</f>
        <v>4289</v>
      </c>
      <c r="J387" s="173">
        <v>4250</v>
      </c>
      <c r="K387" s="116" t="s">
        <v>457</v>
      </c>
      <c r="L387" s="174">
        <v>45510</v>
      </c>
      <c r="M387" s="174">
        <v>50987</v>
      </c>
      <c r="N387" s="174"/>
      <c r="O387" s="174">
        <v>47336</v>
      </c>
      <c r="P387" s="174">
        <v>49162</v>
      </c>
      <c r="Q387" s="176">
        <v>110000</v>
      </c>
      <c r="R387" s="173">
        <f>Q387</f>
        <v>110000</v>
      </c>
      <c r="S387" s="10"/>
      <c r="T387" s="176">
        <v>220100</v>
      </c>
      <c r="U387" s="173">
        <f>T387</f>
        <v>220100</v>
      </c>
      <c r="V387" s="176">
        <v>220100</v>
      </c>
      <c r="W387" s="173">
        <f>V387</f>
        <v>220100</v>
      </c>
      <c r="X387" s="299">
        <f>T387/H387</f>
        <v>51.317323385404521</v>
      </c>
      <c r="Y387" s="173" t="s">
        <v>39</v>
      </c>
      <c r="Z387" s="177" t="s">
        <v>25</v>
      </c>
      <c r="AA387" s="177"/>
      <c r="AB387" s="176" t="s">
        <v>40</v>
      </c>
      <c r="AC387" s="170" t="s">
        <v>458</v>
      </c>
      <c r="AD387" s="332"/>
      <c r="AE387" s="224"/>
      <c r="AF387" s="314"/>
      <c r="AG387" s="317"/>
    </row>
    <row r="388" spans="2:33" ht="13" customHeight="1">
      <c r="F388" s="152"/>
      <c r="G388" s="153"/>
      <c r="H388" s="154"/>
      <c r="I388" s="165"/>
      <c r="J388" s="165"/>
      <c r="K388" s="157"/>
      <c r="L388" s="166"/>
      <c r="M388" s="166"/>
      <c r="N388" s="166"/>
      <c r="O388" s="166"/>
      <c r="P388" s="166"/>
      <c r="Q388" s="167"/>
      <c r="R388" s="167"/>
      <c r="T388" s="167"/>
      <c r="U388" s="167"/>
      <c r="V388" s="167"/>
      <c r="W388" s="167"/>
      <c r="X388" s="167"/>
      <c r="Y388" s="167"/>
      <c r="Z388" s="158"/>
      <c r="AA388" s="158"/>
      <c r="AB388" s="158"/>
      <c r="AC388" s="152"/>
      <c r="AD388" s="333"/>
      <c r="AE388" s="152"/>
      <c r="AF388" s="312"/>
      <c r="AG388" s="152"/>
    </row>
    <row r="389" spans="2:33" ht="13" customHeight="1">
      <c r="F389" s="152"/>
      <c r="G389" s="153"/>
      <c r="H389" s="154"/>
      <c r="I389" s="165"/>
      <c r="J389" s="165"/>
      <c r="K389" s="157"/>
      <c r="L389" s="166"/>
      <c r="M389" s="166"/>
      <c r="N389" s="166"/>
      <c r="O389" s="166"/>
      <c r="P389" s="166"/>
      <c r="Q389" s="167"/>
      <c r="R389" s="167"/>
      <c r="T389" s="167"/>
      <c r="U389" s="167"/>
      <c r="V389" s="167"/>
      <c r="W389" s="167"/>
      <c r="X389" s="167"/>
      <c r="Y389" s="167"/>
      <c r="Z389" s="158"/>
      <c r="AA389" s="158"/>
      <c r="AB389" s="158"/>
      <c r="AC389" s="152"/>
      <c r="AD389" s="333"/>
      <c r="AE389" s="152"/>
      <c r="AF389" s="312"/>
      <c r="AG389" s="152"/>
    </row>
    <row r="390" spans="2:33" thickBot="1">
      <c r="F390" s="192" t="s">
        <v>459</v>
      </c>
      <c r="G390" s="203"/>
      <c r="H390" s="204">
        <f>I390</f>
        <v>40248</v>
      </c>
      <c r="I390" s="205">
        <f>SUM(I352:I389)</f>
        <v>40248</v>
      </c>
      <c r="J390" s="205"/>
      <c r="K390" s="206"/>
      <c r="L390" s="207"/>
      <c r="M390" s="207"/>
      <c r="N390" s="207"/>
      <c r="O390" s="207"/>
      <c r="P390" s="207"/>
      <c r="Q390" s="204">
        <f>R390</f>
        <v>1535167</v>
      </c>
      <c r="R390" s="205">
        <f>SUM(R352:R389)</f>
        <v>1535167</v>
      </c>
      <c r="S390" s="202"/>
      <c r="T390" s="194">
        <f>SUM(U355:U387)</f>
        <v>2293900</v>
      </c>
      <c r="U390" s="205"/>
      <c r="V390" s="194">
        <f>SUM(W355:W387)</f>
        <v>2296900</v>
      </c>
      <c r="W390" s="205"/>
      <c r="X390" s="205"/>
      <c r="Y390" s="205"/>
      <c r="Z390" s="203"/>
      <c r="AA390" s="204">
        <f>SUM(AA352:AA389)</f>
        <v>25700000</v>
      </c>
      <c r="AB390" s="203"/>
      <c r="AC390" s="208"/>
      <c r="AD390" s="335"/>
      <c r="AE390" s="258"/>
      <c r="AF390" s="315"/>
      <c r="AG390" s="258"/>
    </row>
    <row r="391" spans="2:33" thickTop="1">
      <c r="E391" s="163"/>
      <c r="F391" s="153"/>
      <c r="G391" s="154"/>
      <c r="H391" s="155"/>
      <c r="I391" s="157"/>
      <c r="J391" s="157"/>
      <c r="K391" s="157"/>
      <c r="L391" s="166"/>
      <c r="M391" s="166"/>
      <c r="N391" s="166"/>
      <c r="O391" s="166"/>
      <c r="P391" s="154"/>
      <c r="Q391" s="106"/>
      <c r="T391" s="154"/>
      <c r="U391" s="153"/>
      <c r="V391" s="154"/>
      <c r="W391" s="153"/>
      <c r="X391" s="153"/>
      <c r="Y391" s="153"/>
      <c r="Z391" s="152"/>
      <c r="AA391" s="168"/>
      <c r="AB391" s="111"/>
      <c r="AC391" s="115"/>
      <c r="AD391" s="336"/>
      <c r="AE391" s="115"/>
      <c r="AF391" s="108"/>
      <c r="AG391" s="318"/>
    </row>
    <row r="392" spans="2:33" ht="13" customHeight="1">
      <c r="F392" s="152"/>
      <c r="G392" s="151" t="s">
        <v>460</v>
      </c>
      <c r="H392" s="155"/>
      <c r="I392" s="165"/>
      <c r="J392" s="165"/>
      <c r="K392" s="157"/>
      <c r="L392" s="166"/>
      <c r="M392" s="166"/>
      <c r="N392" s="166"/>
      <c r="O392" s="166"/>
      <c r="P392" s="166"/>
      <c r="Q392" s="167"/>
      <c r="R392" s="167"/>
      <c r="S392" s="167"/>
      <c r="T392" s="167"/>
      <c r="U392" s="167"/>
      <c r="V392" s="167"/>
      <c r="W392" s="167"/>
      <c r="X392" s="167"/>
      <c r="Y392" s="167"/>
      <c r="Z392" s="158"/>
      <c r="AA392" s="158"/>
      <c r="AB392" s="158"/>
      <c r="AC392" s="152"/>
      <c r="AD392" s="333"/>
      <c r="AE392" s="152"/>
      <c r="AF392" s="312"/>
      <c r="AG392" s="152"/>
    </row>
    <row r="393" spans="2:33" ht="13" customHeight="1">
      <c r="F393" s="152"/>
      <c r="G393" s="153"/>
      <c r="H393" s="155"/>
      <c r="I393" s="165"/>
      <c r="J393" s="165"/>
      <c r="K393" s="157"/>
      <c r="L393" s="166"/>
      <c r="M393" s="166"/>
      <c r="N393" s="166"/>
      <c r="O393" s="166"/>
      <c r="P393" s="166"/>
      <c r="Q393" s="167"/>
      <c r="R393" s="167"/>
      <c r="S393" s="167"/>
      <c r="T393" s="167"/>
      <c r="U393" s="167"/>
      <c r="V393" s="167"/>
      <c r="W393" s="167"/>
      <c r="X393" s="167"/>
      <c r="Y393" s="167"/>
      <c r="Z393" s="158"/>
      <c r="AA393" s="158"/>
      <c r="AB393" s="158"/>
      <c r="AC393" s="152"/>
      <c r="AD393" s="333"/>
      <c r="AE393" s="152"/>
      <c r="AF393" s="312"/>
      <c r="AG393" s="152"/>
    </row>
    <row r="394" spans="2:33" s="1" customFormat="1" ht="24" customHeight="1">
      <c r="B394" s="1" t="s">
        <v>60</v>
      </c>
      <c r="C394" s="1" t="s">
        <v>461</v>
      </c>
      <c r="D394" s="170">
        <v>888010</v>
      </c>
      <c r="E394" s="170" t="s">
        <v>460</v>
      </c>
      <c r="F394" s="170" t="s">
        <v>462</v>
      </c>
      <c r="G394" s="171" t="s">
        <v>46</v>
      </c>
      <c r="H394" s="173">
        <v>5662</v>
      </c>
      <c r="I394" s="173">
        <f>H394</f>
        <v>5662</v>
      </c>
      <c r="J394" s="173">
        <v>5500</v>
      </c>
      <c r="K394" s="116" t="s">
        <v>463</v>
      </c>
      <c r="L394" s="174">
        <v>45192</v>
      </c>
      <c r="M394" s="174">
        <v>48844</v>
      </c>
      <c r="N394" s="174"/>
      <c r="O394" s="174">
        <v>47019</v>
      </c>
      <c r="P394" s="174">
        <v>47018</v>
      </c>
      <c r="Q394" s="176">
        <v>325000</v>
      </c>
      <c r="R394" s="173">
        <f>Q394</f>
        <v>325000</v>
      </c>
      <c r="S394" s="173"/>
      <c r="T394" s="176">
        <v>650000</v>
      </c>
      <c r="U394" s="173">
        <f>T394</f>
        <v>650000</v>
      </c>
      <c r="V394" s="176">
        <v>758000</v>
      </c>
      <c r="W394" s="173">
        <f>V394</f>
        <v>758000</v>
      </c>
      <c r="X394" s="299">
        <f>T394/H394</f>
        <v>114.80042387848816</v>
      </c>
      <c r="Y394" s="173" t="s">
        <v>39</v>
      </c>
      <c r="Z394" s="177"/>
      <c r="AA394" s="177"/>
      <c r="AB394" s="55" t="s">
        <v>40</v>
      </c>
      <c r="AC394" s="170" t="s">
        <v>464</v>
      </c>
      <c r="AD394" s="332"/>
      <c r="AE394" s="170"/>
      <c r="AF394" s="311"/>
      <c r="AG394" s="152"/>
    </row>
    <row r="395" spans="2:33" s="1" customFormat="1" ht="12" customHeight="1">
      <c r="B395" s="1" t="s">
        <v>60</v>
      </c>
      <c r="C395" s="1" t="s">
        <v>461</v>
      </c>
      <c r="D395" s="170">
        <v>888010</v>
      </c>
      <c r="E395" s="170" t="s">
        <v>460</v>
      </c>
      <c r="F395" s="116" t="s">
        <v>465</v>
      </c>
      <c r="G395" s="171" t="s">
        <v>46</v>
      </c>
      <c r="H395" s="173">
        <v>5350</v>
      </c>
      <c r="I395" s="173">
        <f>H395</f>
        <v>5350</v>
      </c>
      <c r="J395" s="173">
        <v>5500</v>
      </c>
      <c r="K395" s="116" t="s">
        <v>466</v>
      </c>
      <c r="L395" s="174">
        <v>40651</v>
      </c>
      <c r="M395" s="174">
        <v>46129</v>
      </c>
      <c r="N395" s="174"/>
      <c r="O395" s="174">
        <v>44304</v>
      </c>
      <c r="P395" s="174"/>
      <c r="Q395" s="176">
        <v>730000</v>
      </c>
      <c r="R395" s="173">
        <f>Q395</f>
        <v>730000</v>
      </c>
      <c r="S395" s="173"/>
      <c r="T395" s="176">
        <v>400000</v>
      </c>
      <c r="U395" s="173">
        <f>T395</f>
        <v>400000</v>
      </c>
      <c r="V395" s="176">
        <v>450000</v>
      </c>
      <c r="W395" s="173">
        <f>V395</f>
        <v>450000</v>
      </c>
      <c r="X395" s="299">
        <f>T395/H395</f>
        <v>74.766355140186917</v>
      </c>
      <c r="Y395" s="173" t="s">
        <v>39</v>
      </c>
      <c r="Z395" s="177"/>
      <c r="AA395" s="177"/>
      <c r="AB395" s="55" t="s">
        <v>94</v>
      </c>
      <c r="AC395" s="170"/>
      <c r="AD395" s="332"/>
      <c r="AE395" s="170"/>
      <c r="AF395" s="311"/>
      <c r="AG395" s="152"/>
    </row>
    <row r="396" spans="2:33" s="1" customFormat="1" ht="32.25" customHeight="1">
      <c r="B396" s="1" t="s">
        <v>60</v>
      </c>
      <c r="C396" s="1" t="s">
        <v>461</v>
      </c>
      <c r="D396" s="170">
        <v>888010</v>
      </c>
      <c r="E396" s="170" t="s">
        <v>460</v>
      </c>
      <c r="F396" s="170" t="s">
        <v>467</v>
      </c>
      <c r="G396" s="171" t="s">
        <v>46</v>
      </c>
      <c r="H396" s="173">
        <v>2044</v>
      </c>
      <c r="I396" s="173">
        <f>H396</f>
        <v>2044</v>
      </c>
      <c r="J396" s="173">
        <v>2000</v>
      </c>
      <c r="K396" s="116" t="s">
        <v>468</v>
      </c>
      <c r="L396" s="174">
        <v>42650</v>
      </c>
      <c r="M396" s="174">
        <v>46301</v>
      </c>
      <c r="N396" s="174"/>
      <c r="O396" s="174">
        <v>45885</v>
      </c>
      <c r="P396" s="174"/>
      <c r="Q396" s="176">
        <v>115701</v>
      </c>
      <c r="R396" s="173">
        <f>Q396</f>
        <v>115701</v>
      </c>
      <c r="S396" s="173"/>
      <c r="T396" s="176">
        <v>110000</v>
      </c>
      <c r="U396" s="173">
        <f>T396</f>
        <v>110000</v>
      </c>
      <c r="V396" s="176">
        <v>112000</v>
      </c>
      <c r="W396" s="173">
        <f>V396</f>
        <v>112000</v>
      </c>
      <c r="X396" s="299">
        <f>T396/H396</f>
        <v>53.816046966731896</v>
      </c>
      <c r="Y396" s="173" t="s">
        <v>58</v>
      </c>
      <c r="Z396" s="177"/>
      <c r="AA396" s="177"/>
      <c r="AB396" s="55" t="s">
        <v>40</v>
      </c>
      <c r="AC396" s="170" t="s">
        <v>469</v>
      </c>
      <c r="AD396" s="332"/>
      <c r="AE396" s="170"/>
      <c r="AF396" s="311"/>
      <c r="AG396" s="152"/>
    </row>
    <row r="397" spans="2:33">
      <c r="G397" s="91"/>
      <c r="T397" s="27"/>
      <c r="U397" s="10"/>
      <c r="V397" s="27"/>
      <c r="W397" s="10"/>
      <c r="X397" s="10"/>
      <c r="Y397" s="10"/>
      <c r="Z397" s="61"/>
    </row>
    <row r="398" spans="2:33">
      <c r="T398" s="27"/>
      <c r="U398" s="10"/>
      <c r="V398" s="27"/>
      <c r="W398" s="10"/>
      <c r="X398" s="10"/>
      <c r="Y398" s="10"/>
      <c r="Z398" s="61"/>
    </row>
    <row r="399" spans="2:33" ht="16" customHeight="1">
      <c r="T399" s="27"/>
      <c r="U399" s="10"/>
      <c r="V399" s="27"/>
      <c r="W399" s="10"/>
      <c r="X399" s="10"/>
      <c r="Y399" s="10"/>
      <c r="Z399" s="61"/>
      <c r="AA399" s="140"/>
      <c r="AB399" s="71"/>
      <c r="AC399" s="52"/>
      <c r="AD399" s="339"/>
      <c r="AE399" s="52"/>
      <c r="AF399" s="52"/>
      <c r="AG399" s="52"/>
    </row>
    <row r="400" spans="2:33" ht="16" customHeight="1">
      <c r="T400" s="27"/>
      <c r="U400" s="10"/>
      <c r="V400" s="27"/>
      <c r="W400" s="10"/>
      <c r="X400" s="10"/>
      <c r="Y400" s="10"/>
      <c r="Z400" s="61"/>
      <c r="AA400" s="140"/>
      <c r="AB400" s="71"/>
      <c r="AC400" s="52"/>
      <c r="AD400" s="339"/>
      <c r="AE400" s="52"/>
      <c r="AF400" s="52"/>
      <c r="AG400" s="52"/>
    </row>
    <row r="401" spans="11:33" ht="16" customHeight="1">
      <c r="T401" s="27"/>
      <c r="U401" s="10"/>
      <c r="V401" s="27"/>
      <c r="W401" s="10"/>
      <c r="X401" s="10"/>
      <c r="Y401" s="10"/>
      <c r="Z401" s="61"/>
      <c r="AA401" s="140"/>
      <c r="AB401" s="71"/>
      <c r="AC401" s="52"/>
      <c r="AD401" s="339"/>
      <c r="AE401" s="52"/>
      <c r="AF401" s="52"/>
      <c r="AG401" s="52"/>
    </row>
    <row r="402" spans="11:33" ht="16" customHeight="1">
      <c r="T402" s="27"/>
      <c r="U402" s="10"/>
      <c r="V402" s="27"/>
      <c r="W402" s="10"/>
      <c r="X402" s="10"/>
      <c r="Y402" s="10"/>
      <c r="Z402" s="61"/>
      <c r="AA402" s="140"/>
      <c r="AB402" s="71"/>
      <c r="AC402" s="52"/>
      <c r="AD402" s="339"/>
      <c r="AE402" s="52"/>
      <c r="AF402" s="52"/>
      <c r="AG402" s="52"/>
    </row>
    <row r="403" spans="11:33" ht="16" customHeight="1">
      <c r="T403" s="27"/>
      <c r="U403" s="10"/>
      <c r="V403" s="27"/>
      <c r="W403" s="10"/>
      <c r="X403" s="10"/>
      <c r="Y403" s="10"/>
      <c r="Z403" s="61"/>
      <c r="AA403" s="140"/>
      <c r="AB403" s="71"/>
      <c r="AC403" s="52"/>
      <c r="AD403" s="339"/>
      <c r="AE403" s="52"/>
      <c r="AF403" s="52"/>
      <c r="AG403" s="52"/>
    </row>
    <row r="404" spans="11:33" ht="16" customHeight="1">
      <c r="T404" s="27"/>
      <c r="U404" s="10"/>
      <c r="V404" s="27"/>
      <c r="W404" s="10"/>
      <c r="X404" s="10"/>
      <c r="Y404" s="10"/>
      <c r="Z404" s="61"/>
      <c r="AA404" s="140"/>
      <c r="AB404" s="71"/>
      <c r="AC404" s="52"/>
      <c r="AD404" s="339"/>
      <c r="AE404" s="52"/>
      <c r="AF404" s="52"/>
      <c r="AG404" s="52"/>
    </row>
    <row r="405" spans="11:33" ht="16" customHeight="1">
      <c r="K405" s="25"/>
      <c r="T405" s="27"/>
      <c r="U405" s="10"/>
      <c r="V405" s="27"/>
      <c r="W405" s="10"/>
      <c r="X405" s="10"/>
      <c r="Y405" s="10"/>
      <c r="Z405" s="61"/>
      <c r="AA405" s="140"/>
      <c r="AB405" s="71"/>
      <c r="AC405" s="52"/>
      <c r="AD405" s="339"/>
      <c r="AE405" s="52"/>
      <c r="AF405" s="52"/>
      <c r="AG405" s="52"/>
    </row>
    <row r="406" spans="11:33" ht="16" customHeight="1">
      <c r="T406" s="27"/>
      <c r="U406" s="10"/>
      <c r="V406" s="27"/>
      <c r="W406" s="10"/>
      <c r="X406" s="10"/>
      <c r="Y406" s="10"/>
      <c r="Z406" s="61"/>
      <c r="AA406" s="140"/>
      <c r="AB406" s="71"/>
      <c r="AC406" s="52"/>
      <c r="AD406" s="339"/>
      <c r="AE406" s="52"/>
      <c r="AF406" s="52"/>
      <c r="AG406" s="52"/>
    </row>
    <row r="407" spans="11:33" ht="16" customHeight="1">
      <c r="T407" s="27"/>
      <c r="U407" s="10"/>
      <c r="V407" s="27"/>
      <c r="W407" s="10"/>
      <c r="X407" s="10"/>
      <c r="Y407" s="10"/>
      <c r="Z407" s="61"/>
      <c r="AA407" s="140"/>
      <c r="AB407" s="71"/>
      <c r="AC407" s="52"/>
      <c r="AD407" s="339"/>
      <c r="AE407" s="52"/>
      <c r="AF407" s="52"/>
      <c r="AG407" s="52"/>
    </row>
    <row r="408" spans="11:33" ht="16" customHeight="1">
      <c r="T408" s="27"/>
      <c r="U408" s="10"/>
      <c r="V408" s="27"/>
      <c r="W408" s="10"/>
      <c r="X408" s="10"/>
      <c r="Y408" s="10"/>
      <c r="Z408" s="61"/>
      <c r="AA408" s="140"/>
      <c r="AB408" s="71"/>
      <c r="AC408" s="52"/>
      <c r="AD408" s="339"/>
      <c r="AE408" s="52"/>
      <c r="AF408" s="52"/>
      <c r="AG408" s="52"/>
    </row>
    <row r="409" spans="11:33" ht="16" customHeight="1">
      <c r="T409" s="27"/>
      <c r="U409" s="10"/>
      <c r="V409" s="27"/>
      <c r="W409" s="10"/>
      <c r="X409" s="10"/>
      <c r="Y409" s="10"/>
      <c r="Z409" s="61"/>
      <c r="AA409" s="140"/>
      <c r="AB409" s="71"/>
      <c r="AC409" s="52"/>
      <c r="AD409" s="339"/>
      <c r="AE409" s="52"/>
      <c r="AF409" s="52"/>
      <c r="AG409" s="52"/>
    </row>
    <row r="410" spans="11:33" ht="16" customHeight="1">
      <c r="T410" s="27"/>
      <c r="U410" s="10"/>
      <c r="V410" s="27"/>
      <c r="W410" s="10"/>
      <c r="X410" s="10"/>
      <c r="Y410" s="10"/>
      <c r="Z410" s="61"/>
      <c r="AA410" s="140"/>
      <c r="AB410" s="71"/>
      <c r="AC410" s="52"/>
      <c r="AD410" s="339"/>
      <c r="AE410" s="52"/>
      <c r="AF410" s="52"/>
      <c r="AG410" s="52"/>
    </row>
    <row r="411" spans="11:33" ht="16" customHeight="1">
      <c r="T411" s="27"/>
      <c r="U411" s="10"/>
      <c r="V411" s="27"/>
      <c r="W411" s="10"/>
      <c r="X411" s="10"/>
      <c r="Y411" s="10"/>
      <c r="Z411" s="61"/>
      <c r="AA411" s="140"/>
      <c r="AB411" s="71"/>
      <c r="AC411" s="52"/>
      <c r="AD411" s="339"/>
      <c r="AE411" s="52"/>
      <c r="AF411" s="52"/>
      <c r="AG411" s="52"/>
    </row>
    <row r="412" spans="11:33" ht="16" customHeight="1">
      <c r="T412" s="27"/>
      <c r="U412" s="10"/>
      <c r="V412" s="27"/>
      <c r="W412" s="10"/>
      <c r="X412" s="10"/>
      <c r="Y412" s="10"/>
      <c r="Z412" s="61"/>
      <c r="AA412" s="140"/>
      <c r="AB412" s="71"/>
      <c r="AC412" s="52"/>
      <c r="AD412" s="339"/>
      <c r="AE412" s="52"/>
      <c r="AF412" s="52"/>
      <c r="AG412" s="52"/>
    </row>
    <row r="413" spans="11:33" ht="16" customHeight="1">
      <c r="T413" s="27"/>
      <c r="U413" s="10"/>
      <c r="V413" s="27"/>
      <c r="W413" s="10"/>
      <c r="X413" s="10"/>
      <c r="Y413" s="10"/>
      <c r="Z413" s="61"/>
      <c r="AA413" s="140"/>
      <c r="AB413" s="71"/>
      <c r="AC413" s="52"/>
      <c r="AD413" s="339"/>
      <c r="AE413" s="52"/>
      <c r="AF413" s="52"/>
      <c r="AG413" s="52"/>
    </row>
    <row r="414" spans="11:33" ht="16" customHeight="1">
      <c r="T414" s="27"/>
      <c r="U414" s="10"/>
      <c r="V414" s="27"/>
      <c r="W414" s="10"/>
      <c r="X414" s="10"/>
      <c r="Y414" s="10"/>
      <c r="Z414" s="61"/>
      <c r="AA414" s="140"/>
      <c r="AB414" s="71"/>
      <c r="AC414" s="52"/>
      <c r="AD414" s="339"/>
      <c r="AE414" s="52"/>
      <c r="AF414" s="52"/>
      <c r="AG414" s="52"/>
    </row>
    <row r="415" spans="11:33" ht="16" customHeight="1">
      <c r="T415" s="27"/>
      <c r="U415" s="10"/>
      <c r="V415" s="27"/>
      <c r="W415" s="10"/>
      <c r="X415" s="10"/>
      <c r="Y415" s="10"/>
      <c r="Z415" s="61"/>
      <c r="AA415" s="140"/>
      <c r="AB415" s="71"/>
      <c r="AC415" s="52"/>
      <c r="AD415" s="339"/>
      <c r="AE415" s="52"/>
      <c r="AF415" s="52"/>
      <c r="AG415" s="52"/>
    </row>
    <row r="416" spans="11:33" ht="16" customHeight="1">
      <c r="T416" s="27"/>
      <c r="U416" s="10"/>
      <c r="V416" s="27"/>
      <c r="W416" s="10"/>
      <c r="X416" s="10"/>
      <c r="Y416" s="10"/>
      <c r="Z416" s="61"/>
      <c r="AA416" s="140"/>
      <c r="AB416" s="71"/>
      <c r="AC416" s="52"/>
      <c r="AD416" s="339"/>
      <c r="AE416" s="52"/>
      <c r="AF416" s="52"/>
      <c r="AG416" s="52"/>
    </row>
    <row r="417" spans="20:33" ht="16" customHeight="1">
      <c r="T417" s="27"/>
      <c r="U417" s="10"/>
      <c r="V417" s="27"/>
      <c r="W417" s="10"/>
      <c r="X417" s="10"/>
      <c r="Y417" s="10"/>
      <c r="Z417" s="61"/>
      <c r="AA417" s="140"/>
      <c r="AB417" s="71"/>
      <c r="AC417" s="52"/>
      <c r="AD417" s="339"/>
      <c r="AE417" s="52"/>
      <c r="AF417" s="52"/>
      <c r="AG417" s="52"/>
    </row>
    <row r="418" spans="20:33" ht="16" customHeight="1">
      <c r="T418" s="27"/>
      <c r="U418" s="10"/>
      <c r="V418" s="27"/>
      <c r="W418" s="10"/>
      <c r="X418" s="10"/>
      <c r="Y418" s="10"/>
      <c r="Z418" s="61"/>
      <c r="AA418" s="140"/>
      <c r="AB418" s="71"/>
      <c r="AC418" s="52"/>
      <c r="AD418" s="339"/>
      <c r="AE418" s="52"/>
      <c r="AF418" s="52"/>
      <c r="AG418" s="52"/>
    </row>
    <row r="419" spans="20:33" ht="16" customHeight="1">
      <c r="T419" s="27"/>
      <c r="U419" s="10"/>
      <c r="V419" s="27"/>
      <c r="W419" s="10"/>
      <c r="X419" s="10"/>
      <c r="Y419" s="10"/>
      <c r="Z419" s="61"/>
      <c r="AA419" s="140"/>
      <c r="AB419" s="71"/>
      <c r="AC419" s="52"/>
      <c r="AD419" s="339"/>
      <c r="AE419" s="52"/>
      <c r="AF419" s="52"/>
      <c r="AG419" s="52"/>
    </row>
    <row r="420" spans="20:33" ht="16" customHeight="1">
      <c r="T420" s="27"/>
      <c r="U420" s="10"/>
      <c r="V420" s="27"/>
      <c r="W420" s="10"/>
      <c r="X420" s="10"/>
      <c r="Y420" s="10"/>
      <c r="Z420" s="61"/>
      <c r="AA420" s="140"/>
      <c r="AB420" s="71"/>
      <c r="AC420" s="52"/>
      <c r="AD420" s="339"/>
      <c r="AE420" s="52"/>
      <c r="AF420" s="52"/>
      <c r="AG420" s="52"/>
    </row>
    <row r="421" spans="20:33" ht="16" customHeight="1">
      <c r="T421" s="27"/>
      <c r="U421" s="10"/>
      <c r="V421" s="27"/>
      <c r="W421" s="10"/>
      <c r="X421" s="10"/>
      <c r="Y421" s="10"/>
      <c r="Z421" s="61"/>
      <c r="AA421" s="140"/>
      <c r="AB421" s="71"/>
      <c r="AC421" s="52"/>
      <c r="AD421" s="339"/>
      <c r="AE421" s="52"/>
      <c r="AF421" s="52"/>
      <c r="AG421" s="52"/>
    </row>
    <row r="422" spans="20:33" ht="16" customHeight="1">
      <c r="T422" s="27"/>
      <c r="U422" s="10"/>
      <c r="V422" s="27"/>
      <c r="W422" s="10"/>
      <c r="X422" s="10"/>
      <c r="Y422" s="10"/>
      <c r="Z422" s="61"/>
      <c r="AA422" s="140"/>
      <c r="AB422" s="71"/>
      <c r="AC422" s="52"/>
      <c r="AD422" s="339"/>
      <c r="AE422" s="52"/>
      <c r="AF422" s="52"/>
      <c r="AG422" s="52"/>
    </row>
    <row r="423" spans="20:33" ht="16" customHeight="1">
      <c r="T423" s="27"/>
      <c r="U423" s="10"/>
      <c r="V423" s="27"/>
      <c r="W423" s="10"/>
      <c r="X423" s="10"/>
      <c r="Y423" s="10"/>
      <c r="Z423" s="61"/>
      <c r="AA423" s="140"/>
      <c r="AB423" s="71"/>
      <c r="AC423" s="52"/>
      <c r="AD423" s="339"/>
      <c r="AE423" s="52"/>
      <c r="AF423" s="52"/>
      <c r="AG423" s="52"/>
    </row>
    <row r="424" spans="20:33" ht="16" customHeight="1">
      <c r="T424" s="27"/>
      <c r="U424" s="10"/>
      <c r="V424" s="27"/>
      <c r="W424" s="10"/>
      <c r="X424" s="10"/>
      <c r="Y424" s="10"/>
      <c r="Z424" s="61"/>
      <c r="AA424" s="140"/>
      <c r="AB424" s="71"/>
      <c r="AC424" s="52"/>
      <c r="AD424" s="339"/>
      <c r="AE424" s="52"/>
      <c r="AF424" s="52"/>
      <c r="AG424" s="52"/>
    </row>
    <row r="425" spans="20:33" ht="16" customHeight="1">
      <c r="T425" s="27"/>
      <c r="U425" s="10"/>
      <c r="V425" s="27"/>
      <c r="W425" s="10"/>
      <c r="X425" s="10"/>
      <c r="Y425" s="10"/>
      <c r="Z425" s="61"/>
      <c r="AA425" s="140"/>
      <c r="AB425" s="71"/>
      <c r="AC425" s="52"/>
      <c r="AD425" s="339"/>
      <c r="AE425" s="52"/>
      <c r="AF425" s="52"/>
      <c r="AG425" s="52"/>
    </row>
    <row r="426" spans="20:33" ht="16" customHeight="1">
      <c r="T426" s="27"/>
      <c r="U426" s="10"/>
      <c r="V426" s="27"/>
      <c r="W426" s="10"/>
      <c r="X426" s="10"/>
      <c r="Y426" s="10"/>
      <c r="Z426" s="61"/>
      <c r="AA426" s="140"/>
      <c r="AB426" s="71"/>
      <c r="AC426" s="52"/>
      <c r="AD426" s="339"/>
      <c r="AE426" s="52"/>
      <c r="AF426" s="52"/>
      <c r="AG426" s="52"/>
    </row>
    <row r="427" spans="20:33" ht="16" customHeight="1">
      <c r="T427" s="27"/>
      <c r="U427" s="10"/>
      <c r="V427" s="27"/>
      <c r="W427" s="10"/>
      <c r="X427" s="10"/>
      <c r="Y427" s="10"/>
      <c r="Z427" s="61"/>
      <c r="AA427" s="140"/>
      <c r="AB427" s="71"/>
      <c r="AC427" s="52"/>
      <c r="AD427" s="339"/>
      <c r="AE427" s="52"/>
      <c r="AF427" s="52"/>
      <c r="AG427" s="52"/>
    </row>
    <row r="428" spans="20:33" ht="16" customHeight="1">
      <c r="T428" s="27"/>
      <c r="U428" s="10"/>
      <c r="V428" s="27"/>
      <c r="W428" s="10"/>
      <c r="X428" s="10"/>
      <c r="Y428" s="10"/>
      <c r="Z428" s="61"/>
      <c r="AA428" s="140"/>
      <c r="AB428" s="71"/>
      <c r="AC428" s="52"/>
      <c r="AD428" s="339"/>
      <c r="AE428" s="52"/>
      <c r="AF428" s="52"/>
      <c r="AG428" s="52"/>
    </row>
    <row r="429" spans="20:33" ht="16" customHeight="1">
      <c r="T429" s="27"/>
      <c r="U429" s="10"/>
      <c r="V429" s="27"/>
      <c r="W429" s="10"/>
      <c r="X429" s="10"/>
      <c r="Y429" s="10"/>
      <c r="Z429" s="61"/>
      <c r="AA429" s="140"/>
      <c r="AB429" s="71"/>
      <c r="AC429" s="52"/>
      <c r="AD429" s="339"/>
      <c r="AE429" s="52"/>
      <c r="AF429" s="52"/>
      <c r="AG429" s="52"/>
    </row>
    <row r="430" spans="20:33" ht="16" customHeight="1">
      <c r="T430" s="27"/>
      <c r="U430" s="10"/>
      <c r="V430" s="27"/>
      <c r="W430" s="10"/>
      <c r="X430" s="10"/>
      <c r="Y430" s="10"/>
      <c r="Z430" s="61"/>
      <c r="AA430" s="140"/>
      <c r="AB430" s="71"/>
      <c r="AC430" s="52"/>
      <c r="AD430" s="339"/>
      <c r="AE430" s="52"/>
      <c r="AF430" s="52"/>
      <c r="AG430" s="52"/>
    </row>
    <row r="431" spans="20:33" ht="16" customHeight="1">
      <c r="T431" s="27"/>
      <c r="U431" s="10"/>
      <c r="V431" s="27"/>
      <c r="W431" s="10"/>
      <c r="X431" s="10"/>
      <c r="Y431" s="10"/>
      <c r="Z431" s="61"/>
      <c r="AA431" s="140"/>
      <c r="AB431" s="71"/>
      <c r="AC431" s="52"/>
      <c r="AD431" s="339"/>
      <c r="AE431" s="52"/>
      <c r="AF431" s="52"/>
      <c r="AG431" s="52"/>
    </row>
    <row r="432" spans="20:33" ht="16" customHeight="1">
      <c r="T432" s="27"/>
      <c r="U432" s="10"/>
      <c r="V432" s="27"/>
      <c r="W432" s="10"/>
      <c r="X432" s="10"/>
      <c r="Y432" s="10"/>
      <c r="Z432" s="61"/>
      <c r="AA432" s="140"/>
      <c r="AB432" s="71"/>
      <c r="AC432" s="52"/>
      <c r="AD432" s="339"/>
      <c r="AE432" s="52"/>
      <c r="AF432" s="52"/>
      <c r="AG432" s="52"/>
    </row>
    <row r="433" spans="20:33" ht="16" customHeight="1">
      <c r="T433" s="27"/>
      <c r="U433" s="10"/>
      <c r="V433" s="27"/>
      <c r="W433" s="10"/>
      <c r="X433" s="10"/>
      <c r="Y433" s="10"/>
      <c r="Z433" s="61"/>
      <c r="AA433" s="140"/>
      <c r="AB433" s="71"/>
      <c r="AC433" s="52"/>
      <c r="AD433" s="339"/>
      <c r="AE433" s="52"/>
      <c r="AF433" s="52"/>
      <c r="AG433" s="52"/>
    </row>
    <row r="434" spans="20:33" ht="16" customHeight="1">
      <c r="T434" s="27"/>
      <c r="U434" s="10"/>
      <c r="V434" s="27"/>
      <c r="W434" s="10"/>
      <c r="X434" s="10"/>
      <c r="Y434" s="10"/>
      <c r="Z434" s="61"/>
      <c r="AA434" s="140"/>
      <c r="AB434" s="71"/>
      <c r="AC434" s="52"/>
      <c r="AD434" s="339"/>
      <c r="AE434" s="52"/>
      <c r="AF434" s="52"/>
      <c r="AG434" s="52"/>
    </row>
    <row r="435" spans="20:33" ht="16" customHeight="1">
      <c r="T435" s="27"/>
      <c r="U435" s="10"/>
      <c r="V435" s="27"/>
      <c r="W435" s="10"/>
      <c r="X435" s="10"/>
      <c r="Y435" s="10"/>
      <c r="Z435" s="61"/>
      <c r="AA435" s="140"/>
      <c r="AB435" s="71"/>
      <c r="AC435" s="52"/>
      <c r="AD435" s="339"/>
      <c r="AE435" s="52"/>
      <c r="AF435" s="52"/>
      <c r="AG435" s="52"/>
    </row>
    <row r="436" spans="20:33" ht="16" customHeight="1">
      <c r="T436" s="27"/>
      <c r="U436" s="10"/>
      <c r="V436" s="27"/>
      <c r="W436" s="10"/>
      <c r="X436" s="10"/>
      <c r="Y436" s="10"/>
      <c r="Z436" s="61"/>
      <c r="AA436" s="140"/>
      <c r="AB436" s="71"/>
      <c r="AC436" s="52"/>
      <c r="AD436" s="339"/>
      <c r="AE436" s="52"/>
      <c r="AF436" s="52"/>
      <c r="AG436" s="52"/>
    </row>
    <row r="437" spans="20:33" ht="16" customHeight="1">
      <c r="T437" s="27"/>
      <c r="U437" s="10"/>
      <c r="V437" s="27"/>
      <c r="W437" s="10"/>
      <c r="X437" s="10"/>
      <c r="Y437" s="10"/>
      <c r="Z437" s="61"/>
      <c r="AA437" s="140"/>
      <c r="AB437" s="71"/>
      <c r="AC437" s="52"/>
      <c r="AD437" s="339"/>
      <c r="AE437" s="52"/>
      <c r="AF437" s="52"/>
      <c r="AG437" s="52"/>
    </row>
    <row r="438" spans="20:33" ht="16" customHeight="1">
      <c r="T438" s="27"/>
      <c r="U438" s="10"/>
      <c r="V438" s="27"/>
      <c r="W438" s="10"/>
      <c r="X438" s="10"/>
      <c r="Y438" s="10"/>
      <c r="Z438" s="61"/>
      <c r="AA438" s="140"/>
      <c r="AB438" s="71"/>
      <c r="AC438" s="52"/>
      <c r="AD438" s="339"/>
      <c r="AE438" s="52"/>
      <c r="AF438" s="52"/>
      <c r="AG438" s="52"/>
    </row>
    <row r="439" spans="20:33" ht="16" customHeight="1">
      <c r="T439" s="27"/>
      <c r="U439" s="10"/>
      <c r="V439" s="27"/>
      <c r="W439" s="10"/>
      <c r="X439" s="10"/>
      <c r="Y439" s="10"/>
      <c r="Z439" s="61"/>
      <c r="AA439" s="140"/>
      <c r="AB439" s="71"/>
      <c r="AC439" s="52"/>
      <c r="AD439" s="339"/>
      <c r="AE439" s="52"/>
      <c r="AF439" s="52"/>
      <c r="AG439" s="52"/>
    </row>
    <row r="440" spans="20:33" ht="16" customHeight="1">
      <c r="T440" s="27"/>
      <c r="U440" s="10"/>
      <c r="V440" s="27"/>
      <c r="W440" s="10"/>
      <c r="X440" s="10"/>
      <c r="Y440" s="10"/>
      <c r="Z440" s="61"/>
      <c r="AA440" s="140"/>
      <c r="AB440" s="71"/>
      <c r="AC440" s="52"/>
      <c r="AD440" s="339"/>
      <c r="AE440" s="52"/>
      <c r="AF440" s="52"/>
      <c r="AG440" s="52"/>
    </row>
    <row r="441" spans="20:33" ht="16" customHeight="1">
      <c r="T441" s="27"/>
      <c r="U441" s="10"/>
      <c r="V441" s="27"/>
      <c r="W441" s="10"/>
      <c r="X441" s="10"/>
      <c r="Y441" s="10"/>
      <c r="Z441" s="61"/>
      <c r="AA441" s="140"/>
      <c r="AB441" s="71"/>
      <c r="AC441" s="52"/>
      <c r="AD441" s="339"/>
      <c r="AE441" s="52"/>
      <c r="AF441" s="52"/>
      <c r="AG441" s="52"/>
    </row>
    <row r="442" spans="20:33" ht="16" customHeight="1">
      <c r="T442" s="27"/>
      <c r="U442" s="10"/>
      <c r="V442" s="27"/>
      <c r="W442" s="10"/>
      <c r="X442" s="10"/>
      <c r="Y442" s="10"/>
      <c r="Z442" s="61"/>
      <c r="AA442" s="140"/>
      <c r="AB442" s="71"/>
      <c r="AC442" s="52"/>
      <c r="AD442" s="339"/>
      <c r="AE442" s="52"/>
      <c r="AF442" s="52"/>
      <c r="AG442" s="52"/>
    </row>
    <row r="443" spans="20:33" ht="16" customHeight="1">
      <c r="T443" s="27"/>
      <c r="U443" s="10"/>
      <c r="V443" s="27"/>
      <c r="W443" s="10"/>
      <c r="X443" s="10"/>
      <c r="Y443" s="10"/>
      <c r="Z443" s="61"/>
      <c r="AA443" s="140"/>
      <c r="AB443" s="71"/>
      <c r="AC443" s="52"/>
      <c r="AD443" s="339"/>
      <c r="AE443" s="52"/>
      <c r="AF443" s="52"/>
      <c r="AG443" s="52"/>
    </row>
    <row r="444" spans="20:33" ht="16" customHeight="1">
      <c r="T444" s="27"/>
      <c r="U444" s="10"/>
      <c r="V444" s="27"/>
      <c r="W444" s="10"/>
      <c r="X444" s="10"/>
      <c r="Y444" s="10"/>
      <c r="Z444" s="61"/>
      <c r="AA444" s="140"/>
      <c r="AB444" s="71"/>
      <c r="AC444" s="52"/>
      <c r="AD444" s="339"/>
      <c r="AE444" s="52"/>
      <c r="AF444" s="52"/>
      <c r="AG444" s="52"/>
    </row>
    <row r="445" spans="20:33" ht="16" customHeight="1">
      <c r="T445" s="27"/>
      <c r="U445" s="10"/>
      <c r="V445" s="27"/>
      <c r="W445" s="10"/>
      <c r="X445" s="10"/>
      <c r="Y445" s="10"/>
      <c r="Z445" s="61"/>
      <c r="AA445" s="140"/>
      <c r="AB445" s="71"/>
      <c r="AC445" s="52"/>
      <c r="AD445" s="339"/>
      <c r="AE445" s="52"/>
      <c r="AF445" s="52"/>
      <c r="AG445" s="52"/>
    </row>
    <row r="446" spans="20:33" ht="16" customHeight="1">
      <c r="T446" s="27"/>
      <c r="U446" s="10"/>
      <c r="V446" s="27"/>
      <c r="W446" s="10"/>
      <c r="X446" s="10"/>
      <c r="Y446" s="10"/>
      <c r="Z446" s="61"/>
      <c r="AA446" s="140"/>
      <c r="AB446" s="71"/>
      <c r="AC446" s="52"/>
      <c r="AD446" s="339"/>
      <c r="AE446" s="52"/>
      <c r="AF446" s="52"/>
      <c r="AG446" s="52"/>
    </row>
    <row r="447" spans="20:33" ht="16" customHeight="1">
      <c r="T447" s="27"/>
      <c r="U447" s="10"/>
      <c r="V447" s="27"/>
      <c r="W447" s="10"/>
      <c r="X447" s="10"/>
      <c r="Y447" s="10"/>
      <c r="Z447" s="61"/>
      <c r="AA447" s="140"/>
      <c r="AB447" s="71"/>
      <c r="AC447" s="52"/>
      <c r="AD447" s="339"/>
      <c r="AE447" s="52"/>
      <c r="AF447" s="52"/>
      <c r="AG447" s="52"/>
    </row>
    <row r="448" spans="20:33" ht="16" customHeight="1">
      <c r="T448" s="27"/>
      <c r="U448" s="10"/>
      <c r="V448" s="27"/>
      <c r="W448" s="10"/>
      <c r="X448" s="10"/>
      <c r="Y448" s="10"/>
      <c r="Z448" s="61"/>
      <c r="AA448" s="140"/>
      <c r="AB448" s="71"/>
      <c r="AC448" s="52"/>
      <c r="AD448" s="339"/>
      <c r="AE448" s="52"/>
      <c r="AF448" s="52"/>
      <c r="AG448" s="52"/>
    </row>
    <row r="449" spans="20:33" ht="16" customHeight="1">
      <c r="T449" s="27"/>
      <c r="U449" s="10"/>
      <c r="V449" s="27"/>
      <c r="W449" s="10"/>
      <c r="X449" s="10"/>
      <c r="Y449" s="10"/>
      <c r="Z449" s="61"/>
      <c r="AA449" s="140"/>
      <c r="AB449" s="71"/>
      <c r="AC449" s="52"/>
      <c r="AD449" s="339"/>
      <c r="AE449" s="52"/>
      <c r="AF449" s="52"/>
      <c r="AG449" s="52"/>
    </row>
    <row r="450" spans="20:33" ht="16" customHeight="1">
      <c r="T450" s="27"/>
      <c r="U450" s="10"/>
      <c r="V450" s="27"/>
      <c r="W450" s="10"/>
      <c r="X450" s="10"/>
      <c r="Y450" s="10"/>
      <c r="Z450" s="61"/>
      <c r="AA450" s="140"/>
      <c r="AB450" s="71"/>
      <c r="AC450" s="52"/>
      <c r="AD450" s="339"/>
      <c r="AE450" s="52"/>
      <c r="AF450" s="52"/>
      <c r="AG450" s="52"/>
    </row>
    <row r="451" spans="20:33" ht="16" customHeight="1">
      <c r="T451" s="27"/>
      <c r="U451" s="10"/>
      <c r="V451" s="27"/>
      <c r="W451" s="10"/>
      <c r="X451" s="10"/>
      <c r="Y451" s="10"/>
      <c r="Z451" s="61"/>
      <c r="AA451" s="140"/>
      <c r="AB451" s="71"/>
      <c r="AC451" s="52"/>
      <c r="AD451" s="339"/>
      <c r="AE451" s="52"/>
      <c r="AF451" s="52"/>
      <c r="AG451" s="52"/>
    </row>
    <row r="452" spans="20:33" ht="16" customHeight="1">
      <c r="T452" s="27"/>
      <c r="U452" s="10"/>
      <c r="V452" s="27"/>
      <c r="W452" s="10"/>
      <c r="X452" s="10"/>
      <c r="Y452" s="10"/>
      <c r="Z452" s="61"/>
      <c r="AA452" s="140"/>
      <c r="AB452" s="71"/>
      <c r="AC452" s="52"/>
      <c r="AD452" s="339"/>
      <c r="AE452" s="52"/>
      <c r="AF452" s="52"/>
      <c r="AG452" s="52"/>
    </row>
    <row r="453" spans="20:33" ht="16" customHeight="1">
      <c r="T453" s="27"/>
      <c r="U453" s="10"/>
      <c r="V453" s="27"/>
      <c r="W453" s="10"/>
      <c r="X453" s="10"/>
      <c r="Y453" s="10"/>
      <c r="Z453" s="61"/>
      <c r="AA453" s="140"/>
      <c r="AB453" s="71"/>
      <c r="AC453" s="52"/>
      <c r="AD453" s="339"/>
      <c r="AE453" s="52"/>
      <c r="AF453" s="52"/>
      <c r="AG453" s="52"/>
    </row>
    <row r="454" spans="20:33" ht="16" customHeight="1">
      <c r="T454" s="27"/>
      <c r="U454" s="10"/>
      <c r="V454" s="27"/>
      <c r="W454" s="10"/>
      <c r="X454" s="10"/>
      <c r="Y454" s="10"/>
      <c r="Z454" s="61"/>
      <c r="AA454" s="140"/>
      <c r="AB454" s="71"/>
      <c r="AC454" s="52"/>
      <c r="AD454" s="339"/>
      <c r="AE454" s="52"/>
      <c r="AF454" s="52"/>
      <c r="AG454" s="52"/>
    </row>
    <row r="455" spans="20:33" ht="16" customHeight="1">
      <c r="T455" s="27"/>
      <c r="U455" s="10"/>
      <c r="V455" s="27"/>
      <c r="W455" s="10"/>
      <c r="X455" s="10"/>
      <c r="Y455" s="10"/>
      <c r="Z455" s="61"/>
      <c r="AA455" s="140"/>
      <c r="AB455" s="71"/>
      <c r="AC455" s="52"/>
      <c r="AD455" s="339"/>
      <c r="AE455" s="52"/>
      <c r="AF455" s="52"/>
      <c r="AG455" s="52"/>
    </row>
    <row r="456" spans="20:33" ht="16" customHeight="1">
      <c r="T456" s="27"/>
      <c r="U456" s="10"/>
      <c r="V456" s="27"/>
      <c r="W456" s="10"/>
      <c r="X456" s="10"/>
      <c r="Y456" s="10"/>
      <c r="Z456" s="61"/>
      <c r="AA456" s="140"/>
      <c r="AB456" s="71"/>
      <c r="AC456" s="52"/>
      <c r="AD456" s="339"/>
      <c r="AE456" s="52"/>
      <c r="AF456" s="52"/>
      <c r="AG456" s="52"/>
    </row>
    <row r="457" spans="20:33" ht="16" customHeight="1">
      <c r="T457" s="27"/>
      <c r="U457" s="10"/>
      <c r="V457" s="27"/>
      <c r="W457" s="10"/>
      <c r="X457" s="10"/>
      <c r="Y457" s="10"/>
      <c r="Z457" s="61"/>
      <c r="AA457" s="140"/>
      <c r="AB457" s="71"/>
      <c r="AC457" s="52"/>
      <c r="AD457" s="339"/>
      <c r="AE457" s="52"/>
      <c r="AF457" s="52"/>
      <c r="AG457" s="52"/>
    </row>
    <row r="458" spans="20:33" ht="16" customHeight="1">
      <c r="T458" s="27"/>
      <c r="U458" s="10"/>
      <c r="V458" s="27"/>
      <c r="W458" s="10"/>
      <c r="X458" s="10"/>
      <c r="Y458" s="10"/>
      <c r="Z458" s="61"/>
      <c r="AA458" s="140"/>
      <c r="AB458" s="71"/>
      <c r="AC458" s="52"/>
      <c r="AD458" s="339"/>
      <c r="AE458" s="52"/>
      <c r="AF458" s="52"/>
      <c r="AG458" s="52"/>
    </row>
    <row r="459" spans="20:33" ht="16" customHeight="1">
      <c r="T459" s="27"/>
      <c r="U459" s="10"/>
      <c r="V459" s="27"/>
      <c r="W459" s="10"/>
      <c r="X459" s="10"/>
      <c r="Y459" s="10"/>
      <c r="Z459" s="61"/>
      <c r="AA459" s="140"/>
      <c r="AB459" s="71"/>
      <c r="AC459" s="52"/>
      <c r="AD459" s="339"/>
      <c r="AE459" s="52"/>
      <c r="AF459" s="52"/>
      <c r="AG459" s="52"/>
    </row>
    <row r="460" spans="20:33" ht="16" customHeight="1">
      <c r="T460" s="27"/>
      <c r="U460" s="10"/>
      <c r="V460" s="27"/>
      <c r="W460" s="10"/>
      <c r="X460" s="10"/>
      <c r="Y460" s="10"/>
      <c r="Z460" s="61"/>
      <c r="AA460" s="140"/>
      <c r="AB460" s="71"/>
      <c r="AC460" s="52"/>
      <c r="AD460" s="339"/>
      <c r="AE460" s="52"/>
      <c r="AF460" s="52"/>
      <c r="AG460" s="52"/>
    </row>
    <row r="461" spans="20:33" ht="16" customHeight="1">
      <c r="T461" s="27"/>
      <c r="U461" s="10"/>
      <c r="V461" s="27"/>
      <c r="W461" s="10"/>
      <c r="X461" s="10"/>
      <c r="Y461" s="10"/>
      <c r="Z461" s="61"/>
      <c r="AA461" s="140"/>
      <c r="AB461" s="71"/>
      <c r="AC461" s="52"/>
      <c r="AD461" s="339"/>
      <c r="AE461" s="52"/>
      <c r="AF461" s="52"/>
      <c r="AG461" s="52"/>
    </row>
    <row r="462" spans="20:33" ht="16" customHeight="1">
      <c r="T462" s="27"/>
      <c r="U462" s="10"/>
      <c r="V462" s="27"/>
      <c r="W462" s="10"/>
      <c r="X462" s="10"/>
      <c r="Y462" s="10"/>
      <c r="Z462" s="61"/>
      <c r="AA462" s="140"/>
      <c r="AB462" s="71"/>
      <c r="AC462" s="52"/>
      <c r="AD462" s="339"/>
      <c r="AE462" s="52"/>
      <c r="AF462" s="52"/>
      <c r="AG462" s="52"/>
    </row>
    <row r="463" spans="20:33" ht="16" customHeight="1">
      <c r="T463" s="27"/>
      <c r="U463" s="10"/>
      <c r="V463" s="27"/>
      <c r="W463" s="10"/>
      <c r="X463" s="10"/>
      <c r="Y463" s="10"/>
      <c r="Z463" s="61"/>
      <c r="AA463" s="140"/>
      <c r="AB463" s="71"/>
      <c r="AC463" s="52"/>
      <c r="AD463" s="339"/>
      <c r="AE463" s="52"/>
      <c r="AF463" s="52"/>
      <c r="AG463" s="52"/>
    </row>
    <row r="464" spans="20:33" ht="16" customHeight="1">
      <c r="T464" s="27"/>
      <c r="U464" s="10"/>
      <c r="V464" s="27"/>
      <c r="W464" s="10"/>
      <c r="X464" s="10"/>
      <c r="Y464" s="10"/>
      <c r="Z464" s="61"/>
      <c r="AA464" s="140"/>
      <c r="AB464" s="71"/>
      <c r="AC464" s="52"/>
      <c r="AD464" s="339"/>
      <c r="AE464" s="52"/>
      <c r="AF464" s="52"/>
      <c r="AG464" s="52"/>
    </row>
    <row r="465" spans="20:33" ht="16" customHeight="1">
      <c r="T465" s="27"/>
      <c r="U465" s="10"/>
      <c r="V465" s="27"/>
      <c r="W465" s="10"/>
      <c r="X465" s="10"/>
      <c r="Y465" s="10"/>
      <c r="Z465" s="61"/>
      <c r="AA465" s="140"/>
      <c r="AB465" s="71"/>
      <c r="AC465" s="52"/>
      <c r="AD465" s="339"/>
      <c r="AE465" s="52"/>
      <c r="AF465" s="52"/>
      <c r="AG465" s="52"/>
    </row>
    <row r="466" spans="20:33" ht="16" customHeight="1">
      <c r="T466" s="27"/>
      <c r="U466" s="10"/>
      <c r="V466" s="27"/>
      <c r="W466" s="10"/>
      <c r="X466" s="10"/>
      <c r="Y466" s="10"/>
      <c r="Z466" s="61"/>
      <c r="AA466" s="140"/>
      <c r="AB466" s="71"/>
      <c r="AC466" s="52"/>
      <c r="AD466" s="339"/>
      <c r="AE466" s="52"/>
      <c r="AF466" s="52"/>
      <c r="AG466" s="52"/>
    </row>
    <row r="467" spans="20:33" ht="16" customHeight="1">
      <c r="T467" s="27"/>
      <c r="U467" s="10"/>
      <c r="V467" s="27"/>
      <c r="W467" s="10"/>
      <c r="X467" s="10"/>
      <c r="Y467" s="10"/>
      <c r="Z467" s="61"/>
      <c r="AA467" s="140"/>
      <c r="AB467" s="71"/>
      <c r="AC467" s="52"/>
      <c r="AD467" s="339"/>
      <c r="AE467" s="52"/>
      <c r="AF467" s="52"/>
      <c r="AG467" s="52"/>
    </row>
    <row r="468" spans="20:33" ht="16" customHeight="1">
      <c r="T468" s="27"/>
      <c r="U468" s="10"/>
      <c r="V468" s="27"/>
      <c r="W468" s="10"/>
      <c r="X468" s="10"/>
      <c r="Y468" s="10"/>
      <c r="Z468" s="61"/>
      <c r="AA468" s="140"/>
      <c r="AB468" s="71"/>
      <c r="AC468" s="52"/>
      <c r="AD468" s="339"/>
      <c r="AE468" s="52"/>
      <c r="AF468" s="52"/>
      <c r="AG468" s="52"/>
    </row>
    <row r="469" spans="20:33" ht="16" customHeight="1">
      <c r="T469" s="27"/>
      <c r="U469" s="10"/>
      <c r="V469" s="27"/>
      <c r="W469" s="10"/>
      <c r="X469" s="10"/>
      <c r="Y469" s="10"/>
      <c r="Z469" s="61"/>
      <c r="AA469" s="140"/>
      <c r="AB469" s="71"/>
      <c r="AC469" s="52"/>
      <c r="AD469" s="339"/>
      <c r="AE469" s="52"/>
      <c r="AF469" s="52"/>
      <c r="AG469" s="52"/>
    </row>
    <row r="470" spans="20:33" ht="16" customHeight="1">
      <c r="T470" s="27"/>
      <c r="U470" s="10"/>
      <c r="V470" s="27"/>
      <c r="W470" s="10"/>
      <c r="X470" s="10"/>
      <c r="Y470" s="10"/>
      <c r="Z470" s="61"/>
      <c r="AA470" s="140"/>
      <c r="AB470" s="71"/>
      <c r="AC470" s="52"/>
      <c r="AD470" s="339"/>
      <c r="AE470" s="52"/>
      <c r="AF470" s="52"/>
      <c r="AG470" s="52"/>
    </row>
    <row r="471" spans="20:33" ht="16" customHeight="1">
      <c r="T471" s="27"/>
      <c r="U471" s="10"/>
      <c r="V471" s="27"/>
      <c r="W471" s="10"/>
      <c r="X471" s="10"/>
      <c r="Y471" s="10"/>
      <c r="Z471" s="61"/>
      <c r="AA471" s="140"/>
      <c r="AB471" s="71"/>
      <c r="AC471" s="52"/>
      <c r="AD471" s="339"/>
      <c r="AE471" s="52"/>
      <c r="AF471" s="52"/>
      <c r="AG471" s="52"/>
    </row>
    <row r="472" spans="20:33" ht="16" customHeight="1">
      <c r="T472" s="27"/>
      <c r="U472" s="10"/>
      <c r="V472" s="27"/>
      <c r="W472" s="10"/>
      <c r="X472" s="10"/>
      <c r="Y472" s="10"/>
      <c r="Z472" s="61"/>
      <c r="AA472" s="140"/>
      <c r="AB472" s="71"/>
      <c r="AC472" s="52"/>
      <c r="AD472" s="339"/>
      <c r="AE472" s="52"/>
      <c r="AF472" s="52"/>
      <c r="AG472" s="52"/>
    </row>
    <row r="473" spans="20:33" ht="16" customHeight="1">
      <c r="T473" s="27"/>
      <c r="U473" s="10"/>
      <c r="V473" s="27"/>
      <c r="W473" s="10"/>
      <c r="X473" s="10"/>
      <c r="Y473" s="10"/>
      <c r="Z473" s="61"/>
      <c r="AA473" s="140"/>
      <c r="AB473" s="71"/>
      <c r="AC473" s="52"/>
      <c r="AD473" s="339"/>
      <c r="AE473" s="52"/>
      <c r="AF473" s="52"/>
      <c r="AG473" s="52"/>
    </row>
    <row r="474" spans="20:33" ht="16" customHeight="1">
      <c r="T474" s="27"/>
      <c r="U474" s="10"/>
      <c r="V474" s="27"/>
      <c r="W474" s="10"/>
      <c r="X474" s="10"/>
      <c r="Y474" s="10"/>
      <c r="Z474" s="61"/>
      <c r="AA474" s="140"/>
      <c r="AB474" s="71"/>
      <c r="AC474" s="52"/>
      <c r="AD474" s="339"/>
      <c r="AE474" s="52"/>
      <c r="AF474" s="52"/>
      <c r="AG474" s="52"/>
    </row>
    <row r="475" spans="20:33" ht="16" customHeight="1">
      <c r="T475" s="27"/>
      <c r="U475" s="10"/>
      <c r="V475" s="27"/>
      <c r="W475" s="10"/>
      <c r="X475" s="10"/>
      <c r="Y475" s="10"/>
      <c r="Z475" s="61"/>
      <c r="AA475" s="140"/>
      <c r="AB475" s="71"/>
      <c r="AC475" s="52"/>
      <c r="AD475" s="339"/>
      <c r="AE475" s="52"/>
      <c r="AF475" s="52"/>
      <c r="AG475" s="52"/>
    </row>
    <row r="476" spans="20:33" ht="16" customHeight="1">
      <c r="T476" s="27"/>
      <c r="U476" s="10"/>
      <c r="V476" s="27"/>
      <c r="W476" s="10"/>
      <c r="X476" s="10"/>
      <c r="Y476" s="10"/>
      <c r="Z476" s="61"/>
      <c r="AA476" s="140"/>
      <c r="AB476" s="71"/>
      <c r="AC476" s="52"/>
      <c r="AD476" s="339"/>
      <c r="AE476" s="52"/>
      <c r="AF476" s="52"/>
      <c r="AG476" s="52"/>
    </row>
    <row r="477" spans="20:33" ht="16" customHeight="1">
      <c r="T477" s="27"/>
      <c r="U477" s="10"/>
      <c r="V477" s="27"/>
      <c r="W477" s="10"/>
      <c r="X477" s="10"/>
      <c r="Y477" s="10"/>
      <c r="Z477" s="61"/>
      <c r="AA477" s="140"/>
      <c r="AB477" s="71"/>
      <c r="AC477" s="52"/>
      <c r="AD477" s="339"/>
      <c r="AE477" s="52"/>
      <c r="AF477" s="52"/>
      <c r="AG477" s="52"/>
    </row>
    <row r="478" spans="20:33" ht="16" customHeight="1">
      <c r="T478" s="27"/>
      <c r="U478" s="10"/>
      <c r="V478" s="27"/>
      <c r="W478" s="10"/>
      <c r="X478" s="10"/>
      <c r="Y478" s="10"/>
      <c r="Z478" s="61"/>
      <c r="AA478" s="140"/>
      <c r="AB478" s="71"/>
      <c r="AC478" s="52"/>
      <c r="AD478" s="339"/>
      <c r="AE478" s="52"/>
      <c r="AF478" s="52"/>
      <c r="AG478" s="52"/>
    </row>
    <row r="479" spans="20:33" ht="16" customHeight="1">
      <c r="T479" s="27"/>
      <c r="U479" s="10"/>
      <c r="V479" s="27"/>
      <c r="W479" s="10"/>
      <c r="X479" s="10"/>
      <c r="Y479" s="10"/>
      <c r="Z479" s="61"/>
      <c r="AA479" s="140"/>
      <c r="AB479" s="71"/>
      <c r="AC479" s="52"/>
      <c r="AD479" s="339"/>
      <c r="AE479" s="52"/>
      <c r="AF479" s="52"/>
      <c r="AG479" s="52"/>
    </row>
    <row r="480" spans="20:33" ht="16" customHeight="1">
      <c r="T480" s="27"/>
      <c r="U480" s="10"/>
      <c r="V480" s="27"/>
      <c r="W480" s="10"/>
      <c r="X480" s="10"/>
      <c r="Y480" s="10"/>
      <c r="Z480" s="61"/>
      <c r="AA480" s="140"/>
      <c r="AB480" s="71"/>
      <c r="AC480" s="52"/>
      <c r="AD480" s="339"/>
      <c r="AE480" s="52"/>
      <c r="AF480" s="52"/>
      <c r="AG480" s="52"/>
    </row>
    <row r="481" spans="20:33" ht="16" customHeight="1">
      <c r="T481" s="27"/>
      <c r="U481" s="10"/>
      <c r="V481" s="27"/>
      <c r="W481" s="10"/>
      <c r="X481" s="10"/>
      <c r="Y481" s="10"/>
      <c r="Z481" s="61"/>
      <c r="AA481" s="140"/>
      <c r="AB481" s="71"/>
      <c r="AC481" s="52"/>
      <c r="AD481" s="339"/>
      <c r="AE481" s="52"/>
      <c r="AF481" s="52"/>
      <c r="AG481" s="52"/>
    </row>
    <row r="482" spans="20:33" ht="16" customHeight="1">
      <c r="T482" s="27"/>
      <c r="U482" s="10"/>
      <c r="V482" s="27"/>
      <c r="W482" s="10"/>
      <c r="X482" s="10"/>
      <c r="Y482" s="10"/>
      <c r="Z482" s="61"/>
      <c r="AA482" s="140"/>
      <c r="AB482" s="71"/>
      <c r="AC482" s="52"/>
      <c r="AD482" s="339"/>
      <c r="AE482" s="52"/>
      <c r="AF482" s="52"/>
      <c r="AG482" s="52"/>
    </row>
    <row r="483" spans="20:33" ht="16" customHeight="1">
      <c r="T483" s="27"/>
      <c r="U483" s="10"/>
      <c r="V483" s="27"/>
      <c r="W483" s="10"/>
      <c r="X483" s="10"/>
      <c r="Y483" s="10"/>
      <c r="Z483" s="61"/>
      <c r="AA483" s="140"/>
      <c r="AB483" s="71"/>
      <c r="AC483" s="52"/>
      <c r="AD483" s="339"/>
      <c r="AE483" s="52"/>
      <c r="AF483" s="52"/>
      <c r="AG483" s="52"/>
    </row>
    <row r="484" spans="20:33" ht="16" customHeight="1">
      <c r="T484" s="27"/>
      <c r="U484" s="10"/>
      <c r="V484" s="27"/>
      <c r="W484" s="10"/>
      <c r="X484" s="10"/>
      <c r="Y484" s="10"/>
      <c r="Z484" s="61"/>
      <c r="AA484" s="140"/>
      <c r="AB484" s="71"/>
      <c r="AC484" s="52"/>
      <c r="AD484" s="339"/>
      <c r="AE484" s="52"/>
      <c r="AF484" s="52"/>
      <c r="AG484" s="52"/>
    </row>
    <row r="485" spans="20:33" ht="16" customHeight="1">
      <c r="T485" s="27"/>
      <c r="U485" s="10"/>
      <c r="V485" s="27"/>
      <c r="W485" s="10"/>
      <c r="X485" s="10"/>
      <c r="Y485" s="10"/>
      <c r="Z485" s="61"/>
      <c r="AA485" s="140"/>
      <c r="AB485" s="71"/>
      <c r="AC485" s="52"/>
      <c r="AD485" s="339"/>
      <c r="AE485" s="52"/>
      <c r="AF485" s="52"/>
      <c r="AG485" s="52"/>
    </row>
    <row r="486" spans="20:33" ht="16" customHeight="1">
      <c r="T486" s="27"/>
      <c r="U486" s="10"/>
      <c r="V486" s="27"/>
      <c r="W486" s="10"/>
      <c r="X486" s="10"/>
      <c r="Y486" s="10"/>
      <c r="Z486" s="61"/>
      <c r="AA486" s="140"/>
      <c r="AB486" s="71"/>
      <c r="AC486" s="52"/>
      <c r="AD486" s="339"/>
      <c r="AE486" s="52"/>
      <c r="AF486" s="52"/>
      <c r="AG486" s="52"/>
    </row>
    <row r="487" spans="20:33" ht="16" customHeight="1">
      <c r="T487" s="27"/>
      <c r="U487" s="10"/>
      <c r="V487" s="27"/>
      <c r="W487" s="10"/>
      <c r="X487" s="10"/>
      <c r="Y487" s="10"/>
      <c r="Z487" s="61"/>
      <c r="AA487" s="140"/>
      <c r="AB487" s="71"/>
      <c r="AC487" s="52"/>
      <c r="AD487" s="339"/>
      <c r="AE487" s="52"/>
      <c r="AF487" s="52"/>
      <c r="AG487" s="52"/>
    </row>
    <row r="488" spans="20:33" ht="16" customHeight="1">
      <c r="T488" s="27"/>
      <c r="U488" s="10"/>
      <c r="V488" s="27"/>
      <c r="W488" s="10"/>
      <c r="X488" s="10"/>
      <c r="Y488" s="10"/>
      <c r="Z488" s="61"/>
      <c r="AA488" s="140"/>
      <c r="AB488" s="71"/>
      <c r="AC488" s="52"/>
      <c r="AD488" s="339"/>
      <c r="AE488" s="52"/>
      <c r="AF488" s="52"/>
      <c r="AG488" s="52"/>
    </row>
    <row r="489" spans="20:33" ht="16" customHeight="1">
      <c r="T489" s="27"/>
      <c r="U489" s="10"/>
      <c r="V489" s="27"/>
      <c r="W489" s="10"/>
      <c r="X489" s="10"/>
      <c r="Y489" s="10"/>
      <c r="Z489" s="61"/>
      <c r="AA489" s="140"/>
      <c r="AB489" s="71"/>
      <c r="AC489" s="52"/>
      <c r="AD489" s="339"/>
      <c r="AE489" s="52"/>
      <c r="AF489" s="52"/>
      <c r="AG489" s="52"/>
    </row>
    <row r="490" spans="20:33" ht="16" customHeight="1">
      <c r="T490" s="27"/>
      <c r="U490" s="10"/>
      <c r="V490" s="27"/>
      <c r="W490" s="10"/>
      <c r="X490" s="10"/>
      <c r="Y490" s="10"/>
      <c r="Z490" s="61"/>
      <c r="AA490" s="140"/>
      <c r="AB490" s="71"/>
      <c r="AC490" s="52"/>
      <c r="AD490" s="339"/>
      <c r="AE490" s="52"/>
      <c r="AF490" s="52"/>
      <c r="AG490" s="52"/>
    </row>
    <row r="491" spans="20:33" ht="16" customHeight="1">
      <c r="T491" s="27"/>
      <c r="U491" s="10"/>
      <c r="V491" s="27"/>
      <c r="W491" s="10"/>
      <c r="X491" s="10"/>
      <c r="Y491" s="10"/>
      <c r="Z491" s="61"/>
      <c r="AA491" s="140"/>
      <c r="AB491" s="71"/>
      <c r="AC491" s="52"/>
      <c r="AD491" s="339"/>
      <c r="AE491" s="52"/>
      <c r="AF491" s="52"/>
      <c r="AG491" s="52"/>
    </row>
    <row r="492" spans="20:33" ht="16" customHeight="1">
      <c r="T492" s="27"/>
      <c r="U492" s="10"/>
      <c r="V492" s="27"/>
      <c r="W492" s="10"/>
      <c r="X492" s="10"/>
      <c r="Y492" s="10"/>
      <c r="Z492" s="61"/>
      <c r="AA492" s="140"/>
      <c r="AB492" s="71"/>
      <c r="AC492" s="52"/>
      <c r="AD492" s="339"/>
      <c r="AE492" s="52"/>
      <c r="AF492" s="52"/>
      <c r="AG492" s="52"/>
    </row>
    <row r="493" spans="20:33" ht="16" customHeight="1">
      <c r="T493" s="27"/>
      <c r="U493" s="10"/>
      <c r="V493" s="27"/>
      <c r="W493" s="10"/>
      <c r="X493" s="10"/>
      <c r="Y493" s="10"/>
      <c r="Z493" s="61"/>
      <c r="AA493" s="140"/>
      <c r="AB493" s="71"/>
      <c r="AC493" s="52"/>
      <c r="AD493" s="339"/>
      <c r="AE493" s="52"/>
      <c r="AF493" s="52"/>
      <c r="AG493" s="52"/>
    </row>
    <row r="494" spans="20:33" ht="16" customHeight="1">
      <c r="T494" s="27"/>
      <c r="U494" s="10"/>
      <c r="V494" s="27"/>
      <c r="W494" s="10"/>
      <c r="X494" s="10"/>
      <c r="Y494" s="10"/>
      <c r="Z494" s="61"/>
      <c r="AA494" s="140"/>
      <c r="AB494" s="71"/>
      <c r="AC494" s="52"/>
      <c r="AD494" s="339"/>
      <c r="AE494" s="52"/>
      <c r="AF494" s="52"/>
      <c r="AG494" s="52"/>
    </row>
    <row r="495" spans="20:33" ht="16" customHeight="1">
      <c r="T495" s="27"/>
      <c r="U495" s="10"/>
      <c r="V495" s="27"/>
      <c r="W495" s="10"/>
      <c r="X495" s="10"/>
      <c r="Y495" s="10"/>
      <c r="Z495" s="61"/>
      <c r="AA495" s="140"/>
      <c r="AB495" s="71"/>
      <c r="AC495" s="52"/>
      <c r="AD495" s="339"/>
      <c r="AE495" s="52"/>
      <c r="AF495" s="52"/>
      <c r="AG495" s="52"/>
    </row>
    <row r="496" spans="20:33" ht="16" customHeight="1">
      <c r="T496" s="27"/>
      <c r="U496" s="10"/>
      <c r="V496" s="27"/>
      <c r="W496" s="10"/>
      <c r="X496" s="10"/>
      <c r="Y496" s="10"/>
      <c r="Z496" s="61"/>
      <c r="AA496" s="140"/>
      <c r="AB496" s="71"/>
      <c r="AC496" s="52"/>
      <c r="AD496" s="339"/>
      <c r="AE496" s="52"/>
      <c r="AF496" s="52"/>
      <c r="AG496" s="52"/>
    </row>
    <row r="497" spans="20:33" ht="16" customHeight="1">
      <c r="T497" s="27"/>
      <c r="U497" s="10"/>
      <c r="V497" s="27"/>
      <c r="W497" s="10"/>
      <c r="X497" s="10"/>
      <c r="Y497" s="10"/>
      <c r="Z497" s="61"/>
      <c r="AA497" s="140"/>
      <c r="AB497" s="71"/>
      <c r="AC497" s="52"/>
      <c r="AD497" s="339"/>
      <c r="AE497" s="52"/>
      <c r="AF497" s="52"/>
      <c r="AG497" s="52"/>
    </row>
    <row r="498" spans="20:33" ht="16" customHeight="1">
      <c r="T498" s="27"/>
      <c r="U498" s="10"/>
      <c r="V498" s="27"/>
      <c r="W498" s="10"/>
      <c r="X498" s="10"/>
      <c r="Y498" s="10"/>
      <c r="Z498" s="61"/>
      <c r="AA498" s="140"/>
      <c r="AB498" s="71"/>
      <c r="AC498" s="52"/>
      <c r="AD498" s="339"/>
      <c r="AE498" s="52"/>
      <c r="AF498" s="52"/>
      <c r="AG498" s="52"/>
    </row>
    <row r="499" spans="20:33" ht="16" customHeight="1">
      <c r="T499" s="27"/>
      <c r="U499" s="10"/>
      <c r="V499" s="27"/>
      <c r="W499" s="10"/>
      <c r="X499" s="10"/>
      <c r="Y499" s="10"/>
      <c r="Z499" s="61"/>
      <c r="AA499" s="140"/>
      <c r="AB499" s="71"/>
      <c r="AC499" s="52"/>
      <c r="AD499" s="339"/>
      <c r="AE499" s="52"/>
      <c r="AF499" s="52"/>
      <c r="AG499" s="52"/>
    </row>
    <row r="500" spans="20:33" ht="16" customHeight="1">
      <c r="T500" s="27"/>
      <c r="U500" s="10"/>
      <c r="V500" s="27"/>
      <c r="W500" s="10"/>
      <c r="X500" s="10"/>
      <c r="Y500" s="10"/>
      <c r="Z500" s="61"/>
      <c r="AA500" s="140"/>
      <c r="AB500" s="71"/>
      <c r="AC500" s="52"/>
      <c r="AD500" s="339"/>
      <c r="AE500" s="52"/>
      <c r="AF500" s="52"/>
      <c r="AG500" s="52"/>
    </row>
    <row r="501" spans="20:33" ht="16" customHeight="1">
      <c r="T501" s="27"/>
      <c r="U501" s="10"/>
      <c r="V501" s="27"/>
      <c r="W501" s="10"/>
      <c r="X501" s="10"/>
      <c r="Y501" s="10"/>
      <c r="Z501" s="61"/>
      <c r="AA501" s="140"/>
      <c r="AB501" s="71"/>
      <c r="AC501" s="52"/>
      <c r="AD501" s="339"/>
      <c r="AE501" s="52"/>
      <c r="AF501" s="52"/>
      <c r="AG501" s="52"/>
    </row>
    <row r="502" spans="20:33" ht="16" customHeight="1">
      <c r="T502" s="27"/>
      <c r="U502" s="10"/>
      <c r="V502" s="27"/>
      <c r="W502" s="10"/>
      <c r="X502" s="10"/>
      <c r="Y502" s="10"/>
      <c r="Z502" s="61"/>
      <c r="AA502" s="140"/>
      <c r="AB502" s="71"/>
      <c r="AC502" s="52"/>
      <c r="AD502" s="339"/>
      <c r="AE502" s="52"/>
      <c r="AF502" s="52"/>
      <c r="AG502" s="52"/>
    </row>
    <row r="503" spans="20:33" ht="16" customHeight="1">
      <c r="T503" s="27"/>
      <c r="U503" s="10"/>
      <c r="V503" s="27"/>
      <c r="W503" s="10"/>
      <c r="X503" s="10"/>
      <c r="Y503" s="10"/>
      <c r="Z503" s="61"/>
      <c r="AA503" s="140"/>
      <c r="AB503" s="71"/>
      <c r="AC503" s="52"/>
      <c r="AD503" s="339"/>
      <c r="AE503" s="52"/>
      <c r="AF503" s="52"/>
      <c r="AG503" s="52"/>
    </row>
    <row r="504" spans="20:33" ht="16" customHeight="1">
      <c r="T504" s="27"/>
      <c r="U504" s="10"/>
      <c r="V504" s="27"/>
      <c r="W504" s="10"/>
      <c r="X504" s="10"/>
      <c r="Y504" s="10"/>
      <c r="Z504" s="61"/>
      <c r="AA504" s="140"/>
      <c r="AB504" s="71"/>
      <c r="AC504" s="52"/>
      <c r="AD504" s="339"/>
      <c r="AE504" s="52"/>
      <c r="AF504" s="52"/>
      <c r="AG504" s="52"/>
    </row>
    <row r="505" spans="20:33" ht="16" customHeight="1">
      <c r="T505" s="27"/>
      <c r="U505" s="10"/>
      <c r="V505" s="27"/>
      <c r="W505" s="10"/>
      <c r="X505" s="10"/>
      <c r="Y505" s="10"/>
      <c r="Z505" s="61"/>
      <c r="AA505" s="140"/>
      <c r="AB505" s="71"/>
      <c r="AC505" s="52"/>
      <c r="AD505" s="339"/>
      <c r="AE505" s="52"/>
      <c r="AF505" s="52"/>
      <c r="AG505" s="52"/>
    </row>
    <row r="506" spans="20:33" ht="16" customHeight="1">
      <c r="T506" s="27"/>
      <c r="U506" s="10"/>
      <c r="V506" s="27"/>
      <c r="W506" s="10"/>
      <c r="X506" s="10"/>
      <c r="Y506" s="10"/>
      <c r="Z506" s="61"/>
      <c r="AA506" s="140"/>
      <c r="AB506" s="71"/>
      <c r="AC506" s="52"/>
      <c r="AD506" s="339"/>
      <c r="AE506" s="52"/>
      <c r="AF506" s="52"/>
      <c r="AG506" s="52"/>
    </row>
    <row r="507" spans="20:33" ht="16" customHeight="1">
      <c r="T507" s="27"/>
      <c r="U507" s="10"/>
      <c r="V507" s="27"/>
      <c r="W507" s="10"/>
      <c r="X507" s="10"/>
      <c r="Y507" s="10"/>
      <c r="Z507" s="61"/>
      <c r="AA507" s="140"/>
      <c r="AB507" s="71"/>
      <c r="AC507" s="52"/>
      <c r="AD507" s="339"/>
      <c r="AE507" s="52"/>
      <c r="AF507" s="52"/>
      <c r="AG507" s="52"/>
    </row>
    <row r="508" spans="20:33" ht="16" customHeight="1">
      <c r="T508" s="27"/>
      <c r="U508" s="10"/>
      <c r="V508" s="27"/>
      <c r="W508" s="10"/>
      <c r="X508" s="10"/>
      <c r="Y508" s="10"/>
      <c r="Z508" s="61"/>
      <c r="AA508" s="140"/>
      <c r="AB508" s="71"/>
      <c r="AC508" s="52"/>
      <c r="AD508" s="339"/>
      <c r="AE508" s="52"/>
      <c r="AF508" s="52"/>
      <c r="AG508" s="52"/>
    </row>
    <row r="509" spans="20:33" ht="16" customHeight="1">
      <c r="T509" s="27"/>
      <c r="U509" s="10"/>
      <c r="V509" s="27"/>
      <c r="W509" s="10"/>
      <c r="X509" s="10"/>
      <c r="Y509" s="10"/>
      <c r="Z509" s="61"/>
      <c r="AA509" s="140"/>
      <c r="AB509" s="71"/>
      <c r="AC509" s="52"/>
      <c r="AD509" s="339"/>
      <c r="AE509" s="52"/>
      <c r="AF509" s="52"/>
      <c r="AG509" s="52"/>
    </row>
    <row r="510" spans="20:33" ht="16" customHeight="1">
      <c r="T510" s="27"/>
      <c r="U510" s="10"/>
      <c r="V510" s="27"/>
      <c r="W510" s="10"/>
      <c r="X510" s="10"/>
      <c r="Y510" s="10"/>
      <c r="Z510" s="61"/>
      <c r="AA510" s="140"/>
      <c r="AB510" s="71"/>
      <c r="AC510" s="52"/>
      <c r="AD510" s="339"/>
      <c r="AE510" s="52"/>
      <c r="AF510" s="52"/>
      <c r="AG510" s="52"/>
    </row>
    <row r="511" spans="20:33" ht="16" customHeight="1">
      <c r="T511" s="27"/>
      <c r="U511" s="10"/>
      <c r="V511" s="27"/>
      <c r="W511" s="10"/>
      <c r="X511" s="10"/>
      <c r="Y511" s="10"/>
      <c r="Z511" s="61"/>
      <c r="AA511" s="140"/>
      <c r="AB511" s="71"/>
      <c r="AC511" s="52"/>
      <c r="AD511" s="339"/>
      <c r="AE511" s="52"/>
      <c r="AF511" s="52"/>
      <c r="AG511" s="52"/>
    </row>
    <row r="512" spans="20:33" ht="16" customHeight="1">
      <c r="T512" s="27"/>
      <c r="U512" s="10"/>
      <c r="V512" s="27"/>
      <c r="W512" s="10"/>
      <c r="X512" s="10"/>
      <c r="Y512" s="10"/>
      <c r="Z512" s="61"/>
      <c r="AA512" s="140"/>
      <c r="AB512" s="71"/>
      <c r="AC512" s="52"/>
      <c r="AD512" s="339"/>
      <c r="AE512" s="52"/>
      <c r="AF512" s="52"/>
      <c r="AG512" s="52"/>
    </row>
    <row r="513" spans="6:33" ht="16" customHeight="1">
      <c r="T513" s="27"/>
      <c r="U513" s="10"/>
      <c r="V513" s="27"/>
      <c r="W513" s="10"/>
      <c r="X513" s="10"/>
      <c r="Y513" s="10"/>
      <c r="Z513" s="61"/>
      <c r="AA513" s="140"/>
      <c r="AB513" s="71"/>
      <c r="AC513" s="52"/>
      <c r="AD513" s="339"/>
      <c r="AE513" s="52"/>
      <c r="AF513" s="52"/>
      <c r="AG513" s="52"/>
    </row>
    <row r="514" spans="6:33" ht="16" customHeight="1">
      <c r="T514" s="27"/>
      <c r="U514" s="10"/>
      <c r="V514" s="27"/>
      <c r="W514" s="10"/>
      <c r="X514" s="10"/>
      <c r="Y514" s="10"/>
      <c r="Z514" s="61"/>
      <c r="AA514" s="140"/>
      <c r="AB514" s="71"/>
      <c r="AC514" s="52"/>
      <c r="AD514" s="339"/>
      <c r="AE514" s="52"/>
      <c r="AF514" s="52"/>
      <c r="AG514" s="52"/>
    </row>
    <row r="515" spans="6:33" ht="16" customHeight="1">
      <c r="T515" s="27"/>
      <c r="U515" s="10"/>
      <c r="V515" s="27"/>
      <c r="W515" s="10"/>
      <c r="X515" s="10"/>
      <c r="Y515" s="10"/>
      <c r="Z515" s="61"/>
      <c r="AA515" s="140"/>
      <c r="AB515" s="71"/>
      <c r="AC515" s="52"/>
      <c r="AD515" s="339"/>
      <c r="AE515" s="52"/>
      <c r="AF515" s="52"/>
      <c r="AG515" s="52"/>
    </row>
    <row r="516" spans="6:33" ht="16" customHeight="1">
      <c r="T516" s="27"/>
      <c r="U516" s="10"/>
      <c r="V516" s="27"/>
      <c r="W516" s="10"/>
      <c r="X516" s="10"/>
      <c r="Y516" s="10"/>
      <c r="Z516" s="61"/>
      <c r="AA516" s="140"/>
      <c r="AB516" s="71"/>
      <c r="AC516" s="52"/>
      <c r="AD516" s="339"/>
      <c r="AE516" s="52"/>
      <c r="AF516" s="52"/>
      <c r="AG516" s="52"/>
    </row>
    <row r="517" spans="6:33" ht="16" customHeight="1">
      <c r="T517" s="27"/>
      <c r="U517" s="10"/>
      <c r="V517" s="27"/>
      <c r="W517" s="10"/>
      <c r="X517" s="10"/>
      <c r="Y517" s="10"/>
      <c r="Z517" s="61"/>
      <c r="AA517" s="140"/>
      <c r="AB517" s="71"/>
      <c r="AC517" s="52"/>
      <c r="AD517" s="339"/>
      <c r="AE517" s="52"/>
      <c r="AF517" s="52"/>
      <c r="AG517" s="52"/>
    </row>
    <row r="518" spans="6:33" ht="16" customHeight="1">
      <c r="T518" s="27"/>
      <c r="U518" s="10"/>
      <c r="V518" s="27"/>
      <c r="W518" s="10"/>
      <c r="X518" s="10"/>
      <c r="Y518" s="10"/>
      <c r="Z518" s="61"/>
      <c r="AA518" s="140"/>
      <c r="AB518" s="71"/>
      <c r="AC518" s="52"/>
      <c r="AD518" s="339"/>
      <c r="AE518" s="52"/>
      <c r="AF518" s="52"/>
      <c r="AG518" s="52"/>
    </row>
    <row r="519" spans="6:33" ht="16" customHeight="1">
      <c r="T519" s="27"/>
      <c r="U519" s="10"/>
      <c r="V519" s="27"/>
      <c r="W519" s="10"/>
      <c r="X519" s="10"/>
      <c r="Y519" s="10"/>
      <c r="Z519" s="61"/>
      <c r="AA519" s="140"/>
      <c r="AB519" s="71"/>
      <c r="AC519" s="52"/>
      <c r="AD519" s="339"/>
      <c r="AE519" s="52"/>
      <c r="AF519" s="52"/>
      <c r="AG519" s="52"/>
    </row>
    <row r="520" spans="6:33" ht="16" customHeight="1">
      <c r="T520" s="27"/>
      <c r="U520" s="10"/>
      <c r="V520" s="27"/>
      <c r="W520" s="10"/>
      <c r="X520" s="10"/>
      <c r="Y520" s="10"/>
      <c r="Z520" s="61"/>
      <c r="AA520" s="140"/>
      <c r="AB520" s="71"/>
      <c r="AC520" s="52"/>
      <c r="AD520" s="339"/>
      <c r="AE520" s="52"/>
      <c r="AF520" s="52"/>
      <c r="AG520" s="52"/>
    </row>
    <row r="521" spans="6:33" ht="16" customHeight="1">
      <c r="T521" s="27"/>
      <c r="U521" s="10"/>
      <c r="V521" s="27"/>
      <c r="W521" s="10"/>
      <c r="X521" s="10"/>
      <c r="Y521" s="10"/>
      <c r="Z521" s="61"/>
      <c r="AA521" s="140"/>
      <c r="AB521" s="71"/>
      <c r="AC521" s="52"/>
      <c r="AD521" s="339"/>
      <c r="AE521" s="52"/>
      <c r="AF521" s="52"/>
      <c r="AG521" s="52"/>
    </row>
    <row r="522" spans="6:33" ht="16" customHeight="1">
      <c r="T522" s="27"/>
      <c r="U522" s="10"/>
      <c r="V522" s="27"/>
      <c r="W522" s="10"/>
      <c r="X522" s="10"/>
      <c r="Y522" s="10"/>
      <c r="Z522" s="61"/>
      <c r="AA522" s="140"/>
      <c r="AB522" s="71"/>
      <c r="AC522" s="52"/>
      <c r="AD522" s="339"/>
      <c r="AE522" s="52"/>
      <c r="AF522" s="52"/>
      <c r="AG522" s="52"/>
    </row>
    <row r="523" spans="6:33" ht="16" customHeight="1">
      <c r="T523" s="27"/>
      <c r="U523" s="10"/>
      <c r="V523" s="27"/>
      <c r="W523" s="10"/>
      <c r="X523" s="10"/>
      <c r="Y523" s="10"/>
      <c r="Z523" s="61"/>
      <c r="AA523" s="140"/>
      <c r="AB523" s="71"/>
      <c r="AC523" s="52"/>
      <c r="AD523" s="339"/>
      <c r="AE523" s="52"/>
      <c r="AF523" s="52"/>
      <c r="AG523" s="52"/>
    </row>
    <row r="524" spans="6:33" ht="16" customHeight="1">
      <c r="T524" s="27"/>
      <c r="U524" s="10"/>
      <c r="V524" s="27"/>
      <c r="W524" s="10"/>
      <c r="X524" s="10"/>
      <c r="Y524" s="10"/>
      <c r="Z524" s="61"/>
      <c r="AA524" s="140"/>
      <c r="AB524" s="71"/>
      <c r="AC524" s="52"/>
      <c r="AD524" s="339"/>
      <c r="AE524" s="52"/>
      <c r="AF524" s="52"/>
      <c r="AG524" s="52"/>
    </row>
    <row r="525" spans="6:33" ht="16" customHeight="1">
      <c r="T525" s="27"/>
      <c r="U525" s="10"/>
      <c r="V525" s="27"/>
      <c r="W525" s="10"/>
      <c r="X525" s="10"/>
      <c r="Y525" s="10"/>
      <c r="Z525" s="61"/>
      <c r="AA525" s="140"/>
      <c r="AB525" s="71"/>
      <c r="AC525" s="52"/>
      <c r="AD525" s="339"/>
      <c r="AE525" s="52"/>
      <c r="AF525" s="52"/>
      <c r="AG525" s="52"/>
    </row>
    <row r="526" spans="6:33" ht="16" customHeight="1">
      <c r="T526" s="27"/>
      <c r="U526" s="10"/>
      <c r="V526" s="27"/>
      <c r="W526" s="10"/>
      <c r="X526" s="10"/>
      <c r="Y526" s="10"/>
      <c r="Z526" s="61"/>
      <c r="AA526" s="140"/>
      <c r="AB526" s="71"/>
      <c r="AC526" s="52"/>
      <c r="AD526" s="339"/>
      <c r="AE526" s="52"/>
      <c r="AF526" s="52"/>
      <c r="AG526" s="52"/>
    </row>
    <row r="527" spans="6:33" ht="16" customHeight="1">
      <c r="F527" s="52"/>
      <c r="G527" s="71"/>
      <c r="H527" s="71"/>
      <c r="I527" s="118"/>
      <c r="J527" s="118"/>
      <c r="K527" s="52"/>
      <c r="L527" s="71"/>
      <c r="M527" s="71"/>
      <c r="N527" s="71"/>
      <c r="O527" s="71"/>
      <c r="P527" s="118"/>
      <c r="Q527" s="71"/>
      <c r="R527" s="71"/>
      <c r="S527" s="71"/>
      <c r="T527" s="27"/>
      <c r="U527" s="10"/>
      <c r="V527" s="27"/>
      <c r="W527" s="10"/>
      <c r="X527" s="10"/>
      <c r="Y527" s="10"/>
      <c r="Z527" s="61"/>
      <c r="AA527" s="140"/>
      <c r="AB527" s="71"/>
      <c r="AC527" s="52"/>
      <c r="AD527" s="339"/>
      <c r="AE527" s="52"/>
      <c r="AF527" s="52"/>
      <c r="AG527" s="52"/>
    </row>
    <row r="528" spans="6:33" ht="16" customHeight="1">
      <c r="F528" s="52"/>
      <c r="G528" s="71"/>
      <c r="H528" s="71"/>
      <c r="I528" s="118"/>
      <c r="J528" s="118"/>
      <c r="K528" s="52"/>
      <c r="L528" s="71"/>
      <c r="M528" s="71"/>
      <c r="N528" s="71"/>
      <c r="O528" s="71"/>
      <c r="P528" s="118"/>
      <c r="Q528" s="71"/>
      <c r="R528" s="71"/>
      <c r="S528" s="71"/>
      <c r="T528" s="27"/>
      <c r="U528" s="10"/>
      <c r="V528" s="27"/>
      <c r="W528" s="10"/>
      <c r="X528" s="10"/>
      <c r="Y528" s="10"/>
      <c r="Z528" s="61"/>
      <c r="AA528" s="140"/>
      <c r="AB528" s="71"/>
      <c r="AC528" s="52"/>
      <c r="AD528" s="339"/>
      <c r="AE528" s="52"/>
      <c r="AF528" s="52"/>
      <c r="AG528" s="52"/>
    </row>
    <row r="529" spans="6:33" ht="16" customHeight="1">
      <c r="F529" s="52"/>
      <c r="G529" s="71"/>
      <c r="H529" s="71"/>
      <c r="I529" s="118"/>
      <c r="J529" s="118"/>
      <c r="K529" s="52"/>
      <c r="L529" s="71"/>
      <c r="M529" s="71"/>
      <c r="N529" s="71"/>
      <c r="O529" s="71"/>
      <c r="P529" s="118"/>
      <c r="Q529" s="71"/>
      <c r="R529" s="71"/>
      <c r="S529" s="71"/>
      <c r="T529" s="27"/>
      <c r="U529" s="10"/>
      <c r="V529" s="27"/>
      <c r="W529" s="10"/>
      <c r="X529" s="10"/>
      <c r="Y529" s="10"/>
      <c r="Z529" s="61"/>
      <c r="AA529" s="140"/>
      <c r="AB529" s="71"/>
      <c r="AC529" s="52"/>
      <c r="AD529" s="339"/>
      <c r="AE529" s="52"/>
      <c r="AF529" s="52"/>
      <c r="AG529" s="52"/>
    </row>
    <row r="530" spans="6:33" ht="16" customHeight="1">
      <c r="F530" s="52"/>
      <c r="G530" s="71"/>
      <c r="H530" s="71"/>
      <c r="I530" s="118"/>
      <c r="J530" s="118"/>
      <c r="K530" s="52"/>
      <c r="L530" s="71"/>
      <c r="M530" s="71"/>
      <c r="N530" s="71"/>
      <c r="O530" s="71"/>
      <c r="P530" s="118"/>
      <c r="Q530" s="71"/>
      <c r="R530" s="71"/>
      <c r="S530" s="71"/>
      <c r="T530" s="27"/>
      <c r="U530" s="10"/>
      <c r="V530" s="27"/>
      <c r="W530" s="10"/>
      <c r="X530" s="10"/>
      <c r="Y530" s="10"/>
      <c r="Z530" s="61"/>
      <c r="AA530" s="140"/>
      <c r="AB530" s="71"/>
      <c r="AC530" s="52"/>
      <c r="AD530" s="339"/>
      <c r="AE530" s="52"/>
      <c r="AF530" s="52"/>
      <c r="AG530" s="52"/>
    </row>
    <row r="531" spans="6:33" ht="16" customHeight="1">
      <c r="F531" s="52"/>
      <c r="G531" s="71"/>
      <c r="H531" s="71"/>
      <c r="I531" s="118"/>
      <c r="J531" s="118"/>
      <c r="K531" s="52"/>
      <c r="L531" s="71"/>
      <c r="M531" s="71"/>
      <c r="N531" s="71"/>
      <c r="O531" s="71"/>
      <c r="P531" s="118"/>
      <c r="Q531" s="71"/>
      <c r="R531" s="71"/>
      <c r="S531" s="71"/>
      <c r="T531" s="27"/>
      <c r="U531" s="10"/>
      <c r="V531" s="27"/>
      <c r="W531" s="10"/>
      <c r="X531" s="10"/>
      <c r="Y531" s="10"/>
      <c r="Z531" s="61"/>
      <c r="AA531" s="140"/>
      <c r="AB531" s="71"/>
      <c r="AC531" s="52"/>
      <c r="AD531" s="339"/>
      <c r="AE531" s="52"/>
      <c r="AF531" s="52"/>
      <c r="AG531" s="52"/>
    </row>
    <row r="532" spans="6:33" ht="16" customHeight="1">
      <c r="F532" s="52"/>
      <c r="G532" s="71"/>
      <c r="H532" s="71"/>
      <c r="I532" s="118"/>
      <c r="J532" s="118"/>
      <c r="K532" s="52"/>
      <c r="L532" s="71"/>
      <c r="M532" s="71"/>
      <c r="N532" s="71"/>
      <c r="O532" s="71"/>
      <c r="P532" s="118"/>
      <c r="Q532" s="71"/>
      <c r="R532" s="71"/>
      <c r="S532" s="71"/>
      <c r="T532" s="27"/>
      <c r="U532" s="10"/>
      <c r="V532" s="27"/>
      <c r="W532" s="10"/>
      <c r="X532" s="10"/>
      <c r="Y532" s="10"/>
      <c r="Z532" s="61"/>
      <c r="AA532" s="140"/>
      <c r="AB532" s="71"/>
      <c r="AC532" s="52"/>
      <c r="AD532" s="339"/>
      <c r="AE532" s="52"/>
      <c r="AF532" s="52"/>
      <c r="AG532" s="52"/>
    </row>
    <row r="533" spans="6:33" ht="16" customHeight="1">
      <c r="F533" s="52"/>
      <c r="G533" s="71"/>
      <c r="H533" s="71"/>
      <c r="I533" s="118"/>
      <c r="J533" s="118"/>
      <c r="K533" s="52"/>
      <c r="L533" s="71"/>
      <c r="M533" s="71"/>
      <c r="N533" s="71"/>
      <c r="O533" s="71"/>
      <c r="P533" s="118"/>
      <c r="Q533" s="71"/>
      <c r="R533" s="71"/>
      <c r="S533" s="71"/>
      <c r="T533" s="27"/>
      <c r="U533" s="10"/>
      <c r="V533" s="27"/>
      <c r="W533" s="10"/>
      <c r="X533" s="10"/>
      <c r="Y533" s="10"/>
      <c r="Z533" s="61"/>
      <c r="AA533" s="140"/>
      <c r="AB533" s="71"/>
      <c r="AC533" s="52"/>
      <c r="AD533" s="339"/>
      <c r="AE533" s="52"/>
      <c r="AF533" s="52"/>
      <c r="AG533" s="52"/>
    </row>
    <row r="534" spans="6:33" ht="16" customHeight="1">
      <c r="F534" s="52"/>
      <c r="G534" s="71"/>
      <c r="H534" s="71"/>
      <c r="I534" s="118"/>
      <c r="J534" s="118"/>
      <c r="K534" s="52"/>
      <c r="L534" s="71"/>
      <c r="M534" s="71"/>
      <c r="N534" s="71"/>
      <c r="O534" s="71"/>
      <c r="P534" s="118"/>
      <c r="Q534" s="71"/>
      <c r="R534" s="71"/>
      <c r="S534" s="71"/>
      <c r="T534" s="27"/>
      <c r="U534" s="10"/>
      <c r="V534" s="27"/>
      <c r="W534" s="10"/>
      <c r="X534" s="10"/>
      <c r="Y534" s="10"/>
      <c r="Z534" s="61"/>
      <c r="AA534" s="140"/>
      <c r="AB534" s="71"/>
      <c r="AC534" s="52"/>
      <c r="AD534" s="339"/>
      <c r="AE534" s="52"/>
      <c r="AF534" s="52"/>
      <c r="AG534" s="52"/>
    </row>
    <row r="535" spans="6:33" ht="16" customHeight="1">
      <c r="F535" s="52"/>
      <c r="G535" s="71"/>
      <c r="H535" s="71"/>
      <c r="I535" s="118"/>
      <c r="J535" s="118"/>
      <c r="K535" s="52"/>
      <c r="L535" s="71"/>
      <c r="M535" s="71"/>
      <c r="N535" s="71"/>
      <c r="O535" s="71"/>
      <c r="P535" s="118"/>
      <c r="Q535" s="71"/>
      <c r="R535" s="71"/>
      <c r="S535" s="71"/>
      <c r="T535" s="27"/>
      <c r="U535" s="10"/>
      <c r="V535" s="27"/>
      <c r="W535" s="10"/>
      <c r="X535" s="10"/>
      <c r="Y535" s="10"/>
      <c r="Z535" s="61"/>
      <c r="AA535" s="140"/>
      <c r="AB535" s="71"/>
      <c r="AC535" s="52"/>
      <c r="AD535" s="339"/>
      <c r="AE535" s="52"/>
      <c r="AF535" s="52"/>
      <c r="AG535" s="52"/>
    </row>
    <row r="536" spans="6:33" ht="16" customHeight="1">
      <c r="F536" s="52"/>
      <c r="G536" s="71"/>
      <c r="H536" s="71"/>
      <c r="I536" s="118"/>
      <c r="J536" s="118"/>
      <c r="K536" s="52"/>
      <c r="L536" s="71"/>
      <c r="M536" s="71"/>
      <c r="N536" s="71"/>
      <c r="O536" s="71"/>
      <c r="P536" s="118"/>
      <c r="Q536" s="71"/>
      <c r="R536" s="71"/>
      <c r="S536" s="71"/>
      <c r="T536" s="27"/>
      <c r="U536" s="10"/>
      <c r="V536" s="27"/>
      <c r="W536" s="10"/>
      <c r="X536" s="10"/>
      <c r="Y536" s="10"/>
      <c r="Z536" s="61"/>
      <c r="AA536" s="140"/>
      <c r="AB536" s="71"/>
      <c r="AC536" s="52"/>
      <c r="AD536" s="339"/>
      <c r="AE536" s="52"/>
      <c r="AF536" s="52"/>
      <c r="AG536" s="52"/>
    </row>
    <row r="537" spans="6:33" ht="16" customHeight="1">
      <c r="F537" s="52"/>
      <c r="G537" s="71"/>
      <c r="H537" s="71"/>
      <c r="I537" s="118"/>
      <c r="J537" s="118"/>
      <c r="K537" s="52"/>
      <c r="L537" s="71"/>
      <c r="M537" s="71"/>
      <c r="N537" s="71"/>
      <c r="O537" s="71"/>
      <c r="P537" s="118"/>
      <c r="Q537" s="71"/>
      <c r="R537" s="71"/>
      <c r="S537" s="71"/>
      <c r="T537" s="27"/>
      <c r="U537" s="10"/>
      <c r="V537" s="27"/>
      <c r="W537" s="10"/>
      <c r="X537" s="10"/>
      <c r="Y537" s="10"/>
      <c r="Z537" s="61"/>
      <c r="AA537" s="140"/>
      <c r="AB537" s="71"/>
      <c r="AC537" s="52"/>
      <c r="AD537" s="339"/>
      <c r="AE537" s="52"/>
      <c r="AF537" s="52"/>
      <c r="AG537" s="52"/>
    </row>
    <row r="538" spans="6:33" ht="16" customHeight="1">
      <c r="F538" s="52"/>
      <c r="G538" s="71"/>
      <c r="H538" s="71"/>
      <c r="I538" s="118"/>
      <c r="J538" s="118"/>
      <c r="K538" s="52"/>
      <c r="L538" s="71"/>
      <c r="M538" s="71"/>
      <c r="N538" s="71"/>
      <c r="O538" s="71"/>
      <c r="P538" s="118"/>
      <c r="Q538" s="71"/>
      <c r="R538" s="71"/>
      <c r="S538" s="71"/>
      <c r="T538" s="27"/>
      <c r="U538" s="10"/>
      <c r="V538" s="27"/>
      <c r="W538" s="10"/>
      <c r="X538" s="10"/>
      <c r="Y538" s="10"/>
      <c r="Z538" s="61"/>
      <c r="AA538" s="140"/>
      <c r="AB538" s="71"/>
      <c r="AC538" s="52"/>
      <c r="AD538" s="339"/>
      <c r="AE538" s="52"/>
      <c r="AF538" s="52"/>
      <c r="AG538" s="52"/>
    </row>
    <row r="539" spans="6:33" ht="16" customHeight="1">
      <c r="F539" s="52"/>
      <c r="G539" s="71"/>
      <c r="H539" s="71"/>
      <c r="I539" s="118"/>
      <c r="J539" s="118"/>
      <c r="K539" s="52"/>
      <c r="L539" s="71"/>
      <c r="M539" s="71"/>
      <c r="N539" s="71"/>
      <c r="O539" s="71"/>
      <c r="P539" s="118"/>
      <c r="Q539" s="71"/>
      <c r="R539" s="71"/>
      <c r="S539" s="71"/>
      <c r="T539" s="27"/>
      <c r="U539" s="10"/>
      <c r="V539" s="27"/>
      <c r="W539" s="10"/>
      <c r="X539" s="10"/>
      <c r="Y539" s="10"/>
      <c r="Z539" s="61"/>
      <c r="AA539" s="140"/>
      <c r="AB539" s="71"/>
      <c r="AC539" s="52"/>
      <c r="AD539" s="339"/>
      <c r="AE539" s="52"/>
      <c r="AF539" s="52"/>
      <c r="AG539" s="52"/>
    </row>
    <row r="540" spans="6:33" ht="16" customHeight="1">
      <c r="F540" s="52"/>
      <c r="G540" s="71"/>
      <c r="H540" s="71"/>
      <c r="I540" s="118"/>
      <c r="J540" s="118"/>
      <c r="K540" s="52"/>
      <c r="L540" s="71"/>
      <c r="M540" s="71"/>
      <c r="N540" s="71"/>
      <c r="O540" s="71"/>
      <c r="P540" s="118"/>
      <c r="Q540" s="71"/>
      <c r="R540" s="71"/>
      <c r="S540" s="71"/>
      <c r="T540" s="27"/>
      <c r="U540" s="10"/>
      <c r="V540" s="27"/>
      <c r="W540" s="10"/>
      <c r="X540" s="10"/>
      <c r="Y540" s="10"/>
      <c r="Z540" s="61"/>
      <c r="AA540" s="140"/>
      <c r="AB540" s="71"/>
      <c r="AC540" s="52"/>
      <c r="AD540" s="339"/>
      <c r="AE540" s="52"/>
      <c r="AF540" s="52"/>
      <c r="AG540" s="52"/>
    </row>
    <row r="541" spans="6:33" ht="16" customHeight="1">
      <c r="F541" s="52"/>
      <c r="G541" s="71"/>
      <c r="H541" s="71"/>
      <c r="I541" s="118"/>
      <c r="J541" s="118"/>
      <c r="K541" s="52"/>
      <c r="L541" s="71"/>
      <c r="M541" s="71"/>
      <c r="N541" s="71"/>
      <c r="O541" s="71"/>
      <c r="P541" s="118"/>
      <c r="Q541" s="71"/>
      <c r="R541" s="71"/>
      <c r="S541" s="71"/>
      <c r="T541" s="27"/>
      <c r="U541" s="10"/>
      <c r="V541" s="27"/>
      <c r="W541" s="10"/>
      <c r="X541" s="10"/>
      <c r="Y541" s="10"/>
      <c r="Z541" s="61"/>
      <c r="AA541" s="140"/>
      <c r="AB541" s="71"/>
      <c r="AC541" s="52"/>
      <c r="AD541" s="339"/>
      <c r="AE541" s="52"/>
      <c r="AF541" s="52"/>
      <c r="AG541" s="52"/>
    </row>
    <row r="542" spans="6:33" ht="16" customHeight="1">
      <c r="F542" s="52"/>
      <c r="G542" s="71"/>
      <c r="H542" s="71"/>
      <c r="I542" s="118"/>
      <c r="J542" s="118"/>
      <c r="K542" s="52"/>
      <c r="L542" s="71"/>
      <c r="M542" s="71"/>
      <c r="N542" s="71"/>
      <c r="O542" s="71"/>
      <c r="P542" s="118"/>
      <c r="Q542" s="71"/>
      <c r="R542" s="71"/>
      <c r="S542" s="71"/>
      <c r="T542" s="27"/>
      <c r="U542" s="10"/>
      <c r="V542" s="27"/>
      <c r="W542" s="10"/>
      <c r="X542" s="10"/>
      <c r="Y542" s="10"/>
      <c r="Z542" s="61"/>
      <c r="AA542" s="140"/>
      <c r="AB542" s="71"/>
      <c r="AC542" s="52"/>
      <c r="AD542" s="339"/>
      <c r="AE542" s="52"/>
      <c r="AF542" s="52"/>
      <c r="AG542" s="52"/>
    </row>
    <row r="543" spans="6:33" ht="16" customHeight="1">
      <c r="F543" s="52"/>
      <c r="G543" s="71"/>
      <c r="H543" s="71"/>
      <c r="I543" s="118"/>
      <c r="J543" s="118"/>
      <c r="K543" s="52"/>
      <c r="L543" s="71"/>
      <c r="M543" s="71"/>
      <c r="N543" s="71"/>
      <c r="O543" s="71"/>
      <c r="P543" s="118"/>
      <c r="Q543" s="71"/>
      <c r="R543" s="71"/>
      <c r="S543" s="71"/>
      <c r="T543" s="27"/>
      <c r="U543" s="10"/>
      <c r="V543" s="27"/>
      <c r="W543" s="10"/>
      <c r="X543" s="10"/>
      <c r="Y543" s="10"/>
      <c r="Z543" s="61"/>
      <c r="AA543" s="140"/>
      <c r="AB543" s="71"/>
      <c r="AC543" s="52"/>
      <c r="AD543" s="339"/>
      <c r="AE543" s="52"/>
      <c r="AF543" s="52"/>
      <c r="AG543" s="52"/>
    </row>
    <row r="544" spans="6:33" ht="16" customHeight="1">
      <c r="F544" s="52"/>
      <c r="G544" s="71"/>
      <c r="H544" s="71"/>
      <c r="I544" s="118"/>
      <c r="J544" s="118"/>
      <c r="K544" s="52"/>
      <c r="L544" s="71"/>
      <c r="M544" s="71"/>
      <c r="N544" s="71"/>
      <c r="O544" s="71"/>
      <c r="P544" s="118"/>
      <c r="Q544" s="71"/>
      <c r="R544" s="71"/>
      <c r="S544" s="71"/>
      <c r="T544" s="27"/>
      <c r="U544" s="10"/>
      <c r="V544" s="27"/>
      <c r="W544" s="10"/>
      <c r="X544" s="10"/>
      <c r="Y544" s="10"/>
      <c r="Z544" s="61"/>
      <c r="AA544" s="140"/>
      <c r="AB544" s="71"/>
      <c r="AC544" s="52"/>
      <c r="AD544" s="339"/>
      <c r="AE544" s="52"/>
      <c r="AF544" s="52"/>
      <c r="AG544" s="52"/>
    </row>
    <row r="545" spans="6:33" ht="16" customHeight="1">
      <c r="F545" s="52"/>
      <c r="G545" s="71"/>
      <c r="H545" s="71"/>
      <c r="I545" s="118"/>
      <c r="J545" s="118"/>
      <c r="K545" s="52"/>
      <c r="L545" s="71"/>
      <c r="M545" s="71"/>
      <c r="N545" s="71"/>
      <c r="O545" s="71"/>
      <c r="P545" s="118"/>
      <c r="Q545" s="71"/>
      <c r="R545" s="71"/>
      <c r="S545" s="71"/>
      <c r="T545" s="27"/>
      <c r="U545" s="10"/>
      <c r="V545" s="27"/>
      <c r="W545" s="10"/>
      <c r="X545" s="10"/>
      <c r="Y545" s="10"/>
      <c r="Z545" s="61"/>
      <c r="AA545" s="140"/>
      <c r="AB545" s="71"/>
      <c r="AC545" s="52"/>
      <c r="AD545" s="339"/>
      <c r="AE545" s="52"/>
      <c r="AF545" s="52"/>
      <c r="AG545" s="52"/>
    </row>
    <row r="546" spans="6:33" ht="16" customHeight="1">
      <c r="F546" s="52"/>
      <c r="G546" s="71"/>
      <c r="H546" s="71"/>
      <c r="I546" s="118"/>
      <c r="J546" s="118"/>
      <c r="K546" s="52"/>
      <c r="L546" s="71"/>
      <c r="M546" s="71"/>
      <c r="N546" s="71"/>
      <c r="O546" s="71"/>
      <c r="P546" s="118"/>
      <c r="Q546" s="71"/>
      <c r="R546" s="71"/>
      <c r="S546" s="71"/>
      <c r="T546" s="27"/>
      <c r="U546" s="10"/>
      <c r="V546" s="27"/>
      <c r="W546" s="10"/>
      <c r="X546" s="10"/>
      <c r="Y546" s="10"/>
      <c r="Z546" s="61"/>
      <c r="AA546" s="140"/>
      <c r="AB546" s="71"/>
      <c r="AC546" s="52"/>
      <c r="AD546" s="339"/>
      <c r="AE546" s="52"/>
      <c r="AF546" s="52"/>
      <c r="AG546" s="52"/>
    </row>
    <row r="547" spans="6:33" ht="16" customHeight="1">
      <c r="F547" s="52"/>
      <c r="G547" s="71"/>
      <c r="H547" s="71"/>
      <c r="I547" s="118"/>
      <c r="J547" s="118"/>
      <c r="K547" s="52"/>
      <c r="L547" s="71"/>
      <c r="M547" s="71"/>
      <c r="N547" s="71"/>
      <c r="O547" s="71"/>
      <c r="P547" s="118"/>
      <c r="Q547" s="71"/>
      <c r="R547" s="71"/>
      <c r="S547" s="71"/>
      <c r="T547" s="27"/>
      <c r="U547" s="10"/>
      <c r="V547" s="27"/>
      <c r="W547" s="10"/>
      <c r="X547" s="10"/>
      <c r="Y547" s="10"/>
      <c r="Z547" s="61"/>
      <c r="AA547" s="140"/>
      <c r="AB547" s="71"/>
      <c r="AC547" s="52"/>
      <c r="AD547" s="339"/>
      <c r="AE547" s="52"/>
      <c r="AF547" s="52"/>
      <c r="AG547" s="52"/>
    </row>
    <row r="548" spans="6:33" ht="16" customHeight="1">
      <c r="F548" s="52"/>
      <c r="G548" s="71"/>
      <c r="H548" s="71"/>
      <c r="I548" s="118"/>
      <c r="J548" s="118"/>
      <c r="K548" s="52"/>
      <c r="L548" s="71"/>
      <c r="M548" s="71"/>
      <c r="N548" s="71"/>
      <c r="O548" s="71"/>
      <c r="P548" s="118"/>
      <c r="Q548" s="71"/>
      <c r="R548" s="71"/>
      <c r="S548" s="71"/>
      <c r="T548" s="27"/>
      <c r="U548" s="10"/>
      <c r="V548" s="27"/>
      <c r="W548" s="10"/>
      <c r="X548" s="10"/>
      <c r="Y548" s="10"/>
      <c r="Z548" s="61"/>
      <c r="AA548" s="140"/>
      <c r="AB548" s="71"/>
      <c r="AC548" s="52"/>
      <c r="AD548" s="339"/>
      <c r="AE548" s="52"/>
      <c r="AF548" s="52"/>
      <c r="AG548" s="52"/>
    </row>
    <row r="549" spans="6:33" ht="16" customHeight="1">
      <c r="F549" s="52"/>
      <c r="G549" s="71"/>
      <c r="H549" s="71"/>
      <c r="I549" s="118"/>
      <c r="J549" s="118"/>
      <c r="K549" s="52"/>
      <c r="L549" s="71"/>
      <c r="M549" s="71"/>
      <c r="N549" s="71"/>
      <c r="O549" s="71"/>
      <c r="P549" s="118"/>
      <c r="Q549" s="71"/>
      <c r="R549" s="71"/>
      <c r="S549" s="71"/>
      <c r="T549" s="27"/>
      <c r="U549" s="10"/>
      <c r="V549" s="27"/>
      <c r="W549" s="10"/>
      <c r="X549" s="10"/>
      <c r="Y549" s="10"/>
      <c r="Z549" s="61"/>
      <c r="AA549" s="140"/>
      <c r="AB549" s="71"/>
      <c r="AC549" s="52"/>
      <c r="AD549" s="339"/>
      <c r="AE549" s="52"/>
      <c r="AF549" s="52"/>
      <c r="AG549" s="52"/>
    </row>
    <row r="550" spans="6:33">
      <c r="T550" s="27"/>
    </row>
    <row r="551" spans="6:33">
      <c r="T551" s="27"/>
    </row>
    <row r="552" spans="6:33">
      <c r="T552" s="27"/>
    </row>
    <row r="553" spans="6:33">
      <c r="T553" s="27"/>
    </row>
    <row r="554" spans="6:33">
      <c r="T554" s="27"/>
    </row>
    <row r="555" spans="6:33">
      <c r="T555" s="27"/>
    </row>
    <row r="556" spans="6:33">
      <c r="T556" s="27"/>
    </row>
    <row r="557" spans="6:33">
      <c r="T557" s="27"/>
    </row>
  </sheetData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April 2025</oddHeader>
    <oddFooter>&amp;CPage &amp;P of &amp;N</oddFooter>
  </headerFooter>
  <rowBreaks count="28" manualBreakCount="28">
    <brk id="13" max="16383" man="1"/>
    <brk id="31" max="16383" man="1"/>
    <brk id="37" max="16383" man="1"/>
    <brk id="50" max="16383" man="1"/>
    <brk id="64" max="16383" man="1"/>
    <brk id="81" max="16383" man="1"/>
    <brk id="94" max="16383" man="1"/>
    <brk id="113" max="16383" man="1"/>
    <brk id="121" max="16383" man="1"/>
    <brk id="128" max="16383" man="1"/>
    <brk id="153" max="16383" man="1"/>
    <brk id="167" max="16383" man="1"/>
    <brk id="183" max="16383" man="1"/>
    <brk id="192" max="16383" man="1"/>
    <brk id="207" max="16383" man="1"/>
    <brk id="217" max="16383" man="1"/>
    <brk id="226" max="16383" man="1"/>
    <brk id="241" max="16383" man="1"/>
    <brk id="250" max="16383" man="1"/>
    <brk id="259" max="16383" man="1"/>
    <brk id="274" max="16383" man="1"/>
    <brk id="283" max="16383" man="1"/>
    <brk id="305" max="16383" man="1"/>
    <brk id="329" max="16383" man="1"/>
    <brk id="340" max="16383" man="1"/>
    <brk id="351" max="16383" man="1"/>
    <brk id="376" min="2" max="32" man="1"/>
    <brk id="391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F393"/>
  <sheetViews>
    <sheetView topLeftCell="A157" zoomScale="125" zoomScaleNormal="125" workbookViewId="0">
      <selection activeCell="F176" sqref="F176"/>
    </sheetView>
  </sheetViews>
  <sheetFormatPr baseColWidth="10" defaultRowHeight="13"/>
  <cols>
    <col min="1" max="1" width="31.6640625" customWidth="1"/>
  </cols>
  <sheetData>
    <row r="1" spans="1:6">
      <c r="A1" s="82"/>
      <c r="B1" s="80"/>
      <c r="C1" s="81"/>
      <c r="D1" s="81"/>
      <c r="E1" s="81"/>
      <c r="F1" s="82"/>
    </row>
    <row r="2" spans="1:6">
      <c r="A2" s="4"/>
      <c r="B2" s="6" t="s">
        <v>33</v>
      </c>
      <c r="C2" s="7"/>
      <c r="D2" s="10"/>
      <c r="E2" s="10"/>
      <c r="F2" s="32"/>
    </row>
    <row r="3" spans="1:6">
      <c r="A3" s="4"/>
      <c r="B3" s="14"/>
      <c r="C3" s="7"/>
      <c r="D3" s="10"/>
      <c r="E3" s="10"/>
      <c r="F3" s="32"/>
    </row>
    <row r="4" spans="1:6">
      <c r="A4" s="4" t="s">
        <v>36</v>
      </c>
      <c r="B4" s="14" t="s">
        <v>37</v>
      </c>
      <c r="C4" s="18">
        <v>2011</v>
      </c>
      <c r="D4" s="10">
        <f>C4</f>
        <v>2011</v>
      </c>
      <c r="E4" s="10">
        <v>2000</v>
      </c>
      <c r="F4" s="4" t="s">
        <v>38</v>
      </c>
    </row>
    <row r="5" spans="1:6">
      <c r="A5" s="92" t="s">
        <v>42</v>
      </c>
      <c r="B5" s="14"/>
      <c r="C5" s="33">
        <f>SUM(C4:C4)</f>
        <v>2011</v>
      </c>
      <c r="D5" s="18"/>
      <c r="E5" s="18"/>
      <c r="F5" s="34"/>
    </row>
    <row r="6" spans="1:6">
      <c r="A6" s="4"/>
      <c r="B6" s="6" t="s">
        <v>43</v>
      </c>
      <c r="C6" s="7"/>
      <c r="D6" s="10"/>
      <c r="E6" s="10"/>
      <c r="F6" s="32"/>
    </row>
    <row r="7" spans="1:6">
      <c r="A7" s="4"/>
      <c r="B7" s="14"/>
      <c r="C7" s="7"/>
      <c r="D7" s="7"/>
      <c r="E7" s="7"/>
      <c r="F7" s="4"/>
    </row>
    <row r="8" spans="1:6" ht="24" customHeight="1">
      <c r="A8" s="4" t="s">
        <v>45</v>
      </c>
      <c r="B8" s="14" t="s">
        <v>46</v>
      </c>
      <c r="C8" s="7">
        <v>2333</v>
      </c>
      <c r="D8" s="10">
        <f>C8</f>
        <v>2333</v>
      </c>
      <c r="E8" s="10">
        <v>2000</v>
      </c>
      <c r="F8" s="4" t="s">
        <v>47</v>
      </c>
    </row>
    <row r="9" spans="1:6">
      <c r="A9" s="4"/>
      <c r="B9" s="14"/>
      <c r="C9" s="7"/>
      <c r="D9" s="7"/>
      <c r="E9" s="7"/>
      <c r="F9" s="4"/>
    </row>
    <row r="10" spans="1:6" ht="24" customHeight="1">
      <c r="A10" s="92" t="s">
        <v>49</v>
      </c>
      <c r="B10" s="14"/>
      <c r="C10" s="18">
        <f>SUM(C8:C8)</f>
        <v>2333</v>
      </c>
      <c r="D10" s="18"/>
      <c r="E10" s="18"/>
      <c r="F10" s="4"/>
    </row>
    <row r="11" spans="1:6">
      <c r="A11" s="92"/>
      <c r="B11" s="14"/>
      <c r="C11" s="18"/>
      <c r="D11" s="18"/>
      <c r="E11" s="18"/>
      <c r="F11" s="4"/>
    </row>
    <row r="12" spans="1:6">
      <c r="A12" s="4"/>
      <c r="B12" s="6" t="s">
        <v>50</v>
      </c>
      <c r="C12" s="7"/>
      <c r="D12" s="10"/>
      <c r="E12" s="10"/>
      <c r="F12" s="32"/>
    </row>
    <row r="13" spans="1:6">
      <c r="A13" s="4"/>
      <c r="B13" s="14"/>
      <c r="C13" s="7"/>
      <c r="D13" s="7"/>
      <c r="E13" s="7"/>
      <c r="F13" s="4"/>
    </row>
    <row r="14" spans="1:6" ht="24" customHeight="1">
      <c r="A14" s="4" t="s">
        <v>51</v>
      </c>
      <c r="B14" s="14" t="s">
        <v>52</v>
      </c>
      <c r="C14" s="7">
        <v>2940</v>
      </c>
      <c r="D14" s="10">
        <f>C14</f>
        <v>2940</v>
      </c>
      <c r="E14" s="10">
        <v>3000</v>
      </c>
      <c r="F14" s="4" t="s">
        <v>53</v>
      </c>
    </row>
    <row r="15" spans="1:6">
      <c r="A15" s="92"/>
      <c r="B15" s="14"/>
      <c r="C15" s="18"/>
      <c r="D15" s="18"/>
      <c r="E15" s="18"/>
      <c r="F15" s="4"/>
    </row>
    <row r="16" spans="1:6">
      <c r="A16" s="4"/>
      <c r="B16" s="6" t="s">
        <v>55</v>
      </c>
      <c r="C16" s="7"/>
      <c r="D16" s="10"/>
      <c r="E16" s="10"/>
      <c r="F16" s="32"/>
    </row>
    <row r="17" spans="1:6">
      <c r="A17" s="4"/>
      <c r="B17" s="6"/>
      <c r="C17" s="7"/>
      <c r="D17" s="10"/>
      <c r="E17" s="10"/>
      <c r="F17" s="32"/>
    </row>
    <row r="18" spans="1:6" ht="24" customHeight="1">
      <c r="A18" s="4" t="s">
        <v>51</v>
      </c>
      <c r="B18" s="14" t="s">
        <v>56</v>
      </c>
      <c r="C18" s="7">
        <v>3668</v>
      </c>
      <c r="D18" s="10">
        <f>C18</f>
        <v>3668</v>
      </c>
      <c r="E18" s="10">
        <v>3500</v>
      </c>
      <c r="F18" s="4" t="s">
        <v>57</v>
      </c>
    </row>
    <row r="19" spans="1:6">
      <c r="A19" s="4"/>
      <c r="B19" s="14"/>
      <c r="C19" s="18"/>
      <c r="D19" s="18"/>
      <c r="E19" s="18"/>
      <c r="F19" s="4"/>
    </row>
    <row r="20" spans="1:6">
      <c r="A20" s="4"/>
      <c r="B20" s="12" t="s">
        <v>59</v>
      </c>
      <c r="C20" s="7"/>
      <c r="D20" s="10"/>
      <c r="E20" s="10"/>
      <c r="F20" s="4"/>
    </row>
    <row r="21" spans="1:6">
      <c r="A21" s="4"/>
      <c r="B21" s="12"/>
      <c r="C21" s="7"/>
      <c r="D21" s="10"/>
      <c r="E21" s="10"/>
      <c r="F21" s="4"/>
    </row>
    <row r="22" spans="1:6" ht="24" customHeight="1">
      <c r="A22" s="37" t="s">
        <v>61</v>
      </c>
      <c r="B22" s="14" t="s">
        <v>37</v>
      </c>
      <c r="C22" s="18">
        <v>12578</v>
      </c>
      <c r="D22" s="10">
        <f>C22</f>
        <v>12578</v>
      </c>
      <c r="E22" s="10">
        <v>12500</v>
      </c>
      <c r="F22" s="4" t="s">
        <v>62</v>
      </c>
    </row>
    <row r="23" spans="1:6" ht="24" customHeight="1">
      <c r="A23" s="93" t="s">
        <v>64</v>
      </c>
      <c r="B23" s="14"/>
      <c r="C23" s="33">
        <f>SUM(C22:C22)</f>
        <v>12578</v>
      </c>
      <c r="D23" s="18"/>
      <c r="E23" s="18"/>
      <c r="F23" s="34"/>
    </row>
    <row r="24" spans="1:6">
      <c r="A24" s="4"/>
      <c r="B24" s="6" t="s">
        <v>65</v>
      </c>
      <c r="C24" s="7"/>
      <c r="D24" s="10"/>
      <c r="E24" s="10"/>
      <c r="F24" s="32"/>
    </row>
    <row r="25" spans="1:6">
      <c r="A25" s="4"/>
      <c r="B25" s="14"/>
      <c r="C25" s="7"/>
      <c r="D25" s="10"/>
      <c r="E25" s="10"/>
      <c r="F25" s="4"/>
    </row>
    <row r="26" spans="1:6" ht="24" customHeight="1">
      <c r="A26" s="4" t="s">
        <v>66</v>
      </c>
      <c r="B26" s="14" t="s">
        <v>67</v>
      </c>
      <c r="C26" s="7">
        <v>2235</v>
      </c>
      <c r="D26" s="10">
        <f>C26</f>
        <v>2235</v>
      </c>
      <c r="E26" s="10">
        <v>2000</v>
      </c>
      <c r="F26" s="29" t="s">
        <v>68</v>
      </c>
    </row>
    <row r="27" spans="1:6">
      <c r="A27" s="4"/>
      <c r="B27" s="14"/>
      <c r="C27" s="18"/>
      <c r="D27" s="10"/>
      <c r="E27" s="10"/>
      <c r="F27" s="4"/>
    </row>
    <row r="28" spans="1:6" ht="24" customHeight="1">
      <c r="A28" s="92" t="s">
        <v>71</v>
      </c>
      <c r="B28" s="14"/>
      <c r="C28" s="18">
        <f>SUM(C26:C26)</f>
        <v>2235</v>
      </c>
      <c r="D28" s="19"/>
      <c r="E28" s="19"/>
      <c r="F28" s="4"/>
    </row>
    <row r="29" spans="1:6">
      <c r="A29" s="34"/>
      <c r="B29" s="14"/>
      <c r="C29" s="18"/>
      <c r="D29" s="19"/>
      <c r="E29" s="19"/>
      <c r="F29" s="4"/>
    </row>
    <row r="30" spans="1:6">
      <c r="A30" s="4"/>
      <c r="B30" s="6" t="s">
        <v>72</v>
      </c>
      <c r="C30" s="7"/>
      <c r="D30" s="10"/>
      <c r="E30" s="10"/>
      <c r="F30" s="32"/>
    </row>
    <row r="31" spans="1:6">
      <c r="A31" s="4"/>
      <c r="B31" s="6"/>
      <c r="C31" s="131"/>
      <c r="D31" s="10"/>
      <c r="E31" s="10"/>
      <c r="F31" s="123"/>
    </row>
    <row r="32" spans="1:6" ht="24" customHeight="1">
      <c r="A32" s="4" t="s">
        <v>73</v>
      </c>
      <c r="B32" s="14" t="s">
        <v>74</v>
      </c>
      <c r="C32" s="7">
        <v>2945</v>
      </c>
      <c r="D32" s="7">
        <f>C32</f>
        <v>2945</v>
      </c>
      <c r="E32" s="7">
        <v>3000</v>
      </c>
      <c r="F32" s="4" t="s">
        <v>75</v>
      </c>
    </row>
    <row r="33" spans="1:6">
      <c r="A33" s="37" t="s">
        <v>78</v>
      </c>
      <c r="B33" s="28" t="s">
        <v>79</v>
      </c>
      <c r="C33" s="7">
        <v>2103</v>
      </c>
      <c r="D33" s="7">
        <f>C33</f>
        <v>2103</v>
      </c>
      <c r="E33" s="7">
        <v>2000</v>
      </c>
      <c r="F33" s="4" t="s">
        <v>80</v>
      </c>
    </row>
    <row r="34" spans="1:6" ht="48" customHeight="1">
      <c r="A34" s="37" t="s">
        <v>82</v>
      </c>
      <c r="B34" s="14" t="s">
        <v>83</v>
      </c>
      <c r="C34" s="7">
        <v>5667</v>
      </c>
      <c r="D34" s="7">
        <f>C34</f>
        <v>5667</v>
      </c>
      <c r="E34" s="7">
        <v>5500</v>
      </c>
      <c r="F34" s="4" t="s">
        <v>84</v>
      </c>
    </row>
    <row r="35" spans="1:6">
      <c r="A35" s="92"/>
      <c r="B35" s="14"/>
      <c r="C35" s="18"/>
      <c r="D35" s="19"/>
      <c r="E35" s="19"/>
      <c r="F35" s="4"/>
    </row>
    <row r="36" spans="1:6">
      <c r="A36" s="4"/>
      <c r="B36" s="6" t="s">
        <v>86</v>
      </c>
      <c r="C36" s="7"/>
      <c r="D36" s="10"/>
      <c r="E36" s="10"/>
      <c r="F36" s="32"/>
    </row>
    <row r="37" spans="1:6">
      <c r="A37" s="4"/>
      <c r="B37" s="12"/>
      <c r="C37" s="7"/>
      <c r="D37" s="10"/>
      <c r="E37" s="10"/>
      <c r="F37" s="13"/>
    </row>
    <row r="38" spans="1:6" ht="24" customHeight="1">
      <c r="A38" s="4" t="s">
        <v>87</v>
      </c>
      <c r="B38" s="14" t="s">
        <v>46</v>
      </c>
      <c r="C38" s="7">
        <v>4958</v>
      </c>
      <c r="D38" s="7">
        <f>C38</f>
        <v>4958</v>
      </c>
      <c r="E38" s="7">
        <v>5000</v>
      </c>
      <c r="F38" s="4" t="s">
        <v>88</v>
      </c>
    </row>
    <row r="39" spans="1:6">
      <c r="A39" s="4"/>
      <c r="B39" s="14"/>
      <c r="C39" s="18"/>
      <c r="D39" s="19"/>
      <c r="E39" s="19"/>
      <c r="F39" s="4"/>
    </row>
    <row r="40" spans="1:6">
      <c r="A40" s="4"/>
      <c r="B40" s="6" t="s">
        <v>91</v>
      </c>
      <c r="C40" s="7"/>
      <c r="D40" s="10"/>
      <c r="E40" s="10"/>
      <c r="F40" s="32"/>
    </row>
    <row r="41" spans="1:6">
      <c r="A41" s="4"/>
      <c r="B41" s="4"/>
      <c r="C41" s="7"/>
      <c r="D41" s="10"/>
      <c r="E41" s="10"/>
      <c r="F41" s="4"/>
    </row>
    <row r="42" spans="1:6" ht="24" customHeight="1">
      <c r="A42" s="4" t="s">
        <v>36</v>
      </c>
      <c r="B42" s="14" t="s">
        <v>92</v>
      </c>
      <c r="C42" s="18">
        <v>9884</v>
      </c>
      <c r="D42" s="10">
        <f>C42</f>
        <v>9884</v>
      </c>
      <c r="E42" s="10">
        <v>10000</v>
      </c>
      <c r="F42" s="4" t="s">
        <v>93</v>
      </c>
    </row>
    <row r="43" spans="1:6" ht="24" customHeight="1">
      <c r="A43" s="92" t="s">
        <v>95</v>
      </c>
      <c r="B43" s="14"/>
      <c r="C43" s="33">
        <f>SUM(C42:C42)</f>
        <v>9884</v>
      </c>
      <c r="D43" s="18"/>
      <c r="E43" s="18"/>
      <c r="F43" s="34"/>
    </row>
    <row r="44" spans="1:6">
      <c r="A44" s="4"/>
      <c r="B44" s="14"/>
      <c r="C44" s="7"/>
      <c r="D44" s="10"/>
      <c r="E44" s="10"/>
      <c r="F44" s="4"/>
    </row>
    <row r="45" spans="1:6">
      <c r="A45" s="4"/>
      <c r="B45" s="6" t="s">
        <v>96</v>
      </c>
      <c r="C45" s="7"/>
      <c r="D45" s="10"/>
      <c r="E45" s="10"/>
      <c r="F45" s="32"/>
    </row>
    <row r="46" spans="1:6">
      <c r="A46" s="4"/>
      <c r="B46" s="12"/>
      <c r="C46" s="24"/>
      <c r="D46" s="10"/>
      <c r="E46" s="10"/>
      <c r="F46" s="123"/>
    </row>
    <row r="47" spans="1:6" ht="36" customHeight="1">
      <c r="A47" s="4" t="s">
        <v>99</v>
      </c>
      <c r="B47" s="28" t="s">
        <v>100</v>
      </c>
      <c r="C47" s="7">
        <v>11225</v>
      </c>
      <c r="D47" s="7">
        <f>C47</f>
        <v>11225</v>
      </c>
      <c r="E47" s="7">
        <v>10000</v>
      </c>
      <c r="F47" s="4" t="s">
        <v>101</v>
      </c>
    </row>
    <row r="48" spans="1:6">
      <c r="A48" s="4"/>
      <c r="B48" s="51"/>
      <c r="C48" s="18"/>
      <c r="D48" s="19"/>
      <c r="E48" s="19"/>
      <c r="F48" s="4"/>
    </row>
    <row r="49" spans="1:6">
      <c r="A49" s="4"/>
      <c r="B49" s="6" t="s">
        <v>103</v>
      </c>
      <c r="C49" s="7"/>
      <c r="D49" s="10"/>
      <c r="E49" s="10"/>
      <c r="F49" s="32"/>
    </row>
    <row r="50" spans="1:6">
      <c r="A50" s="4"/>
      <c r="B50" s="6"/>
      <c r="C50" s="7"/>
      <c r="D50" s="10"/>
      <c r="E50" s="10"/>
      <c r="F50" s="4"/>
    </row>
    <row r="51" spans="1:6">
      <c r="A51" s="4" t="s">
        <v>104</v>
      </c>
      <c r="B51" s="14" t="s">
        <v>105</v>
      </c>
      <c r="C51" s="7">
        <v>1330</v>
      </c>
      <c r="D51" s="7">
        <f>C51</f>
        <v>1330</v>
      </c>
      <c r="E51" s="7"/>
      <c r="F51" s="4" t="s">
        <v>106</v>
      </c>
    </row>
    <row r="52" spans="1:6" ht="36" customHeight="1">
      <c r="A52" s="4" t="s">
        <v>107</v>
      </c>
      <c r="B52" s="14" t="s">
        <v>46</v>
      </c>
      <c r="C52" s="7">
        <v>260</v>
      </c>
      <c r="D52" s="7">
        <f>C52</f>
        <v>260</v>
      </c>
      <c r="E52" s="7">
        <v>250</v>
      </c>
      <c r="F52" s="4" t="s">
        <v>108</v>
      </c>
    </row>
    <row r="53" spans="1:6" ht="24" customHeight="1">
      <c r="A53" s="37" t="s">
        <v>110</v>
      </c>
      <c r="B53" s="28" t="s">
        <v>46</v>
      </c>
      <c r="C53" s="7">
        <v>652</v>
      </c>
      <c r="D53" s="7">
        <f>C53</f>
        <v>652</v>
      </c>
      <c r="E53" s="7">
        <v>750</v>
      </c>
      <c r="F53" s="4" t="s">
        <v>111</v>
      </c>
    </row>
    <row r="54" spans="1:6">
      <c r="A54" s="4"/>
      <c r="B54" s="14"/>
      <c r="C54" s="18"/>
      <c r="D54" s="19"/>
      <c r="E54" s="19"/>
      <c r="F54" s="4"/>
    </row>
    <row r="55" spans="1:6">
      <c r="A55" s="4"/>
      <c r="B55" s="6" t="s">
        <v>112</v>
      </c>
      <c r="C55" s="7"/>
      <c r="D55" s="10"/>
      <c r="E55" s="10"/>
      <c r="F55" s="32"/>
    </row>
    <row r="56" spans="1:6">
      <c r="A56" s="4"/>
      <c r="B56" s="6"/>
      <c r="C56" s="7"/>
      <c r="D56" s="10"/>
      <c r="E56" s="10"/>
      <c r="F56" s="4"/>
    </row>
    <row r="57" spans="1:6" ht="24" customHeight="1">
      <c r="A57" s="4" t="s">
        <v>66</v>
      </c>
      <c r="B57" s="14" t="s">
        <v>83</v>
      </c>
      <c r="C57" s="7">
        <v>3626</v>
      </c>
      <c r="D57" s="7">
        <f>C57</f>
        <v>3626</v>
      </c>
      <c r="E57" s="7">
        <v>3500</v>
      </c>
      <c r="F57" s="4" t="s">
        <v>113</v>
      </c>
    </row>
    <row r="58" spans="1:6">
      <c r="A58" s="4"/>
      <c r="B58" s="14"/>
      <c r="C58" s="18"/>
      <c r="D58" s="19"/>
      <c r="E58" s="19"/>
      <c r="F58" s="4"/>
    </row>
    <row r="59" spans="1:6">
      <c r="A59" s="4"/>
      <c r="B59" s="6" t="s">
        <v>115</v>
      </c>
      <c r="C59" s="7"/>
      <c r="D59" s="10"/>
      <c r="E59" s="10"/>
      <c r="F59" s="32"/>
    </row>
    <row r="60" spans="1:6">
      <c r="A60" s="4"/>
      <c r="B60" s="12"/>
      <c r="C60" s="24"/>
      <c r="D60" s="10"/>
      <c r="E60" s="10"/>
      <c r="F60" s="20"/>
    </row>
    <row r="61" spans="1:6" ht="24" customHeight="1">
      <c r="A61" s="4" t="s">
        <v>66</v>
      </c>
      <c r="B61" s="14" t="s">
        <v>116</v>
      </c>
      <c r="C61" s="7">
        <v>2164</v>
      </c>
      <c r="D61" s="7">
        <f>C61</f>
        <v>2164</v>
      </c>
      <c r="E61" s="7">
        <v>2000</v>
      </c>
      <c r="F61" s="4" t="s">
        <v>117</v>
      </c>
    </row>
    <row r="62" spans="1:6">
      <c r="A62" s="92"/>
      <c r="B62" s="14"/>
      <c r="C62" s="18"/>
      <c r="D62" s="19"/>
      <c r="E62" s="19"/>
      <c r="F62" s="4"/>
    </row>
    <row r="63" spans="1:6">
      <c r="A63" s="4"/>
      <c r="B63" s="6" t="s">
        <v>118</v>
      </c>
      <c r="C63" s="7"/>
      <c r="D63" s="10"/>
      <c r="E63" s="10"/>
      <c r="F63" s="32"/>
    </row>
    <row r="64" spans="1:6">
      <c r="A64" s="4"/>
      <c r="B64" s="15"/>
      <c r="C64" s="24"/>
      <c r="D64" s="10"/>
      <c r="E64" s="10"/>
      <c r="F64" s="4"/>
    </row>
    <row r="65" spans="1:6" ht="24" customHeight="1">
      <c r="A65" s="4" t="s">
        <v>66</v>
      </c>
      <c r="B65" s="14" t="s">
        <v>120</v>
      </c>
      <c r="C65" s="7">
        <v>1524</v>
      </c>
      <c r="D65" s="7">
        <f>C65</f>
        <v>1524</v>
      </c>
      <c r="E65" s="7">
        <v>1500</v>
      </c>
      <c r="F65" s="37" t="s">
        <v>121</v>
      </c>
    </row>
    <row r="66" spans="1:6">
      <c r="A66" s="4"/>
      <c r="B66" s="14"/>
      <c r="C66" s="18"/>
      <c r="D66" s="19"/>
      <c r="E66" s="19"/>
      <c r="F66" s="4"/>
    </row>
    <row r="67" spans="1:6">
      <c r="A67" s="4"/>
      <c r="B67" s="6" t="s">
        <v>122</v>
      </c>
      <c r="C67" s="7"/>
      <c r="D67" s="10"/>
      <c r="E67" s="10"/>
      <c r="F67" s="32"/>
    </row>
    <row r="68" spans="1:6">
      <c r="A68" s="94"/>
      <c r="B68" s="15"/>
      <c r="C68" s="125"/>
      <c r="D68" s="17"/>
      <c r="E68" s="17"/>
      <c r="F68" s="26"/>
    </row>
    <row r="69" spans="1:6" ht="60" customHeight="1">
      <c r="A69" s="4" t="s">
        <v>123</v>
      </c>
      <c r="B69" s="14" t="s">
        <v>124</v>
      </c>
      <c r="C69" s="18">
        <v>2313</v>
      </c>
      <c r="D69" s="10">
        <f>C69</f>
        <v>2313</v>
      </c>
      <c r="E69" s="10">
        <v>2250</v>
      </c>
      <c r="F69" s="4" t="s">
        <v>125</v>
      </c>
    </row>
    <row r="70" spans="1:6">
      <c r="A70" s="4"/>
      <c r="B70" s="28"/>
      <c r="C70" s="18"/>
      <c r="D70" s="19"/>
      <c r="E70" s="19"/>
      <c r="F70" s="4"/>
    </row>
    <row r="71" spans="1:6">
      <c r="A71" s="4"/>
      <c r="B71" s="6" t="s">
        <v>126</v>
      </c>
      <c r="C71" s="7"/>
      <c r="D71" s="10"/>
      <c r="E71" s="10"/>
      <c r="F71" s="32"/>
    </row>
    <row r="72" spans="1:6">
      <c r="A72" s="4"/>
      <c r="B72" s="6"/>
      <c r="C72" s="7"/>
      <c r="D72" s="10"/>
      <c r="E72" s="10"/>
      <c r="F72" s="32"/>
    </row>
    <row r="73" spans="1:6" ht="24" customHeight="1">
      <c r="A73" s="4" t="s">
        <v>127</v>
      </c>
      <c r="B73" s="11" t="s">
        <v>128</v>
      </c>
      <c r="C73" s="7">
        <v>4259</v>
      </c>
      <c r="D73" s="7">
        <f>C73</f>
        <v>4259</v>
      </c>
      <c r="E73" s="7">
        <v>4250</v>
      </c>
      <c r="F73" s="4" t="s">
        <v>129</v>
      </c>
    </row>
    <row r="74" spans="1:6">
      <c r="A74" s="4"/>
      <c r="B74" s="14"/>
      <c r="C74" s="7"/>
      <c r="D74" s="10"/>
      <c r="E74" s="10"/>
      <c r="F74" s="4"/>
    </row>
    <row r="75" spans="1:6">
      <c r="A75" s="4"/>
      <c r="B75" s="6" t="s">
        <v>131</v>
      </c>
      <c r="C75" s="7"/>
      <c r="D75" s="10"/>
      <c r="E75" s="10"/>
      <c r="F75" s="32"/>
    </row>
    <row r="76" spans="1:6">
      <c r="A76" s="4"/>
      <c r="B76" s="6"/>
      <c r="C76" s="24"/>
      <c r="D76" s="10"/>
      <c r="E76" s="10"/>
      <c r="F76" s="4"/>
    </row>
    <row r="77" spans="1:6" ht="36" customHeight="1">
      <c r="A77" s="4" t="s">
        <v>132</v>
      </c>
      <c r="B77" s="14" t="s">
        <v>120</v>
      </c>
      <c r="C77" s="7">
        <v>1449</v>
      </c>
      <c r="D77" s="7">
        <f>C77</f>
        <v>1449</v>
      </c>
      <c r="E77" s="7">
        <v>1500</v>
      </c>
      <c r="F77" s="4" t="s">
        <v>133</v>
      </c>
    </row>
    <row r="78" spans="1:6" ht="24" customHeight="1">
      <c r="A78" s="37" t="s">
        <v>135</v>
      </c>
      <c r="B78" s="14" t="s">
        <v>136</v>
      </c>
      <c r="C78" s="7">
        <v>1550</v>
      </c>
      <c r="D78" s="7">
        <f>C78</f>
        <v>1550</v>
      </c>
      <c r="E78" s="7">
        <v>1500</v>
      </c>
      <c r="F78" s="4" t="s">
        <v>137</v>
      </c>
    </row>
    <row r="79" spans="1:6">
      <c r="A79" s="92"/>
      <c r="B79" s="14"/>
      <c r="C79" s="18"/>
      <c r="D79" s="19"/>
      <c r="E79" s="19"/>
      <c r="F79" s="4"/>
    </row>
    <row r="80" spans="1:6">
      <c r="A80" s="4"/>
      <c r="B80" s="6" t="s">
        <v>138</v>
      </c>
      <c r="C80" s="7"/>
      <c r="D80" s="10"/>
      <c r="E80" s="10"/>
      <c r="F80" s="32"/>
    </row>
    <row r="81" spans="1:6">
      <c r="A81" s="4"/>
      <c r="B81" s="14"/>
      <c r="C81" s="7"/>
      <c r="D81" s="10"/>
      <c r="E81" s="10"/>
      <c r="F81" s="4"/>
    </row>
    <row r="82" spans="1:6" ht="24" customHeight="1">
      <c r="A82" s="4" t="s">
        <v>139</v>
      </c>
      <c r="B82" s="14" t="s">
        <v>46</v>
      </c>
      <c r="C82" s="7">
        <v>1361</v>
      </c>
      <c r="D82" s="7">
        <f>C82</f>
        <v>1361</v>
      </c>
      <c r="E82" s="7"/>
      <c r="F82" s="4" t="s">
        <v>140</v>
      </c>
    </row>
    <row r="83" spans="1:6">
      <c r="A83" s="92"/>
      <c r="B83" s="14"/>
      <c r="C83" s="18"/>
      <c r="D83" s="19"/>
      <c r="E83" s="19"/>
      <c r="F83" s="4"/>
    </row>
    <row r="84" spans="1:6">
      <c r="A84" s="4"/>
      <c r="B84" s="6" t="s">
        <v>142</v>
      </c>
      <c r="C84" s="7"/>
      <c r="D84" s="10"/>
      <c r="E84" s="10"/>
      <c r="F84" s="32"/>
    </row>
    <row r="85" spans="1:6">
      <c r="A85" s="4"/>
      <c r="B85" s="14"/>
      <c r="C85" s="7"/>
      <c r="D85" s="10"/>
      <c r="E85" s="10"/>
      <c r="F85" s="4"/>
    </row>
    <row r="86" spans="1:6" ht="24" customHeight="1">
      <c r="A86" s="4" t="s">
        <v>139</v>
      </c>
      <c r="B86" s="14" t="s">
        <v>46</v>
      </c>
      <c r="C86" s="7">
        <v>750</v>
      </c>
      <c r="D86" s="7">
        <f>C86</f>
        <v>750</v>
      </c>
      <c r="E86" s="7"/>
      <c r="F86" s="4" t="s">
        <v>143</v>
      </c>
    </row>
    <row r="87" spans="1:6">
      <c r="A87" s="4"/>
      <c r="B87" s="14"/>
      <c r="C87" s="7"/>
      <c r="D87" s="10"/>
      <c r="E87" s="10"/>
      <c r="F87" s="4"/>
    </row>
    <row r="88" spans="1:6">
      <c r="A88" s="4"/>
      <c r="B88" s="6" t="s">
        <v>144</v>
      </c>
      <c r="C88" s="7"/>
      <c r="D88" s="10"/>
      <c r="E88" s="10"/>
      <c r="F88" s="32"/>
    </row>
    <row r="89" spans="1:6">
      <c r="A89" s="4"/>
      <c r="B89" s="14"/>
      <c r="C89" s="7"/>
      <c r="D89" s="10"/>
      <c r="E89" s="10"/>
      <c r="F89" s="4"/>
    </row>
    <row r="90" spans="1:6" ht="24" customHeight="1">
      <c r="A90" s="4" t="s">
        <v>139</v>
      </c>
      <c r="B90" s="14" t="s">
        <v>145</v>
      </c>
      <c r="C90" s="7">
        <v>807</v>
      </c>
      <c r="D90" s="7">
        <f>C90</f>
        <v>807</v>
      </c>
      <c r="E90" s="7">
        <v>1000</v>
      </c>
      <c r="F90" s="4" t="s">
        <v>146</v>
      </c>
    </row>
    <row r="91" spans="1:6">
      <c r="A91" s="37" t="s">
        <v>78</v>
      </c>
      <c r="B91" s="14" t="s">
        <v>148</v>
      </c>
      <c r="C91" s="7">
        <v>60</v>
      </c>
      <c r="D91" s="7">
        <f>C91</f>
        <v>60</v>
      </c>
      <c r="E91" s="7"/>
      <c r="F91" s="4" t="s">
        <v>149</v>
      </c>
    </row>
    <row r="92" spans="1:6">
      <c r="A92" s="92"/>
      <c r="B92" s="14"/>
      <c r="C92" s="18"/>
      <c r="D92" s="19"/>
      <c r="E92" s="19"/>
      <c r="F92" s="4"/>
    </row>
    <row r="93" spans="1:6">
      <c r="A93" s="4"/>
      <c r="B93" s="6" t="s">
        <v>151</v>
      </c>
      <c r="C93" s="7"/>
      <c r="D93" s="10"/>
      <c r="E93" s="10"/>
      <c r="F93" s="32"/>
    </row>
    <row r="94" spans="1:6">
      <c r="A94" s="4"/>
      <c r="B94" s="6"/>
      <c r="C94" s="7"/>
      <c r="D94" s="10"/>
      <c r="E94" s="10"/>
      <c r="F94" s="4"/>
    </row>
    <row r="95" spans="1:6" ht="36" customHeight="1">
      <c r="A95" s="4" t="s">
        <v>152</v>
      </c>
      <c r="B95" s="14" t="s">
        <v>120</v>
      </c>
      <c r="C95" s="7">
        <v>607</v>
      </c>
      <c r="D95" s="7">
        <f>C95</f>
        <v>607</v>
      </c>
      <c r="E95" s="7">
        <v>500</v>
      </c>
      <c r="F95" s="4" t="s">
        <v>146</v>
      </c>
    </row>
    <row r="96" spans="1:6" ht="36" customHeight="1">
      <c r="A96" s="37" t="s">
        <v>153</v>
      </c>
      <c r="B96" s="14" t="s">
        <v>83</v>
      </c>
      <c r="C96" s="7">
        <v>662</v>
      </c>
      <c r="D96" s="7">
        <f>C96</f>
        <v>662</v>
      </c>
      <c r="E96" s="7">
        <v>500</v>
      </c>
      <c r="F96" s="4" t="s">
        <v>146</v>
      </c>
    </row>
    <row r="97" spans="1:6">
      <c r="A97" s="4"/>
      <c r="B97" s="14"/>
      <c r="C97" s="7"/>
      <c r="D97" s="10"/>
      <c r="E97" s="10"/>
      <c r="F97" s="4"/>
    </row>
    <row r="98" spans="1:6">
      <c r="A98" s="4"/>
      <c r="B98" s="6" t="s">
        <v>155</v>
      </c>
      <c r="C98" s="7"/>
      <c r="D98" s="10"/>
      <c r="E98" s="10"/>
      <c r="F98" s="32"/>
    </row>
    <row r="99" spans="1:6">
      <c r="A99" s="4"/>
      <c r="B99" s="6"/>
      <c r="C99" s="24"/>
      <c r="D99" s="10"/>
      <c r="E99" s="10"/>
      <c r="F99" s="20"/>
    </row>
    <row r="100" spans="1:6" ht="24" customHeight="1">
      <c r="A100" s="37" t="s">
        <v>156</v>
      </c>
      <c r="B100" s="14" t="s">
        <v>157</v>
      </c>
      <c r="C100" s="18">
        <v>1305</v>
      </c>
      <c r="D100" s="10">
        <f>C100</f>
        <v>1305</v>
      </c>
      <c r="E100" s="10">
        <v>1250</v>
      </c>
      <c r="F100" s="29" t="s">
        <v>158</v>
      </c>
    </row>
    <row r="101" spans="1:6" ht="24" customHeight="1">
      <c r="A101" s="92" t="s">
        <v>155</v>
      </c>
      <c r="B101" s="14"/>
      <c r="C101" s="33">
        <f>SUM(C100:C100)</f>
        <v>1305</v>
      </c>
      <c r="D101" s="18"/>
      <c r="E101" s="18"/>
      <c r="F101" s="34"/>
    </row>
    <row r="102" spans="1:6">
      <c r="A102" s="4"/>
      <c r="B102" s="14"/>
      <c r="C102" s="7"/>
      <c r="D102" s="10"/>
      <c r="E102" s="10"/>
      <c r="F102" s="4"/>
    </row>
    <row r="103" spans="1:6">
      <c r="A103" s="4"/>
      <c r="B103" s="6" t="s">
        <v>161</v>
      </c>
      <c r="C103" s="7"/>
      <c r="D103" s="10"/>
      <c r="E103" s="10"/>
      <c r="F103" s="32"/>
    </row>
    <row r="104" spans="1:6">
      <c r="A104" s="4"/>
      <c r="B104" s="6"/>
      <c r="C104" s="131"/>
      <c r="D104" s="10"/>
      <c r="E104" s="10"/>
      <c r="F104" s="13"/>
    </row>
    <row r="105" spans="1:6" ht="24" customHeight="1">
      <c r="A105" s="4" t="s">
        <v>87</v>
      </c>
      <c r="B105" s="14" t="s">
        <v>83</v>
      </c>
      <c r="C105" s="114">
        <v>1440</v>
      </c>
      <c r="D105" s="10">
        <f>C105</f>
        <v>1440</v>
      </c>
      <c r="E105" s="10">
        <v>1500</v>
      </c>
      <c r="F105" s="4" t="s">
        <v>162</v>
      </c>
    </row>
    <row r="106" spans="1:6">
      <c r="A106" s="4"/>
      <c r="B106" s="14"/>
      <c r="C106" s="7"/>
      <c r="D106" s="10"/>
      <c r="E106" s="10"/>
      <c r="F106" s="4"/>
    </row>
    <row r="107" spans="1:6">
      <c r="A107" s="4"/>
      <c r="B107" s="6" t="s">
        <v>164</v>
      </c>
      <c r="C107" s="7"/>
      <c r="D107" s="10"/>
      <c r="E107" s="10"/>
      <c r="F107" s="32"/>
    </row>
    <row r="108" spans="1:6">
      <c r="A108" s="4"/>
      <c r="B108" s="12"/>
      <c r="C108" s="24"/>
      <c r="D108" s="10"/>
      <c r="E108" s="10"/>
      <c r="F108" s="132"/>
    </row>
    <row r="109" spans="1:6" ht="36" customHeight="1">
      <c r="A109" s="4" t="s">
        <v>165</v>
      </c>
      <c r="B109" s="14" t="s">
        <v>120</v>
      </c>
      <c r="C109" s="7">
        <v>2026</v>
      </c>
      <c r="D109" s="7">
        <f>C109</f>
        <v>2026</v>
      </c>
      <c r="E109" s="7">
        <v>2000</v>
      </c>
      <c r="F109" s="4" t="s">
        <v>166</v>
      </c>
    </row>
    <row r="110" spans="1:6" ht="36" customHeight="1">
      <c r="A110" s="4" t="s">
        <v>132</v>
      </c>
      <c r="B110" s="14" t="s">
        <v>120</v>
      </c>
      <c r="C110" s="7">
        <v>2202</v>
      </c>
      <c r="D110" s="7">
        <f>C110</f>
        <v>2202</v>
      </c>
      <c r="E110" s="7">
        <v>2000</v>
      </c>
      <c r="F110" s="4" t="s">
        <v>168</v>
      </c>
    </row>
    <row r="111" spans="1:6">
      <c r="A111" s="4"/>
      <c r="B111" s="14"/>
      <c r="C111" s="18"/>
      <c r="D111" s="19"/>
      <c r="E111" s="19"/>
      <c r="F111" s="4"/>
    </row>
    <row r="112" spans="1:6">
      <c r="A112" s="4"/>
      <c r="B112" s="6" t="s">
        <v>169</v>
      </c>
      <c r="C112" s="7"/>
      <c r="D112" s="10"/>
      <c r="E112" s="10"/>
      <c r="F112" s="32"/>
    </row>
    <row r="113" spans="1:6">
      <c r="A113" s="4"/>
      <c r="B113" s="14"/>
      <c r="C113" s="7"/>
      <c r="D113" s="10"/>
      <c r="E113" s="10"/>
      <c r="F113" s="4"/>
    </row>
    <row r="114" spans="1:6" ht="36" customHeight="1">
      <c r="A114" s="4" t="s">
        <v>170</v>
      </c>
      <c r="B114" s="14" t="s">
        <v>120</v>
      </c>
      <c r="C114" s="7">
        <v>1115</v>
      </c>
      <c r="D114" s="7">
        <f>C114</f>
        <v>1115</v>
      </c>
      <c r="E114" s="7">
        <v>1000</v>
      </c>
      <c r="F114" s="4" t="s">
        <v>171</v>
      </c>
    </row>
    <row r="115" spans="1:6">
      <c r="A115" s="92"/>
      <c r="B115" s="14"/>
      <c r="C115" s="18"/>
      <c r="D115" s="19"/>
      <c r="E115" s="19"/>
      <c r="F115" s="4"/>
    </row>
    <row r="116" spans="1:6">
      <c r="A116" s="92"/>
      <c r="B116" s="6" t="s">
        <v>173</v>
      </c>
      <c r="C116" s="18"/>
      <c r="D116" s="19"/>
      <c r="E116" s="19"/>
      <c r="F116" s="4"/>
    </row>
    <row r="117" spans="1:6">
      <c r="A117" s="4"/>
      <c r="B117" s="14"/>
      <c r="C117" s="7"/>
      <c r="D117" s="10"/>
      <c r="E117" s="10"/>
      <c r="F117" s="4"/>
    </row>
    <row r="118" spans="1:6" ht="24" customHeight="1">
      <c r="A118" s="4" t="s">
        <v>174</v>
      </c>
      <c r="B118" s="14" t="s">
        <v>175</v>
      </c>
      <c r="C118" s="7">
        <v>3443</v>
      </c>
      <c r="D118" s="7">
        <f>C118</f>
        <v>3443</v>
      </c>
      <c r="E118" s="7">
        <v>3500</v>
      </c>
      <c r="F118" s="4" t="s">
        <v>176</v>
      </c>
    </row>
    <row r="119" spans="1:6">
      <c r="A119" s="4"/>
      <c r="B119" s="14"/>
      <c r="C119" s="18"/>
      <c r="D119" s="19"/>
      <c r="E119" s="19"/>
      <c r="F119" s="4"/>
    </row>
    <row r="120" spans="1:6">
      <c r="A120" s="4"/>
      <c r="B120" s="6" t="s">
        <v>178</v>
      </c>
      <c r="C120" s="7"/>
      <c r="D120" s="10"/>
      <c r="E120" s="10"/>
      <c r="F120" s="32"/>
    </row>
    <row r="121" spans="1:6">
      <c r="A121" s="4"/>
      <c r="B121" s="6"/>
      <c r="C121" s="24"/>
      <c r="D121" s="10"/>
      <c r="E121" s="10"/>
      <c r="F121" s="132"/>
    </row>
    <row r="122" spans="1:6" ht="48" customHeight="1">
      <c r="A122" s="4" t="s">
        <v>179</v>
      </c>
      <c r="B122" s="14" t="s">
        <v>180</v>
      </c>
      <c r="C122" s="7">
        <v>2604</v>
      </c>
      <c r="D122" s="7">
        <f>C122</f>
        <v>2604</v>
      </c>
      <c r="E122" s="7">
        <v>2500</v>
      </c>
      <c r="F122" s="4" t="s">
        <v>181</v>
      </c>
    </row>
    <row r="123" spans="1:6" ht="24" customHeight="1">
      <c r="A123" s="37" t="s">
        <v>183</v>
      </c>
      <c r="B123" s="14" t="s">
        <v>184</v>
      </c>
      <c r="C123" s="7">
        <v>1452</v>
      </c>
      <c r="D123" s="7">
        <f>C123</f>
        <v>1452</v>
      </c>
      <c r="E123" s="7">
        <v>1500</v>
      </c>
      <c r="F123" s="4" t="s">
        <v>185</v>
      </c>
    </row>
    <row r="124" spans="1:6" ht="36" customHeight="1">
      <c r="A124" s="4" t="s">
        <v>186</v>
      </c>
      <c r="B124" s="28" t="s">
        <v>187</v>
      </c>
      <c r="C124" s="7">
        <v>1949</v>
      </c>
      <c r="D124" s="7">
        <f>C124</f>
        <v>1949</v>
      </c>
      <c r="E124" s="7">
        <v>2000</v>
      </c>
      <c r="F124" s="4" t="s">
        <v>188</v>
      </c>
    </row>
    <row r="125" spans="1:6" ht="36" customHeight="1">
      <c r="A125" s="4" t="s">
        <v>190</v>
      </c>
      <c r="B125" s="14" t="s">
        <v>180</v>
      </c>
      <c r="C125" s="7">
        <v>4976</v>
      </c>
      <c r="D125" s="7">
        <f>C125</f>
        <v>4976</v>
      </c>
      <c r="E125" s="7">
        <v>5000</v>
      </c>
      <c r="F125" s="4" t="s">
        <v>191</v>
      </c>
    </row>
    <row r="126" spans="1:6">
      <c r="A126" s="4"/>
      <c r="B126" s="14"/>
      <c r="C126" s="18"/>
      <c r="D126" s="19"/>
      <c r="E126" s="19"/>
      <c r="F126" s="4"/>
    </row>
    <row r="127" spans="1:6">
      <c r="A127" s="4"/>
      <c r="B127" s="6" t="s">
        <v>193</v>
      </c>
      <c r="C127" s="7"/>
      <c r="D127" s="10"/>
      <c r="E127" s="10"/>
      <c r="F127" s="32"/>
    </row>
    <row r="128" spans="1:6">
      <c r="A128" s="4"/>
      <c r="B128" s="14"/>
      <c r="C128" s="7"/>
      <c r="D128" s="10"/>
      <c r="E128" s="10"/>
      <c r="F128" s="4"/>
    </row>
    <row r="129" spans="1:6">
      <c r="A129" s="4" t="s">
        <v>36</v>
      </c>
      <c r="B129" s="14" t="s">
        <v>46</v>
      </c>
      <c r="C129" s="18">
        <v>2692</v>
      </c>
      <c r="D129" s="10">
        <f>C129</f>
        <v>2692</v>
      </c>
      <c r="E129" s="10">
        <v>2750</v>
      </c>
      <c r="F129" s="4" t="s">
        <v>194</v>
      </c>
    </row>
    <row r="130" spans="1:6">
      <c r="A130" s="4"/>
      <c r="B130" s="14"/>
      <c r="C130" s="7"/>
      <c r="D130" s="10"/>
      <c r="E130" s="10"/>
      <c r="F130" s="4"/>
    </row>
    <row r="131" spans="1:6">
      <c r="A131" s="4"/>
      <c r="B131" s="6" t="s">
        <v>196</v>
      </c>
      <c r="C131" s="7"/>
      <c r="D131" s="10"/>
      <c r="E131" s="10"/>
      <c r="F131" s="32"/>
    </row>
    <row r="132" spans="1:6">
      <c r="A132" s="4"/>
      <c r="B132" s="6"/>
      <c r="C132" s="133"/>
      <c r="D132" s="10"/>
      <c r="E132" s="10"/>
      <c r="F132" s="20"/>
    </row>
    <row r="133" spans="1:6" ht="24" customHeight="1">
      <c r="A133" s="4" t="s">
        <v>66</v>
      </c>
      <c r="B133" s="14" t="s">
        <v>46</v>
      </c>
      <c r="C133" s="7">
        <v>1171</v>
      </c>
      <c r="D133" s="10">
        <f>C133</f>
        <v>1171</v>
      </c>
      <c r="E133" s="10">
        <v>1000</v>
      </c>
      <c r="F133" s="4" t="s">
        <v>194</v>
      </c>
    </row>
    <row r="134" spans="1:6" ht="24" customHeight="1">
      <c r="A134" s="4" t="s">
        <v>197</v>
      </c>
      <c r="B134" s="14" t="s">
        <v>198</v>
      </c>
      <c r="C134" s="7">
        <v>1120</v>
      </c>
      <c r="D134" s="10">
        <f>C134</f>
        <v>1120</v>
      </c>
      <c r="E134" s="10">
        <v>1000</v>
      </c>
      <c r="F134" s="4" t="s">
        <v>194</v>
      </c>
    </row>
    <row r="135" spans="1:6">
      <c r="A135" s="4"/>
      <c r="B135" s="14"/>
      <c r="C135" s="7"/>
      <c r="D135" s="10"/>
      <c r="E135" s="10"/>
      <c r="F135" s="4"/>
    </row>
    <row r="136" spans="1:6" ht="24" customHeight="1">
      <c r="A136" s="92" t="s">
        <v>196</v>
      </c>
      <c r="B136" s="14"/>
      <c r="C136" s="18">
        <f>SUM(C133:C134)</f>
        <v>2291</v>
      </c>
      <c r="D136" s="19"/>
      <c r="E136" s="19"/>
      <c r="F136" s="4"/>
    </row>
    <row r="137" spans="1:6">
      <c r="A137" s="4"/>
      <c r="B137" s="14"/>
      <c r="C137" s="7"/>
      <c r="D137" s="10"/>
      <c r="E137" s="10"/>
      <c r="F137" s="4"/>
    </row>
    <row r="138" spans="1:6">
      <c r="A138" s="4"/>
      <c r="B138" s="6" t="s">
        <v>199</v>
      </c>
      <c r="C138" s="7"/>
      <c r="D138" s="10"/>
      <c r="E138" s="10"/>
      <c r="F138" s="32"/>
    </row>
    <row r="139" spans="1:6">
      <c r="A139" s="4"/>
      <c r="B139" s="14"/>
      <c r="C139" s="7"/>
      <c r="D139" s="10"/>
      <c r="E139" s="10"/>
      <c r="F139" s="4"/>
    </row>
    <row r="140" spans="1:6" ht="24" customHeight="1">
      <c r="A140" s="4" t="s">
        <v>200</v>
      </c>
      <c r="B140" s="14" t="s">
        <v>201</v>
      </c>
      <c r="C140" s="39">
        <v>4284</v>
      </c>
      <c r="D140" s="10">
        <f>C140</f>
        <v>4284</v>
      </c>
      <c r="E140" s="10">
        <v>4250</v>
      </c>
      <c r="F140" s="4" t="s">
        <v>68</v>
      </c>
    </row>
    <row r="141" spans="1:6">
      <c r="A141" s="4"/>
      <c r="B141" s="14"/>
      <c r="C141" s="7"/>
      <c r="D141" s="10"/>
      <c r="E141" s="10"/>
      <c r="F141" s="4"/>
    </row>
    <row r="142" spans="1:6">
      <c r="A142" s="92" t="s">
        <v>203</v>
      </c>
      <c r="B142" s="14"/>
      <c r="C142" s="33">
        <f>SUM(C140:C141)</f>
        <v>4284</v>
      </c>
      <c r="D142" s="18"/>
      <c r="E142" s="18"/>
      <c r="F142" s="34"/>
    </row>
    <row r="143" spans="1:6">
      <c r="A143" s="4"/>
      <c r="B143" s="6" t="s">
        <v>204</v>
      </c>
      <c r="C143" s="7"/>
      <c r="D143" s="10"/>
      <c r="E143" s="10"/>
      <c r="F143" s="32"/>
    </row>
    <row r="144" spans="1:6">
      <c r="A144" s="4"/>
      <c r="B144" s="6"/>
      <c r="C144" s="7"/>
      <c r="D144" s="10"/>
      <c r="E144" s="10"/>
      <c r="F144" s="4"/>
    </row>
    <row r="145" spans="1:6" ht="24" customHeight="1">
      <c r="A145" s="4" t="s">
        <v>36</v>
      </c>
      <c r="B145" s="14" t="s">
        <v>205</v>
      </c>
      <c r="C145" s="18">
        <v>23500</v>
      </c>
      <c r="D145" s="10">
        <f>C145</f>
        <v>23500</v>
      </c>
      <c r="E145" s="10">
        <v>23500</v>
      </c>
      <c r="F145" s="4" t="s">
        <v>206</v>
      </c>
    </row>
    <row r="146" spans="1:6">
      <c r="A146" s="4"/>
      <c r="B146" s="14"/>
      <c r="C146" s="18"/>
      <c r="D146" s="10"/>
      <c r="E146" s="10"/>
      <c r="F146" s="4"/>
    </row>
    <row r="147" spans="1:6">
      <c r="A147" s="4"/>
      <c r="B147" s="6" t="s">
        <v>208</v>
      </c>
      <c r="C147" s="7"/>
      <c r="D147" s="10"/>
      <c r="E147" s="10"/>
      <c r="F147" s="32"/>
    </row>
    <row r="148" spans="1:6">
      <c r="A148" s="4"/>
      <c r="B148" s="14"/>
      <c r="C148" s="18"/>
      <c r="D148" s="19"/>
      <c r="E148" s="19"/>
      <c r="F148" s="37"/>
    </row>
    <row r="149" spans="1:6" ht="24" customHeight="1">
      <c r="A149" s="4" t="s">
        <v>209</v>
      </c>
      <c r="B149" s="14" t="s">
        <v>210</v>
      </c>
      <c r="C149" s="18">
        <v>420</v>
      </c>
      <c r="D149" s="10">
        <f>C149</f>
        <v>420</v>
      </c>
      <c r="E149" s="10">
        <v>500</v>
      </c>
      <c r="F149" s="4" t="s">
        <v>211</v>
      </c>
    </row>
    <row r="150" spans="1:6">
      <c r="A150" s="4"/>
      <c r="B150" s="14"/>
      <c r="C150" s="18"/>
      <c r="D150" s="19"/>
      <c r="E150" s="19"/>
      <c r="F150" s="4"/>
    </row>
    <row r="151" spans="1:6" ht="24" customHeight="1">
      <c r="A151" s="92" t="s">
        <v>213</v>
      </c>
      <c r="B151" s="14"/>
      <c r="C151" s="33">
        <f>SUM(C149:C150)</f>
        <v>420</v>
      </c>
      <c r="D151" s="18"/>
      <c r="E151" s="18"/>
      <c r="F151" s="34"/>
    </row>
    <row r="152" spans="1:6">
      <c r="A152" s="4"/>
      <c r="B152" s="6" t="s">
        <v>214</v>
      </c>
      <c r="C152" s="7"/>
      <c r="D152" s="10"/>
      <c r="E152" s="10"/>
      <c r="F152" s="32"/>
    </row>
    <row r="153" spans="1:6">
      <c r="A153" s="4"/>
      <c r="B153" s="6"/>
      <c r="C153" s="126"/>
      <c r="D153" s="10"/>
      <c r="E153" s="10"/>
      <c r="F153" s="123"/>
    </row>
    <row r="154" spans="1:6" ht="36" customHeight="1">
      <c r="A154" s="37" t="s">
        <v>215</v>
      </c>
      <c r="B154" s="14" t="s">
        <v>216</v>
      </c>
      <c r="C154" s="7">
        <v>1911</v>
      </c>
      <c r="D154" s="7">
        <f>C154</f>
        <v>1911</v>
      </c>
      <c r="E154" s="7">
        <v>2000</v>
      </c>
      <c r="F154" s="4" t="s">
        <v>217</v>
      </c>
    </row>
    <row r="155" spans="1:6" ht="24" customHeight="1">
      <c r="A155" s="37" t="s">
        <v>219</v>
      </c>
      <c r="B155" s="14" t="s">
        <v>220</v>
      </c>
      <c r="C155" s="7">
        <v>0</v>
      </c>
      <c r="D155" s="7">
        <f>C155</f>
        <v>0</v>
      </c>
      <c r="E155" s="7"/>
      <c r="F155" s="4" t="s">
        <v>106</v>
      </c>
    </row>
    <row r="156" spans="1:6" ht="24" customHeight="1">
      <c r="A156" s="4" t="s">
        <v>221</v>
      </c>
      <c r="B156" s="14" t="s">
        <v>120</v>
      </c>
      <c r="C156" s="7">
        <v>495</v>
      </c>
      <c r="D156" s="7">
        <f>C156</f>
        <v>495</v>
      </c>
      <c r="E156" s="7">
        <v>500</v>
      </c>
      <c r="F156" s="4" t="s">
        <v>222</v>
      </c>
    </row>
    <row r="157" spans="1:6">
      <c r="A157" s="4"/>
      <c r="B157" s="14"/>
      <c r="C157" s="18"/>
      <c r="D157" s="19"/>
      <c r="E157" s="19"/>
      <c r="F157" s="4"/>
    </row>
    <row r="158" spans="1:6">
      <c r="A158" s="4"/>
      <c r="B158" s="6" t="s">
        <v>223</v>
      </c>
      <c r="C158" s="7"/>
      <c r="D158" s="10"/>
      <c r="E158" s="10"/>
      <c r="F158" s="32"/>
    </row>
    <row r="159" spans="1:6">
      <c r="A159" s="4"/>
      <c r="B159" s="6"/>
      <c r="C159" s="24"/>
      <c r="D159" s="10"/>
      <c r="E159" s="10"/>
      <c r="F159" s="4"/>
    </row>
    <row r="160" spans="1:6" ht="36" customHeight="1">
      <c r="A160" s="4" t="s">
        <v>224</v>
      </c>
      <c r="B160" s="14" t="s">
        <v>225</v>
      </c>
      <c r="C160" s="7">
        <v>2520</v>
      </c>
      <c r="D160" s="10">
        <f>C160</f>
        <v>2520</v>
      </c>
      <c r="E160" s="10">
        <v>2500</v>
      </c>
      <c r="F160" s="4" t="s">
        <v>226</v>
      </c>
    </row>
    <row r="161" spans="1:6">
      <c r="A161" s="4"/>
      <c r="B161" s="14"/>
      <c r="C161" s="7"/>
      <c r="D161" s="10"/>
      <c r="E161" s="10"/>
      <c r="F161" s="4"/>
    </row>
    <row r="162" spans="1:6">
      <c r="A162" s="4"/>
      <c r="B162" s="6" t="s">
        <v>227</v>
      </c>
      <c r="C162" s="7"/>
      <c r="D162" s="10"/>
      <c r="E162" s="10"/>
      <c r="F162" s="32"/>
    </row>
    <row r="163" spans="1:6">
      <c r="A163" s="4"/>
      <c r="B163" s="6"/>
      <c r="C163" s="24"/>
      <c r="D163" s="10"/>
      <c r="E163" s="10"/>
      <c r="F163" s="132"/>
    </row>
    <row r="164" spans="1:6" ht="36" customHeight="1">
      <c r="A164" s="4" t="s">
        <v>228</v>
      </c>
      <c r="B164" s="14" t="s">
        <v>83</v>
      </c>
      <c r="C164" s="7">
        <v>4430</v>
      </c>
      <c r="D164" s="10">
        <f>C164</f>
        <v>4430</v>
      </c>
      <c r="E164" s="10">
        <v>4500</v>
      </c>
      <c r="F164" s="4" t="s">
        <v>229</v>
      </c>
    </row>
    <row r="165" spans="1:6">
      <c r="A165" s="92"/>
      <c r="B165" s="14"/>
      <c r="C165" s="18"/>
      <c r="D165" s="19"/>
      <c r="E165" s="19"/>
      <c r="F165" s="4"/>
    </row>
    <row r="166" spans="1:6">
      <c r="A166" s="92"/>
      <c r="B166" s="6" t="s">
        <v>231</v>
      </c>
      <c r="C166" s="18"/>
      <c r="D166" s="19"/>
      <c r="E166" s="19"/>
      <c r="F166" s="4"/>
    </row>
    <row r="167" spans="1:6">
      <c r="A167" s="92"/>
      <c r="B167" s="14"/>
      <c r="C167" s="18"/>
      <c r="D167" s="19"/>
      <c r="E167" s="19"/>
      <c r="F167" s="4"/>
    </row>
    <row r="168" spans="1:6" ht="36" customHeight="1">
      <c r="A168" s="4" t="s">
        <v>232</v>
      </c>
      <c r="B168" s="14" t="s">
        <v>233</v>
      </c>
      <c r="C168" s="7">
        <v>747</v>
      </c>
      <c r="D168" s="10">
        <f>C168</f>
        <v>747</v>
      </c>
      <c r="E168" s="10">
        <v>750</v>
      </c>
      <c r="F168" s="4" t="s">
        <v>234</v>
      </c>
    </row>
    <row r="169" spans="1:6">
      <c r="A169" s="4"/>
      <c r="B169" s="14"/>
      <c r="C169" s="18"/>
      <c r="D169" s="19"/>
      <c r="E169" s="19"/>
      <c r="F169" s="4"/>
    </row>
    <row r="170" spans="1:6">
      <c r="A170" s="4"/>
      <c r="B170" s="6" t="s">
        <v>236</v>
      </c>
      <c r="C170" s="7"/>
      <c r="D170" s="10"/>
      <c r="E170" s="10"/>
      <c r="F170" s="32"/>
    </row>
    <row r="171" spans="1:6">
      <c r="A171" s="4"/>
      <c r="B171" s="5"/>
      <c r="C171" s="26"/>
      <c r="D171" s="19"/>
      <c r="E171" s="19"/>
      <c r="F171" s="26"/>
    </row>
    <row r="172" spans="1:6" ht="36" customHeight="1">
      <c r="A172" s="4" t="s">
        <v>232</v>
      </c>
      <c r="B172" s="14" t="s">
        <v>37</v>
      </c>
      <c r="C172" s="7">
        <v>2820</v>
      </c>
      <c r="D172" s="10">
        <f>C172</f>
        <v>2820</v>
      </c>
      <c r="E172" s="10">
        <v>3000</v>
      </c>
      <c r="F172" s="4" t="s">
        <v>237</v>
      </c>
    </row>
    <row r="173" spans="1:6">
      <c r="A173" s="4"/>
      <c r="B173" s="14"/>
      <c r="C173" s="18"/>
      <c r="D173" s="19"/>
      <c r="E173" s="19"/>
      <c r="F173" s="4"/>
    </row>
    <row r="174" spans="1:6">
      <c r="A174" s="4"/>
      <c r="B174" s="6" t="s">
        <v>239</v>
      </c>
      <c r="C174" s="7"/>
      <c r="D174" s="10"/>
      <c r="E174" s="10"/>
      <c r="F174" s="32"/>
    </row>
    <row r="175" spans="1:6">
      <c r="A175" s="4"/>
      <c r="B175" s="6"/>
      <c r="C175" s="24"/>
      <c r="D175" s="10"/>
      <c r="E175" s="10"/>
      <c r="F175" s="20"/>
    </row>
    <row r="176" spans="1:6" ht="36" customHeight="1">
      <c r="A176" s="4" t="s">
        <v>36</v>
      </c>
      <c r="B176" s="14" t="s">
        <v>241</v>
      </c>
      <c r="C176" s="18">
        <v>9776</v>
      </c>
      <c r="D176" s="10">
        <f>C176</f>
        <v>9776</v>
      </c>
      <c r="E176" s="10">
        <v>10000</v>
      </c>
      <c r="F176" s="37" t="s">
        <v>242</v>
      </c>
    </row>
    <row r="177" spans="1:6">
      <c r="A177" s="4"/>
      <c r="B177" s="14"/>
      <c r="C177" s="7"/>
      <c r="D177" s="10"/>
      <c r="E177" s="10"/>
      <c r="F177" s="4"/>
    </row>
    <row r="178" spans="1:6">
      <c r="A178" s="4"/>
      <c r="B178" s="6" t="s">
        <v>244</v>
      </c>
      <c r="C178" s="7"/>
      <c r="D178" s="10"/>
      <c r="E178" s="10"/>
      <c r="F178" s="32"/>
    </row>
    <row r="179" spans="1:6">
      <c r="A179" s="4"/>
      <c r="B179" s="14" t="s">
        <v>245</v>
      </c>
      <c r="C179" s="7"/>
      <c r="D179" s="10"/>
      <c r="E179" s="10"/>
      <c r="F179" s="4"/>
    </row>
    <row r="180" spans="1:6" ht="24" customHeight="1">
      <c r="A180" s="4" t="s">
        <v>246</v>
      </c>
      <c r="B180" s="14" t="s">
        <v>37</v>
      </c>
      <c r="C180" s="18">
        <v>4969</v>
      </c>
      <c r="D180" s="10">
        <f>C180</f>
        <v>4969</v>
      </c>
      <c r="E180" s="10">
        <v>5000</v>
      </c>
      <c r="F180" s="4" t="s">
        <v>247</v>
      </c>
    </row>
    <row r="181" spans="1:6">
      <c r="A181" s="4"/>
      <c r="B181" s="14"/>
      <c r="C181" s="18"/>
      <c r="D181" s="19"/>
      <c r="E181" s="19"/>
      <c r="F181" s="4"/>
    </row>
    <row r="182" spans="1:6">
      <c r="A182" s="4"/>
      <c r="B182" s="6" t="s">
        <v>249</v>
      </c>
      <c r="C182" s="7"/>
      <c r="D182" s="10"/>
      <c r="E182" s="10"/>
      <c r="F182" s="32"/>
    </row>
    <row r="183" spans="1:6">
      <c r="A183" s="4"/>
      <c r="B183" s="6"/>
      <c r="C183" s="7"/>
      <c r="D183" s="10"/>
      <c r="E183" s="10"/>
      <c r="F183" s="32"/>
    </row>
    <row r="184" spans="1:6" ht="24" customHeight="1">
      <c r="A184" s="4" t="s">
        <v>250</v>
      </c>
      <c r="B184" s="28" t="s">
        <v>251</v>
      </c>
      <c r="C184" s="7">
        <v>400</v>
      </c>
      <c r="D184" s="7">
        <f>C184</f>
        <v>400</v>
      </c>
      <c r="E184" s="7"/>
      <c r="F184" s="4" t="s">
        <v>252</v>
      </c>
    </row>
    <row r="185" spans="1:6" ht="24" customHeight="1">
      <c r="A185" s="4" t="s">
        <v>254</v>
      </c>
      <c r="B185" s="14" t="s">
        <v>255</v>
      </c>
      <c r="C185" s="7">
        <v>873</v>
      </c>
      <c r="D185" s="7">
        <f>C185</f>
        <v>873</v>
      </c>
      <c r="E185" s="7"/>
      <c r="F185" s="4" t="s">
        <v>252</v>
      </c>
    </row>
    <row r="186" spans="1:6">
      <c r="A186" s="4"/>
      <c r="B186" s="14"/>
      <c r="C186" s="18"/>
      <c r="D186" s="19"/>
      <c r="E186" s="19"/>
      <c r="F186" s="4"/>
    </row>
    <row r="187" spans="1:6">
      <c r="A187" s="4"/>
      <c r="B187" s="6" t="s">
        <v>256</v>
      </c>
      <c r="C187" s="7"/>
      <c r="D187" s="10"/>
      <c r="E187" s="10"/>
      <c r="F187" s="32"/>
    </row>
    <row r="188" spans="1:6">
      <c r="A188" s="4"/>
      <c r="B188" s="6"/>
      <c r="C188" s="24"/>
      <c r="D188" s="10"/>
      <c r="E188" s="10"/>
      <c r="F188" s="20"/>
    </row>
    <row r="189" spans="1:6" ht="36" customHeight="1">
      <c r="A189" s="4" t="s">
        <v>246</v>
      </c>
      <c r="B189" s="14" t="s">
        <v>37</v>
      </c>
      <c r="C189" s="7">
        <v>8445</v>
      </c>
      <c r="D189" s="10">
        <f>C189</f>
        <v>8445</v>
      </c>
      <c r="E189" s="10">
        <v>8500</v>
      </c>
      <c r="F189" s="4" t="s">
        <v>257</v>
      </c>
    </row>
    <row r="190" spans="1:6">
      <c r="A190" s="4"/>
      <c r="B190" s="14"/>
      <c r="C190" s="7"/>
      <c r="D190" s="10"/>
      <c r="E190" s="10"/>
      <c r="F190" s="4"/>
    </row>
    <row r="191" spans="1:6">
      <c r="A191" s="4"/>
      <c r="B191" s="6" t="s">
        <v>259</v>
      </c>
      <c r="C191" s="7"/>
      <c r="D191" s="10"/>
      <c r="E191" s="10"/>
      <c r="F191" s="32"/>
    </row>
    <row r="192" spans="1:6">
      <c r="A192" s="4"/>
      <c r="B192" s="14"/>
      <c r="C192" s="7"/>
      <c r="D192" s="10"/>
      <c r="E192" s="10"/>
      <c r="F192" s="4"/>
    </row>
    <row r="193" spans="1:6" ht="36" customHeight="1">
      <c r="A193" s="4" t="s">
        <v>246</v>
      </c>
      <c r="B193" s="14" t="s">
        <v>37</v>
      </c>
      <c r="C193" s="18">
        <v>6563</v>
      </c>
      <c r="D193" s="10">
        <f>C193</f>
        <v>6563</v>
      </c>
      <c r="E193" s="10">
        <v>6500</v>
      </c>
      <c r="F193" s="4" t="s">
        <v>260</v>
      </c>
    </row>
    <row r="194" spans="1:6">
      <c r="A194" s="4"/>
      <c r="B194" s="14"/>
      <c r="C194" s="18"/>
      <c r="D194" s="19"/>
      <c r="E194" s="19"/>
      <c r="F194" s="4"/>
    </row>
    <row r="195" spans="1:6" ht="24" customHeight="1">
      <c r="A195" s="92" t="s">
        <v>261</v>
      </c>
      <c r="B195" s="14"/>
      <c r="C195" s="33">
        <f>SUM(C193:C194)</f>
        <v>6563</v>
      </c>
      <c r="D195" s="18"/>
      <c r="E195" s="18"/>
      <c r="F195" s="34"/>
    </row>
    <row r="196" spans="1:6">
      <c r="A196" s="4"/>
      <c r="B196" s="14"/>
      <c r="C196" s="18"/>
      <c r="D196" s="19"/>
      <c r="E196" s="19"/>
      <c r="F196" s="4"/>
    </row>
    <row r="197" spans="1:6">
      <c r="A197" s="4"/>
      <c r="B197" s="6" t="s">
        <v>262</v>
      </c>
      <c r="C197" s="7"/>
      <c r="D197" s="10"/>
      <c r="E197" s="10"/>
      <c r="F197" s="32"/>
    </row>
    <row r="198" spans="1:6">
      <c r="A198" s="4"/>
      <c r="B198" s="14"/>
      <c r="C198" s="7"/>
      <c r="D198" s="10"/>
      <c r="E198" s="10"/>
      <c r="F198" s="4"/>
    </row>
    <row r="199" spans="1:6" ht="24" customHeight="1">
      <c r="A199" s="4" t="s">
        <v>87</v>
      </c>
      <c r="B199" s="14" t="s">
        <v>46</v>
      </c>
      <c r="C199" s="7">
        <v>5735</v>
      </c>
      <c r="D199" s="10">
        <f>C199</f>
        <v>5735</v>
      </c>
      <c r="E199" s="10">
        <v>5750</v>
      </c>
      <c r="F199" s="4" t="s">
        <v>263</v>
      </c>
    </row>
    <row r="200" spans="1:6">
      <c r="A200" s="92"/>
      <c r="B200" s="14"/>
      <c r="C200" s="33"/>
      <c r="D200" s="18"/>
      <c r="E200" s="18"/>
      <c r="F200" s="34"/>
    </row>
    <row r="201" spans="1:6">
      <c r="A201" s="4"/>
      <c r="B201" s="6" t="s">
        <v>265</v>
      </c>
      <c r="C201" s="7"/>
      <c r="D201" s="10"/>
      <c r="E201" s="10"/>
      <c r="F201" s="32"/>
    </row>
    <row r="202" spans="1:6">
      <c r="A202" s="4"/>
      <c r="B202" s="14"/>
      <c r="C202" s="7"/>
      <c r="D202" s="10"/>
      <c r="E202" s="10"/>
      <c r="F202" s="4"/>
    </row>
    <row r="203" spans="1:6">
      <c r="A203" s="4" t="s">
        <v>266</v>
      </c>
      <c r="B203" s="14" t="s">
        <v>37</v>
      </c>
      <c r="C203" s="7">
        <v>2161</v>
      </c>
      <c r="D203" s="7">
        <f>C203</f>
        <v>2161</v>
      </c>
      <c r="E203" s="7">
        <v>2000</v>
      </c>
      <c r="F203" s="4" t="s">
        <v>68</v>
      </c>
    </row>
    <row r="204" spans="1:6" ht="24" customHeight="1">
      <c r="A204" s="4" t="s">
        <v>78</v>
      </c>
      <c r="B204" s="14" t="s">
        <v>37</v>
      </c>
      <c r="C204" s="7">
        <v>2185</v>
      </c>
      <c r="D204" s="7">
        <f>C204</f>
        <v>2185</v>
      </c>
      <c r="E204" s="7">
        <v>2000</v>
      </c>
      <c r="F204" s="4" t="s">
        <v>263</v>
      </c>
    </row>
    <row r="205" spans="1:6">
      <c r="A205" s="4"/>
      <c r="B205" s="14"/>
      <c r="C205" s="18"/>
      <c r="D205" s="19"/>
      <c r="E205" s="19"/>
      <c r="F205" s="4"/>
    </row>
    <row r="206" spans="1:6">
      <c r="A206" s="4"/>
      <c r="B206" s="6" t="s">
        <v>269</v>
      </c>
      <c r="C206" s="7"/>
      <c r="D206" s="10"/>
      <c r="E206" s="10"/>
      <c r="F206" s="32"/>
    </row>
    <row r="207" spans="1:6">
      <c r="A207" s="4"/>
      <c r="B207" s="6"/>
      <c r="C207" s="24"/>
      <c r="D207" s="10"/>
      <c r="E207" s="10"/>
      <c r="F207" s="4"/>
    </row>
    <row r="208" spans="1:6" ht="24" customHeight="1">
      <c r="A208" s="37" t="s">
        <v>104</v>
      </c>
      <c r="B208" s="14" t="s">
        <v>187</v>
      </c>
      <c r="C208" s="7">
        <v>2481</v>
      </c>
      <c r="D208" s="7">
        <f>C208</f>
        <v>2481</v>
      </c>
      <c r="E208" s="7">
        <v>2500</v>
      </c>
      <c r="F208" s="48" t="s">
        <v>270</v>
      </c>
    </row>
    <row r="209" spans="1:6" ht="24" customHeight="1">
      <c r="A209" s="4" t="s">
        <v>271</v>
      </c>
      <c r="B209" s="14" t="s">
        <v>120</v>
      </c>
      <c r="C209" s="7">
        <v>1616</v>
      </c>
      <c r="D209" s="7">
        <f>C209</f>
        <v>1616</v>
      </c>
      <c r="E209" s="7">
        <v>1500</v>
      </c>
      <c r="F209" s="4" t="s">
        <v>263</v>
      </c>
    </row>
    <row r="210" spans="1:6" ht="24" customHeight="1">
      <c r="A210" s="37" t="s">
        <v>272</v>
      </c>
      <c r="B210" s="14" t="s">
        <v>187</v>
      </c>
      <c r="C210" s="7">
        <v>1485</v>
      </c>
      <c r="D210" s="7">
        <f>C210</f>
        <v>1485</v>
      </c>
      <c r="E210" s="7">
        <v>1500</v>
      </c>
      <c r="F210" s="4" t="s">
        <v>273</v>
      </c>
    </row>
    <row r="211" spans="1:6">
      <c r="A211" s="4"/>
      <c r="B211" s="14"/>
      <c r="C211" s="18"/>
      <c r="D211" s="19"/>
      <c r="E211" s="19"/>
      <c r="F211" s="4"/>
    </row>
    <row r="212" spans="1:6">
      <c r="A212" s="4"/>
      <c r="B212" s="6" t="s">
        <v>274</v>
      </c>
      <c r="C212" s="7"/>
      <c r="D212" s="10"/>
      <c r="E212" s="10"/>
      <c r="F212" s="32"/>
    </row>
    <row r="213" spans="1:6">
      <c r="A213" s="4"/>
      <c r="B213" s="20"/>
      <c r="C213" s="26"/>
      <c r="D213" s="19"/>
      <c r="E213" s="19"/>
      <c r="F213" s="26"/>
    </row>
    <row r="214" spans="1:6" ht="36" customHeight="1">
      <c r="A214" s="4" t="s">
        <v>232</v>
      </c>
      <c r="B214" s="14" t="s">
        <v>37</v>
      </c>
      <c r="C214" s="7">
        <v>2370</v>
      </c>
      <c r="D214" s="7">
        <f>C214</f>
        <v>2370</v>
      </c>
      <c r="E214" s="7"/>
      <c r="F214" s="4" t="s">
        <v>237</v>
      </c>
    </row>
    <row r="215" spans="1:6">
      <c r="A215" s="4"/>
      <c r="B215" s="14"/>
      <c r="C215" s="7"/>
      <c r="D215" s="19"/>
      <c r="E215" s="19"/>
      <c r="F215" s="4"/>
    </row>
    <row r="216" spans="1:6">
      <c r="A216" s="4"/>
      <c r="B216" s="6" t="s">
        <v>276</v>
      </c>
      <c r="C216" s="7"/>
      <c r="D216" s="10"/>
      <c r="E216" s="10"/>
      <c r="F216" s="32"/>
    </row>
    <row r="217" spans="1:6">
      <c r="A217" s="4"/>
      <c r="B217" s="14"/>
      <c r="C217" s="7"/>
      <c r="D217" s="10"/>
      <c r="E217" s="10"/>
      <c r="F217" s="4"/>
    </row>
    <row r="218" spans="1:6" ht="24" customHeight="1">
      <c r="A218" s="4" t="s">
        <v>66</v>
      </c>
      <c r="B218" s="14" t="s">
        <v>120</v>
      </c>
      <c r="C218" s="7">
        <v>1946</v>
      </c>
      <c r="D218" s="7">
        <f>C218</f>
        <v>1946</v>
      </c>
      <c r="E218" s="7">
        <v>2000</v>
      </c>
      <c r="F218" s="4" t="s">
        <v>277</v>
      </c>
    </row>
    <row r="219" spans="1:6">
      <c r="A219" s="4"/>
      <c r="B219" s="14"/>
      <c r="C219" s="18"/>
      <c r="D219" s="19"/>
      <c r="E219" s="19"/>
      <c r="F219" s="4"/>
    </row>
    <row r="220" spans="1:6">
      <c r="A220" s="4"/>
      <c r="B220" s="6" t="s">
        <v>279</v>
      </c>
      <c r="C220" s="7"/>
      <c r="D220" s="10"/>
      <c r="E220" s="10"/>
      <c r="F220" s="32"/>
    </row>
    <row r="221" spans="1:6">
      <c r="A221" s="4"/>
      <c r="B221" s="15"/>
      <c r="C221" s="24"/>
      <c r="D221" s="10"/>
      <c r="E221" s="10"/>
      <c r="F221" s="4"/>
    </row>
    <row r="222" spans="1:6">
      <c r="A222" s="4" t="s">
        <v>104</v>
      </c>
      <c r="B222" s="14" t="s">
        <v>120</v>
      </c>
      <c r="C222" s="7">
        <v>424</v>
      </c>
      <c r="D222" s="7">
        <f>C222</f>
        <v>424</v>
      </c>
      <c r="E222" s="7">
        <v>500</v>
      </c>
      <c r="F222" s="4" t="s">
        <v>280</v>
      </c>
    </row>
    <row r="223" spans="1:6" ht="24" customHeight="1">
      <c r="A223" s="4" t="s">
        <v>281</v>
      </c>
      <c r="B223" s="14" t="s">
        <v>46</v>
      </c>
      <c r="C223" s="7">
        <v>515</v>
      </c>
      <c r="D223" s="7">
        <f>C223</f>
        <v>515</v>
      </c>
      <c r="E223" s="7">
        <v>500</v>
      </c>
      <c r="F223" s="4" t="s">
        <v>282</v>
      </c>
    </row>
    <row r="224" spans="1:6">
      <c r="A224" s="4"/>
      <c r="B224" s="14"/>
      <c r="C224" s="18"/>
      <c r="D224" s="19"/>
      <c r="E224" s="19"/>
      <c r="F224" s="4"/>
    </row>
    <row r="225" spans="1:6">
      <c r="A225" s="4"/>
      <c r="B225" s="6" t="s">
        <v>283</v>
      </c>
      <c r="C225" s="7"/>
      <c r="D225" s="10"/>
      <c r="E225" s="10"/>
      <c r="F225" s="32"/>
    </row>
    <row r="226" spans="1:6">
      <c r="A226" s="4"/>
      <c r="B226" s="6"/>
      <c r="C226" s="133"/>
      <c r="D226" s="10"/>
      <c r="E226" s="10"/>
      <c r="F226" s="4"/>
    </row>
    <row r="227" spans="1:6" ht="24" customHeight="1">
      <c r="A227" s="4" t="s">
        <v>284</v>
      </c>
      <c r="B227" s="14" t="s">
        <v>285</v>
      </c>
      <c r="C227" s="7">
        <v>3664</v>
      </c>
      <c r="D227" s="7">
        <f>C227</f>
        <v>3664</v>
      </c>
      <c r="E227" s="7">
        <v>3500</v>
      </c>
      <c r="F227" s="4" t="s">
        <v>286</v>
      </c>
    </row>
    <row r="228" spans="1:6" ht="24" customHeight="1">
      <c r="A228" s="37" t="s">
        <v>288</v>
      </c>
      <c r="B228" s="14" t="s">
        <v>46</v>
      </c>
      <c r="C228" s="7">
        <v>1496</v>
      </c>
      <c r="D228" s="7">
        <f>C228</f>
        <v>1496</v>
      </c>
      <c r="E228" s="7">
        <v>1500</v>
      </c>
      <c r="F228" s="4" t="s">
        <v>289</v>
      </c>
    </row>
    <row r="229" spans="1:6" ht="24" customHeight="1">
      <c r="A229" s="4" t="s">
        <v>291</v>
      </c>
      <c r="B229" s="14" t="s">
        <v>83</v>
      </c>
      <c r="C229" s="7">
        <v>1592</v>
      </c>
      <c r="D229" s="7">
        <f>C229</f>
        <v>1592</v>
      </c>
      <c r="E229" s="7">
        <v>1500</v>
      </c>
      <c r="F229" s="37" t="s">
        <v>292</v>
      </c>
    </row>
    <row r="230" spans="1:6" ht="24" customHeight="1">
      <c r="A230" s="37" t="s">
        <v>294</v>
      </c>
      <c r="B230" s="14" t="s">
        <v>46</v>
      </c>
      <c r="C230" s="7">
        <v>1704</v>
      </c>
      <c r="D230" s="7">
        <f>C230</f>
        <v>1704</v>
      </c>
      <c r="E230" s="7">
        <v>1750</v>
      </c>
      <c r="F230" s="37" t="s">
        <v>295</v>
      </c>
    </row>
    <row r="231" spans="1:6">
      <c r="A231" s="4"/>
      <c r="B231" s="14"/>
      <c r="C231" s="2"/>
      <c r="D231" s="11"/>
      <c r="E231" s="11"/>
      <c r="F231" s="4"/>
    </row>
    <row r="232" spans="1:6">
      <c r="A232" s="4"/>
      <c r="B232" s="6" t="s">
        <v>296</v>
      </c>
      <c r="C232" s="7"/>
      <c r="D232" s="10"/>
      <c r="E232" s="10"/>
      <c r="F232" s="32"/>
    </row>
    <row r="233" spans="1:6">
      <c r="A233" s="4"/>
      <c r="B233" s="14"/>
      <c r="C233" s="7"/>
      <c r="D233" s="10"/>
      <c r="E233" s="10"/>
      <c r="F233" s="4"/>
    </row>
    <row r="234" spans="1:6" ht="24" customHeight="1">
      <c r="A234" s="4" t="s">
        <v>297</v>
      </c>
      <c r="B234" s="14" t="s">
        <v>251</v>
      </c>
      <c r="C234" s="7">
        <v>120</v>
      </c>
      <c r="D234" s="7">
        <f>C234</f>
        <v>120</v>
      </c>
      <c r="E234" s="7">
        <v>250</v>
      </c>
      <c r="F234" s="37" t="s">
        <v>298</v>
      </c>
    </row>
    <row r="235" spans="1:6" ht="36" customHeight="1">
      <c r="A235" s="4" t="s">
        <v>300</v>
      </c>
      <c r="B235" s="14" t="s">
        <v>128</v>
      </c>
      <c r="C235" s="7">
        <v>1032</v>
      </c>
      <c r="D235" s="7">
        <f>C235</f>
        <v>1032</v>
      </c>
      <c r="E235" s="7">
        <v>1000</v>
      </c>
      <c r="F235" s="37" t="s">
        <v>298</v>
      </c>
    </row>
    <row r="236" spans="1:6" ht="24" customHeight="1">
      <c r="A236" s="4" t="s">
        <v>301</v>
      </c>
      <c r="B236" s="14" t="s">
        <v>120</v>
      </c>
      <c r="C236" s="7">
        <v>1028</v>
      </c>
      <c r="D236" s="7">
        <f>C236</f>
        <v>1028</v>
      </c>
      <c r="E236" s="7">
        <v>1000</v>
      </c>
      <c r="F236" s="4" t="s">
        <v>302</v>
      </c>
    </row>
    <row r="237" spans="1:6">
      <c r="A237" s="4" t="s">
        <v>297</v>
      </c>
      <c r="B237" s="14" t="s">
        <v>251</v>
      </c>
      <c r="C237" s="7">
        <v>90</v>
      </c>
      <c r="D237" s="7">
        <f>C237</f>
        <v>90</v>
      </c>
      <c r="E237" s="7"/>
      <c r="F237" s="4" t="s">
        <v>106</v>
      </c>
    </row>
    <row r="238" spans="1:6" ht="36" customHeight="1">
      <c r="A238" s="37" t="s">
        <v>221</v>
      </c>
      <c r="B238" s="22" t="s">
        <v>128</v>
      </c>
      <c r="C238" s="7">
        <v>894</v>
      </c>
      <c r="D238" s="7">
        <f>C238</f>
        <v>894</v>
      </c>
      <c r="E238" s="7">
        <v>1000</v>
      </c>
      <c r="F238" s="4" t="s">
        <v>303</v>
      </c>
    </row>
    <row r="239" spans="1:6">
      <c r="A239" s="4"/>
      <c r="B239" s="14"/>
      <c r="C239" s="18"/>
      <c r="D239" s="19"/>
      <c r="E239" s="19"/>
      <c r="F239" s="4"/>
    </row>
    <row r="240" spans="1:6">
      <c r="A240" s="4"/>
      <c r="B240" s="6" t="s">
        <v>305</v>
      </c>
      <c r="C240" s="7"/>
      <c r="D240" s="10"/>
      <c r="E240" s="10"/>
      <c r="F240" s="32"/>
    </row>
    <row r="241" spans="1:6">
      <c r="A241" s="4"/>
      <c r="B241" s="26"/>
      <c r="C241" s="7"/>
      <c r="D241" s="10"/>
      <c r="E241" s="10"/>
      <c r="F241" s="32"/>
    </row>
    <row r="242" spans="1:6" ht="24" customHeight="1">
      <c r="A242" s="37" t="s">
        <v>306</v>
      </c>
      <c r="B242" s="14" t="s">
        <v>307</v>
      </c>
      <c r="C242" s="7">
        <v>2047</v>
      </c>
      <c r="D242" s="7">
        <f>C242</f>
        <v>2047</v>
      </c>
      <c r="E242" s="7">
        <v>2000</v>
      </c>
      <c r="F242" s="4" t="s">
        <v>308</v>
      </c>
    </row>
    <row r="243" spans="1:6" ht="36" customHeight="1">
      <c r="A243" s="4" t="s">
        <v>309</v>
      </c>
      <c r="B243" s="14" t="s">
        <v>46</v>
      </c>
      <c r="C243" s="7">
        <v>2185</v>
      </c>
      <c r="D243" s="7">
        <f>C243</f>
        <v>2185</v>
      </c>
      <c r="E243" s="7">
        <v>2000</v>
      </c>
      <c r="F243" s="4" t="s">
        <v>310</v>
      </c>
    </row>
    <row r="244" spans="1:6">
      <c r="A244" s="4"/>
      <c r="B244" s="14"/>
      <c r="C244" s="18"/>
      <c r="D244" s="19"/>
      <c r="E244" s="19"/>
      <c r="F244" s="4"/>
    </row>
    <row r="245" spans="1:6">
      <c r="A245" s="4"/>
      <c r="B245" s="6" t="s">
        <v>312</v>
      </c>
      <c r="C245" s="7"/>
      <c r="D245" s="10"/>
      <c r="E245" s="10"/>
      <c r="F245" s="32"/>
    </row>
    <row r="246" spans="1:6">
      <c r="A246" s="4"/>
      <c r="B246" s="26"/>
      <c r="C246" s="24"/>
      <c r="D246" s="10"/>
      <c r="E246" s="10"/>
      <c r="F246" s="20"/>
    </row>
    <row r="247" spans="1:6" ht="36" customHeight="1">
      <c r="A247" s="4" t="s">
        <v>139</v>
      </c>
      <c r="B247" s="14" t="s">
        <v>136</v>
      </c>
      <c r="C247" s="7">
        <v>930</v>
      </c>
      <c r="D247" s="7">
        <f>C247</f>
        <v>930</v>
      </c>
      <c r="E247" s="7">
        <v>1000</v>
      </c>
      <c r="F247" s="4" t="s">
        <v>313</v>
      </c>
    </row>
    <row r="248" spans="1:6">
      <c r="A248" s="4"/>
      <c r="B248" s="14"/>
      <c r="C248" s="7"/>
      <c r="D248" s="10"/>
      <c r="E248" s="10"/>
      <c r="F248" s="4"/>
    </row>
    <row r="249" spans="1:6">
      <c r="A249" s="4"/>
      <c r="B249" s="6" t="s">
        <v>314</v>
      </c>
      <c r="C249" s="7"/>
      <c r="D249" s="10"/>
      <c r="E249" s="10"/>
      <c r="F249" s="32"/>
    </row>
    <row r="250" spans="1:6">
      <c r="A250" s="4"/>
      <c r="B250" s="14"/>
      <c r="C250" s="7"/>
      <c r="D250" s="10"/>
      <c r="E250" s="10"/>
      <c r="F250" s="4"/>
    </row>
    <row r="251" spans="1:6" ht="36" customHeight="1">
      <c r="A251" s="4" t="s">
        <v>315</v>
      </c>
      <c r="B251" s="14" t="s">
        <v>37</v>
      </c>
      <c r="C251" s="7">
        <v>3760</v>
      </c>
      <c r="D251" s="7">
        <f>C251</f>
        <v>3760</v>
      </c>
      <c r="E251" s="7">
        <v>2750</v>
      </c>
      <c r="F251" s="4" t="s">
        <v>316</v>
      </c>
    </row>
    <row r="252" spans="1:6" ht="24" customHeight="1">
      <c r="A252" s="4" t="s">
        <v>317</v>
      </c>
      <c r="B252" s="14" t="s">
        <v>318</v>
      </c>
      <c r="C252" s="7">
        <v>7994</v>
      </c>
      <c r="D252" s="7">
        <f>C252</f>
        <v>7994</v>
      </c>
      <c r="E252" s="7">
        <v>8000</v>
      </c>
      <c r="F252" s="4" t="s">
        <v>319</v>
      </c>
    </row>
    <row r="253" spans="1:6">
      <c r="A253" s="4"/>
      <c r="B253" s="14"/>
      <c r="C253" s="7"/>
      <c r="D253" s="10"/>
      <c r="E253" s="10"/>
      <c r="F253" s="4"/>
    </row>
    <row r="254" spans="1:6">
      <c r="A254" s="4"/>
      <c r="B254" s="6" t="s">
        <v>321</v>
      </c>
      <c r="C254" s="7"/>
      <c r="D254" s="10"/>
      <c r="E254" s="10"/>
      <c r="F254" s="32"/>
    </row>
    <row r="255" spans="1:6">
      <c r="A255" s="4"/>
      <c r="B255" s="6"/>
      <c r="C255" s="24"/>
      <c r="D255" s="10"/>
      <c r="E255" s="10"/>
      <c r="F255" s="4"/>
    </row>
    <row r="256" spans="1:6" ht="24" customHeight="1">
      <c r="A256" s="4" t="s">
        <v>104</v>
      </c>
      <c r="B256" s="14" t="s">
        <v>251</v>
      </c>
      <c r="C256" s="7">
        <v>927</v>
      </c>
      <c r="D256" s="7">
        <f>C256</f>
        <v>927</v>
      </c>
      <c r="E256" s="7">
        <v>1000</v>
      </c>
      <c r="F256" s="4" t="s">
        <v>252</v>
      </c>
    </row>
    <row r="257" spans="1:6">
      <c r="A257" s="4"/>
      <c r="B257" s="14"/>
      <c r="C257" s="18"/>
      <c r="D257" s="19"/>
      <c r="E257" s="19"/>
      <c r="F257" s="4"/>
    </row>
    <row r="258" spans="1:6">
      <c r="A258" s="4"/>
      <c r="B258" s="6" t="s">
        <v>323</v>
      </c>
      <c r="C258" s="7"/>
      <c r="D258" s="10"/>
      <c r="E258" s="10"/>
      <c r="F258" s="32"/>
    </row>
    <row r="259" spans="1:6">
      <c r="A259" s="4"/>
      <c r="B259" s="6"/>
      <c r="C259" s="7"/>
      <c r="D259" s="10"/>
      <c r="E259" s="10"/>
      <c r="F259" s="32"/>
    </row>
    <row r="260" spans="1:6">
      <c r="A260" s="4" t="s">
        <v>324</v>
      </c>
      <c r="B260" s="14" t="s">
        <v>325</v>
      </c>
      <c r="C260" s="7">
        <v>1519</v>
      </c>
      <c r="D260" s="7">
        <f>C260</f>
        <v>1519</v>
      </c>
      <c r="E260" s="7">
        <v>1500</v>
      </c>
      <c r="F260" s="4" t="s">
        <v>68</v>
      </c>
    </row>
    <row r="261" spans="1:6">
      <c r="A261" s="4" t="s">
        <v>327</v>
      </c>
      <c r="B261" s="14" t="s">
        <v>37</v>
      </c>
      <c r="C261" s="7">
        <v>1525</v>
      </c>
      <c r="D261" s="7">
        <f>C261</f>
        <v>1525</v>
      </c>
      <c r="E261" s="7">
        <v>1500</v>
      </c>
      <c r="F261" s="4" t="s">
        <v>68</v>
      </c>
    </row>
    <row r="262" spans="1:6" ht="36" customHeight="1">
      <c r="A262" s="4" t="s">
        <v>328</v>
      </c>
      <c r="B262" s="14" t="s">
        <v>120</v>
      </c>
      <c r="C262" s="7">
        <v>1989</v>
      </c>
      <c r="D262" s="7">
        <f>C262</f>
        <v>1989</v>
      </c>
      <c r="E262" s="7">
        <v>2000</v>
      </c>
      <c r="F262" s="4" t="s">
        <v>329</v>
      </c>
    </row>
    <row r="263" spans="1:6" ht="24" customHeight="1">
      <c r="A263" s="4" t="s">
        <v>330</v>
      </c>
      <c r="B263" s="14" t="s">
        <v>175</v>
      </c>
      <c r="C263" s="7">
        <v>1143</v>
      </c>
      <c r="D263" s="7">
        <f>C263</f>
        <v>1143</v>
      </c>
      <c r="E263" s="7">
        <v>1000</v>
      </c>
      <c r="F263" s="4" t="s">
        <v>68</v>
      </c>
    </row>
    <row r="264" spans="1:6">
      <c r="A264" s="4"/>
      <c r="B264" s="14"/>
      <c r="C264" s="18"/>
      <c r="D264" s="19"/>
      <c r="E264" s="19"/>
      <c r="F264" s="4"/>
    </row>
    <row r="265" spans="1:6">
      <c r="A265" s="4"/>
      <c r="B265" s="6" t="s">
        <v>331</v>
      </c>
      <c r="C265" s="7"/>
      <c r="D265" s="10"/>
      <c r="E265" s="10"/>
      <c r="F265" s="32"/>
    </row>
    <row r="266" spans="1:6">
      <c r="A266" s="4"/>
      <c r="B266" s="6"/>
      <c r="C266" s="24"/>
      <c r="D266" s="10"/>
      <c r="E266" s="10"/>
      <c r="F266" s="4"/>
    </row>
    <row r="267" spans="1:6" ht="36" customHeight="1">
      <c r="A267" s="4" t="s">
        <v>332</v>
      </c>
      <c r="B267" s="14" t="s">
        <v>83</v>
      </c>
      <c r="C267" s="7">
        <v>1190</v>
      </c>
      <c r="D267" s="7">
        <f>C267</f>
        <v>1190</v>
      </c>
      <c r="E267" s="7">
        <v>1000</v>
      </c>
      <c r="F267" s="4" t="s">
        <v>333</v>
      </c>
    </row>
    <row r="268" spans="1:6">
      <c r="A268" s="4"/>
      <c r="B268" s="14"/>
      <c r="C268" s="7"/>
      <c r="D268" s="10"/>
      <c r="E268" s="10"/>
      <c r="F268" s="4"/>
    </row>
    <row r="269" spans="1:6">
      <c r="A269" s="4"/>
      <c r="B269" s="6" t="s">
        <v>335</v>
      </c>
      <c r="C269" s="7"/>
      <c r="D269" s="10"/>
      <c r="E269" s="10"/>
      <c r="F269" s="32"/>
    </row>
    <row r="270" spans="1:6">
      <c r="A270" s="4"/>
      <c r="B270" s="14"/>
      <c r="C270" s="7"/>
      <c r="D270" s="10"/>
      <c r="E270" s="10"/>
      <c r="F270" s="4"/>
    </row>
    <row r="271" spans="1:6" ht="36" customHeight="1">
      <c r="A271" s="4" t="s">
        <v>36</v>
      </c>
      <c r="B271" s="14" t="s">
        <v>336</v>
      </c>
      <c r="C271" s="18">
        <v>6979</v>
      </c>
      <c r="D271" s="10">
        <f>C271</f>
        <v>6979</v>
      </c>
      <c r="E271" s="10">
        <v>7000</v>
      </c>
      <c r="F271" s="4" t="s">
        <v>337</v>
      </c>
    </row>
    <row r="272" spans="1:6">
      <c r="A272" s="4"/>
      <c r="B272" s="49"/>
      <c r="C272" s="18"/>
      <c r="D272" s="19"/>
      <c r="E272" s="19"/>
      <c r="F272" s="4"/>
    </row>
    <row r="273" spans="1:6">
      <c r="A273" s="4"/>
      <c r="B273" s="6" t="s">
        <v>339</v>
      </c>
      <c r="C273" s="7"/>
      <c r="D273" s="10"/>
      <c r="E273" s="10"/>
      <c r="F273" s="32"/>
    </row>
    <row r="274" spans="1:6">
      <c r="A274" s="95"/>
      <c r="B274" s="5"/>
      <c r="C274" s="123"/>
      <c r="D274" s="3"/>
      <c r="E274" s="3"/>
      <c r="F274" s="123"/>
    </row>
    <row r="275" spans="1:6" ht="24" customHeight="1">
      <c r="A275" s="4" t="s">
        <v>340</v>
      </c>
      <c r="B275" s="14" t="s">
        <v>341</v>
      </c>
      <c r="C275" s="23">
        <v>2662</v>
      </c>
      <c r="D275" s="7">
        <f>C275</f>
        <v>2662</v>
      </c>
      <c r="E275" s="7">
        <v>2500</v>
      </c>
      <c r="F275" s="4" t="s">
        <v>342</v>
      </c>
    </row>
    <row r="276" spans="1:6">
      <c r="A276" s="4"/>
      <c r="B276" s="14"/>
      <c r="C276" s="50"/>
      <c r="D276" s="50"/>
      <c r="E276" s="50"/>
      <c r="F276" s="4"/>
    </row>
    <row r="277" spans="1:6">
      <c r="A277" s="4"/>
      <c r="B277" s="6" t="s">
        <v>343</v>
      </c>
      <c r="C277" s="7"/>
      <c r="D277" s="10"/>
      <c r="E277" s="10"/>
      <c r="F277" s="32"/>
    </row>
    <row r="278" spans="1:6">
      <c r="A278" s="4"/>
      <c r="B278" s="6"/>
      <c r="C278" s="133"/>
      <c r="D278" s="10"/>
      <c r="E278" s="10"/>
      <c r="F278" s="13"/>
    </row>
    <row r="279" spans="1:6" ht="48" customHeight="1">
      <c r="A279" s="4" t="s">
        <v>344</v>
      </c>
      <c r="B279" s="14" t="s">
        <v>345</v>
      </c>
      <c r="C279" s="7">
        <v>6542</v>
      </c>
      <c r="D279" s="10">
        <f>C279</f>
        <v>6542</v>
      </c>
      <c r="E279" s="10">
        <v>6500</v>
      </c>
      <c r="F279" s="4" t="s">
        <v>346</v>
      </c>
    </row>
    <row r="280" spans="1:6">
      <c r="A280" s="4"/>
      <c r="B280" s="14"/>
      <c r="C280" s="18"/>
      <c r="D280" s="19"/>
      <c r="E280" s="19"/>
      <c r="F280" s="4"/>
    </row>
    <row r="281" spans="1:6">
      <c r="A281" s="4"/>
      <c r="B281" s="14"/>
      <c r="C281" s="18"/>
      <c r="D281" s="19"/>
      <c r="E281" s="19"/>
      <c r="F281" s="4"/>
    </row>
    <row r="282" spans="1:6">
      <c r="A282" s="4"/>
      <c r="B282" s="6" t="s">
        <v>347</v>
      </c>
      <c r="C282" s="7"/>
      <c r="D282" s="10"/>
      <c r="E282" s="10"/>
      <c r="F282" s="32"/>
    </row>
    <row r="283" spans="1:6">
      <c r="A283" s="4"/>
      <c r="B283" s="12"/>
      <c r="C283" s="7"/>
      <c r="D283" s="10"/>
      <c r="E283" s="10"/>
      <c r="F283" s="13"/>
    </row>
    <row r="284" spans="1:6" ht="24" customHeight="1">
      <c r="A284" s="4" t="s">
        <v>348</v>
      </c>
      <c r="B284" s="14" t="s">
        <v>128</v>
      </c>
      <c r="C284" s="7">
        <v>1330</v>
      </c>
      <c r="D284" s="7">
        <f>C284</f>
        <v>1330</v>
      </c>
      <c r="E284" s="7">
        <v>1250</v>
      </c>
      <c r="F284" s="4" t="s">
        <v>349</v>
      </c>
    </row>
    <row r="285" spans="1:6" ht="24" customHeight="1">
      <c r="A285" s="4" t="s">
        <v>351</v>
      </c>
      <c r="B285" s="14" t="s">
        <v>352</v>
      </c>
      <c r="C285" s="7">
        <v>1486</v>
      </c>
      <c r="D285" s="7">
        <f>C285</f>
        <v>1486</v>
      </c>
      <c r="E285" s="7">
        <v>1500</v>
      </c>
      <c r="F285" s="4" t="s">
        <v>353</v>
      </c>
    </row>
    <row r="286" spans="1:6" ht="24" customHeight="1">
      <c r="A286" s="37" t="s">
        <v>355</v>
      </c>
      <c r="B286" s="14" t="s">
        <v>352</v>
      </c>
      <c r="C286" s="7">
        <v>1204</v>
      </c>
      <c r="D286" s="7">
        <f>C286</f>
        <v>1204</v>
      </c>
      <c r="E286" s="7">
        <v>1250</v>
      </c>
      <c r="F286" s="4" t="s">
        <v>356</v>
      </c>
    </row>
    <row r="287" spans="1:6" ht="24" customHeight="1">
      <c r="A287" s="4" t="s">
        <v>358</v>
      </c>
      <c r="B287" s="14" t="s">
        <v>352</v>
      </c>
      <c r="C287" s="7">
        <v>1119</v>
      </c>
      <c r="D287" s="7">
        <f>C287</f>
        <v>1119</v>
      </c>
      <c r="E287" s="7">
        <v>1250</v>
      </c>
      <c r="F287" s="4" t="s">
        <v>356</v>
      </c>
    </row>
    <row r="288" spans="1:6" ht="24" customHeight="1">
      <c r="A288" s="4" t="s">
        <v>359</v>
      </c>
      <c r="B288" s="14" t="s">
        <v>83</v>
      </c>
      <c r="C288" s="7">
        <v>3114</v>
      </c>
      <c r="D288" s="7">
        <f>C288</f>
        <v>3114</v>
      </c>
      <c r="E288" s="7">
        <v>3000</v>
      </c>
      <c r="F288" s="4" t="s">
        <v>360</v>
      </c>
    </row>
    <row r="289" spans="1:6">
      <c r="A289" s="4"/>
      <c r="B289" s="41"/>
      <c r="C289" s="18"/>
      <c r="D289" s="19"/>
      <c r="E289" s="19"/>
      <c r="F289" s="4"/>
    </row>
    <row r="290" spans="1:6">
      <c r="A290" s="4"/>
      <c r="B290" s="6" t="s">
        <v>362</v>
      </c>
      <c r="C290" s="7"/>
      <c r="D290" s="10"/>
      <c r="E290" s="10"/>
      <c r="F290" s="32"/>
    </row>
    <row r="291" spans="1:6">
      <c r="A291" s="4"/>
      <c r="B291" s="41"/>
      <c r="C291" s="18"/>
      <c r="D291" s="19"/>
      <c r="E291" s="19"/>
      <c r="F291" s="4"/>
    </row>
    <row r="292" spans="1:6">
      <c r="A292" s="4" t="s">
        <v>246</v>
      </c>
      <c r="B292" s="14" t="s">
        <v>363</v>
      </c>
      <c r="C292" s="18">
        <v>10112</v>
      </c>
      <c r="D292" s="19">
        <f>C292</f>
        <v>10112</v>
      </c>
      <c r="E292" s="19"/>
      <c r="F292" s="4" t="s">
        <v>364</v>
      </c>
    </row>
    <row r="293" spans="1:6">
      <c r="A293" s="4"/>
      <c r="B293" s="14"/>
      <c r="C293" s="18"/>
      <c r="D293" s="19"/>
      <c r="E293" s="19"/>
      <c r="F293" s="4"/>
    </row>
    <row r="294" spans="1:6" ht="24" customHeight="1">
      <c r="A294" s="92" t="s">
        <v>366</v>
      </c>
      <c r="B294" s="14"/>
      <c r="C294" s="33">
        <f>SUM(C292:C293)</f>
        <v>10112</v>
      </c>
      <c r="D294" s="18"/>
      <c r="E294" s="18"/>
      <c r="F294" s="34"/>
    </row>
    <row r="295" spans="1:6">
      <c r="A295" s="4"/>
      <c r="B295" s="6" t="s">
        <v>367</v>
      </c>
      <c r="C295" s="7"/>
      <c r="D295" s="10"/>
      <c r="E295" s="10"/>
      <c r="F295" s="32"/>
    </row>
    <row r="296" spans="1:6">
      <c r="A296" s="4"/>
      <c r="B296" s="6"/>
      <c r="C296" s="26"/>
      <c r="D296" s="10"/>
      <c r="E296" s="10"/>
      <c r="F296" s="26"/>
    </row>
    <row r="297" spans="1:6" ht="36" customHeight="1">
      <c r="A297" s="4" t="s">
        <v>99</v>
      </c>
      <c r="B297" s="14" t="s">
        <v>368</v>
      </c>
      <c r="C297" s="7">
        <v>5200</v>
      </c>
      <c r="D297" s="7">
        <f>C297</f>
        <v>5200</v>
      </c>
      <c r="E297" s="7">
        <v>5000</v>
      </c>
      <c r="F297" s="4" t="s">
        <v>68</v>
      </c>
    </row>
    <row r="298" spans="1:6" ht="36" customHeight="1">
      <c r="A298" s="4" t="s">
        <v>370</v>
      </c>
      <c r="B298" s="14" t="s">
        <v>148</v>
      </c>
      <c r="C298" s="44">
        <v>85</v>
      </c>
      <c r="D298" s="7">
        <f>C298</f>
        <v>85</v>
      </c>
      <c r="E298" s="7"/>
      <c r="F298" s="136" t="s">
        <v>371</v>
      </c>
    </row>
    <row r="299" spans="1:6" ht="24" customHeight="1">
      <c r="A299" s="4" t="s">
        <v>373</v>
      </c>
      <c r="B299" s="14" t="s">
        <v>210</v>
      </c>
      <c r="C299" s="44">
        <v>4011</v>
      </c>
      <c r="D299" s="7">
        <f>C299</f>
        <v>4011</v>
      </c>
      <c r="E299" s="7">
        <v>4000</v>
      </c>
      <c r="F299" s="4" t="s">
        <v>374</v>
      </c>
    </row>
    <row r="300" spans="1:6">
      <c r="A300" s="4"/>
      <c r="B300" s="4"/>
      <c r="C300" s="44"/>
      <c r="D300" s="10"/>
      <c r="E300" s="10"/>
      <c r="F300" s="136"/>
    </row>
    <row r="301" spans="1:6" ht="24" customHeight="1">
      <c r="A301" s="92" t="s">
        <v>367</v>
      </c>
      <c r="B301" s="37"/>
      <c r="C301" s="51">
        <f>SUM(C297:C299)</f>
        <v>9296</v>
      </c>
      <c r="D301" s="19"/>
      <c r="E301" s="19"/>
      <c r="F301" s="136"/>
    </row>
    <row r="302" spans="1:6">
      <c r="A302" s="34"/>
      <c r="B302" s="37"/>
      <c r="C302" s="51"/>
      <c r="D302" s="19"/>
      <c r="E302" s="19"/>
      <c r="F302" s="136"/>
    </row>
    <row r="303" spans="1:6">
      <c r="A303" s="4"/>
      <c r="B303" s="37"/>
      <c r="C303" s="51"/>
      <c r="D303" s="19"/>
      <c r="E303" s="19"/>
      <c r="F303" s="136"/>
    </row>
    <row r="304" spans="1:6">
      <c r="A304" s="4"/>
      <c r="B304" s="6" t="s">
        <v>375</v>
      </c>
      <c r="C304" s="7"/>
      <c r="D304" s="10"/>
      <c r="E304" s="10"/>
      <c r="F304" s="32"/>
    </row>
    <row r="305" spans="1:6">
      <c r="A305" s="4"/>
      <c r="B305" s="5"/>
      <c r="C305" s="26"/>
      <c r="D305" s="19"/>
      <c r="E305" s="19"/>
      <c r="F305" s="117"/>
    </row>
    <row r="306" spans="1:6" ht="24" customHeight="1">
      <c r="A306" s="4" t="s">
        <v>376</v>
      </c>
      <c r="B306" s="14" t="s">
        <v>46</v>
      </c>
      <c r="C306" s="7">
        <v>3348</v>
      </c>
      <c r="D306" s="10">
        <f>C306</f>
        <v>3348</v>
      </c>
      <c r="E306" s="10">
        <v>3250</v>
      </c>
      <c r="F306" s="4" t="s">
        <v>377</v>
      </c>
    </row>
    <row r="307" spans="1:6" ht="24" customHeight="1">
      <c r="A307" s="4" t="s">
        <v>379</v>
      </c>
      <c r="B307" s="14" t="s">
        <v>325</v>
      </c>
      <c r="C307" s="7">
        <v>2964</v>
      </c>
      <c r="D307" s="10">
        <f>C307</f>
        <v>2964</v>
      </c>
      <c r="E307" s="10">
        <v>3000</v>
      </c>
      <c r="F307" s="4" t="s">
        <v>68</v>
      </c>
    </row>
    <row r="308" spans="1:6">
      <c r="A308" s="4"/>
      <c r="B308" s="14"/>
      <c r="C308" s="7"/>
      <c r="D308" s="10"/>
      <c r="E308" s="10"/>
      <c r="F308" s="4"/>
    </row>
    <row r="309" spans="1:6" ht="24" customHeight="1">
      <c r="A309" s="92" t="s">
        <v>381</v>
      </c>
      <c r="B309" s="41"/>
      <c r="C309" s="18">
        <f>SUM(C306:C307)</f>
        <v>6312</v>
      </c>
      <c r="D309" s="19"/>
      <c r="E309" s="19"/>
      <c r="F309" s="4"/>
    </row>
    <row r="310" spans="1:6">
      <c r="A310" s="4"/>
      <c r="B310" s="41"/>
      <c r="C310" s="18"/>
      <c r="D310" s="19"/>
      <c r="E310" s="19"/>
      <c r="F310" s="4"/>
    </row>
    <row r="311" spans="1:6">
      <c r="A311" s="4"/>
      <c r="B311" s="6" t="s">
        <v>382</v>
      </c>
      <c r="C311" s="7"/>
      <c r="D311" s="10"/>
      <c r="E311" s="10"/>
      <c r="F311" s="32"/>
    </row>
    <row r="312" spans="1:6">
      <c r="A312" s="4"/>
      <c r="B312" s="5"/>
      <c r="C312" s="26"/>
      <c r="D312" s="19"/>
      <c r="E312" s="19"/>
      <c r="F312" s="117"/>
    </row>
    <row r="313" spans="1:6" ht="48" customHeight="1">
      <c r="A313" s="4" t="s">
        <v>383</v>
      </c>
      <c r="B313" s="14" t="s">
        <v>46</v>
      </c>
      <c r="C313" s="18">
        <v>61433</v>
      </c>
      <c r="D313" s="10">
        <f>C313</f>
        <v>61433</v>
      </c>
      <c r="E313" s="10">
        <v>60000</v>
      </c>
      <c r="F313" s="4" t="s">
        <v>384</v>
      </c>
    </row>
    <row r="314" spans="1:6">
      <c r="A314" s="4"/>
      <c r="B314" s="14"/>
      <c r="C314" s="18"/>
      <c r="D314" s="19"/>
      <c r="E314" s="19"/>
      <c r="F314" s="4"/>
    </row>
    <row r="315" spans="1:6">
      <c r="A315" s="87"/>
      <c r="B315" s="14"/>
      <c r="C315" s="33"/>
      <c r="D315" s="18"/>
      <c r="E315" s="18"/>
      <c r="F315" s="34"/>
    </row>
    <row r="316" spans="1:6">
      <c r="A316" s="4"/>
      <c r="B316" s="6" t="s">
        <v>386</v>
      </c>
      <c r="C316" s="7"/>
      <c r="D316" s="10"/>
      <c r="E316" s="10"/>
      <c r="F316" s="32"/>
    </row>
    <row r="317" spans="1:6">
      <c r="A317" s="20"/>
      <c r="B317" s="5"/>
      <c r="C317" s="26"/>
      <c r="D317" s="112"/>
      <c r="E317" s="112"/>
      <c r="F317" s="26"/>
    </row>
    <row r="318" spans="1:6" ht="24" customHeight="1">
      <c r="A318" s="4" t="s">
        <v>388</v>
      </c>
      <c r="B318" s="14" t="s">
        <v>251</v>
      </c>
      <c r="C318" s="7">
        <v>114</v>
      </c>
      <c r="D318" s="7">
        <f t="shared" ref="D318:D326" si="0">C318</f>
        <v>114</v>
      </c>
      <c r="E318" s="7"/>
      <c r="F318" s="4" t="s">
        <v>389</v>
      </c>
    </row>
    <row r="319" spans="1:6" ht="24" customHeight="1">
      <c r="A319" s="4" t="s">
        <v>390</v>
      </c>
      <c r="B319" s="14" t="s">
        <v>251</v>
      </c>
      <c r="C319" s="7">
        <v>454</v>
      </c>
      <c r="D319" s="7">
        <f t="shared" si="0"/>
        <v>454</v>
      </c>
      <c r="E319" s="7"/>
      <c r="F319" s="4" t="s">
        <v>391</v>
      </c>
    </row>
    <row r="320" spans="1:6" ht="24" customHeight="1">
      <c r="A320" s="4" t="s">
        <v>73</v>
      </c>
      <c r="B320" s="14" t="s">
        <v>392</v>
      </c>
      <c r="C320" s="7">
        <v>780</v>
      </c>
      <c r="D320" s="7">
        <f t="shared" si="0"/>
        <v>780</v>
      </c>
      <c r="E320" s="7">
        <v>750</v>
      </c>
      <c r="F320" s="4" t="s">
        <v>252</v>
      </c>
    </row>
    <row r="321" spans="1:6" ht="36" customHeight="1">
      <c r="A321" s="4" t="s">
        <v>394</v>
      </c>
      <c r="B321" s="14" t="s">
        <v>83</v>
      </c>
      <c r="C321" s="7">
        <v>3661</v>
      </c>
      <c r="D321" s="7">
        <f t="shared" si="0"/>
        <v>3661</v>
      </c>
      <c r="E321" s="7">
        <v>3500</v>
      </c>
      <c r="F321" s="4" t="s">
        <v>395</v>
      </c>
    </row>
    <row r="322" spans="1:6" ht="24" customHeight="1">
      <c r="A322" s="4" t="s">
        <v>396</v>
      </c>
      <c r="B322" s="14" t="s">
        <v>120</v>
      </c>
      <c r="C322" s="7">
        <v>1716</v>
      </c>
      <c r="D322" s="7">
        <f t="shared" si="0"/>
        <v>1716</v>
      </c>
      <c r="E322" s="7">
        <v>1750</v>
      </c>
      <c r="F322" s="4" t="s">
        <v>68</v>
      </c>
    </row>
    <row r="323" spans="1:6" ht="24" customHeight="1">
      <c r="A323" s="4" t="s">
        <v>397</v>
      </c>
      <c r="B323" s="14" t="s">
        <v>120</v>
      </c>
      <c r="C323" s="7">
        <v>1952</v>
      </c>
      <c r="D323" s="7">
        <f t="shared" si="0"/>
        <v>1952</v>
      </c>
      <c r="E323" s="7">
        <v>2000</v>
      </c>
      <c r="F323" s="4" t="s">
        <v>398</v>
      </c>
    </row>
    <row r="324" spans="1:6" ht="24" customHeight="1">
      <c r="A324" s="4" t="s">
        <v>400</v>
      </c>
      <c r="B324" s="14" t="s">
        <v>401</v>
      </c>
      <c r="C324" s="7">
        <v>1710</v>
      </c>
      <c r="D324" s="7">
        <f t="shared" si="0"/>
        <v>1710</v>
      </c>
      <c r="E324" s="7">
        <v>1750</v>
      </c>
      <c r="F324" s="4" t="s">
        <v>402</v>
      </c>
    </row>
    <row r="325" spans="1:6" ht="24" customHeight="1">
      <c r="A325" s="4" t="s">
        <v>404</v>
      </c>
      <c r="B325" s="14" t="s">
        <v>401</v>
      </c>
      <c r="C325" s="7">
        <v>3601</v>
      </c>
      <c r="D325" s="7">
        <f t="shared" si="0"/>
        <v>3601</v>
      </c>
      <c r="E325" s="7">
        <v>3500</v>
      </c>
      <c r="F325" s="4" t="s">
        <v>391</v>
      </c>
    </row>
    <row r="326" spans="1:6" ht="36" customHeight="1">
      <c r="A326" s="4" t="s">
        <v>406</v>
      </c>
      <c r="B326" s="14" t="s">
        <v>83</v>
      </c>
      <c r="C326" s="7">
        <v>6889</v>
      </c>
      <c r="D326" s="7">
        <f t="shared" si="0"/>
        <v>6889</v>
      </c>
      <c r="E326" s="7">
        <v>7000</v>
      </c>
      <c r="F326" s="4" t="s">
        <v>407</v>
      </c>
    </row>
    <row r="327" spans="1:6">
      <c r="A327" s="4"/>
      <c r="B327" s="14"/>
      <c r="C327" s="18"/>
      <c r="D327" s="19"/>
      <c r="E327" s="19"/>
      <c r="F327" s="4"/>
    </row>
    <row r="328" spans="1:6">
      <c r="A328" s="4"/>
      <c r="B328" s="6" t="s">
        <v>409</v>
      </c>
      <c r="C328" s="7"/>
      <c r="D328" s="10"/>
      <c r="E328" s="10"/>
      <c r="F328" s="32"/>
    </row>
    <row r="329" spans="1:6">
      <c r="A329" s="4"/>
      <c r="B329" s="26"/>
      <c r="C329" s="7"/>
      <c r="D329" s="10"/>
      <c r="E329" s="10"/>
      <c r="F329" s="32"/>
    </row>
    <row r="330" spans="1:6" ht="24" customHeight="1">
      <c r="A330" s="4" t="s">
        <v>410</v>
      </c>
      <c r="B330" s="14" t="s">
        <v>251</v>
      </c>
      <c r="C330" s="11">
        <v>0</v>
      </c>
      <c r="D330" s="7">
        <f t="shared" ref="D330:D336" si="1">C330</f>
        <v>0</v>
      </c>
      <c r="E330" s="7"/>
      <c r="F330" s="4" t="s">
        <v>411</v>
      </c>
    </row>
    <row r="331" spans="1:6" ht="36" customHeight="1">
      <c r="A331" s="4" t="s">
        <v>413</v>
      </c>
      <c r="B331" s="14" t="s">
        <v>285</v>
      </c>
      <c r="C331" s="7">
        <v>7079</v>
      </c>
      <c r="D331" s="7">
        <f t="shared" si="1"/>
        <v>7079</v>
      </c>
      <c r="E331" s="7">
        <v>7000</v>
      </c>
      <c r="F331" s="4" t="s">
        <v>411</v>
      </c>
    </row>
    <row r="332" spans="1:6" ht="24" customHeight="1">
      <c r="A332" s="4" t="s">
        <v>414</v>
      </c>
      <c r="B332" s="14" t="s">
        <v>251</v>
      </c>
      <c r="C332" s="7">
        <v>0</v>
      </c>
      <c r="D332" s="7">
        <f t="shared" si="1"/>
        <v>0</v>
      </c>
      <c r="E332" s="7"/>
      <c r="F332" s="4" t="s">
        <v>411</v>
      </c>
    </row>
    <row r="333" spans="1:6" ht="36" customHeight="1">
      <c r="A333" s="4" t="s">
        <v>415</v>
      </c>
      <c r="B333" s="11" t="s">
        <v>46</v>
      </c>
      <c r="C333" s="7">
        <v>3030</v>
      </c>
      <c r="D333" s="7">
        <f t="shared" si="1"/>
        <v>3030</v>
      </c>
      <c r="E333" s="7">
        <v>3000</v>
      </c>
      <c r="F333" s="4" t="s">
        <v>416</v>
      </c>
    </row>
    <row r="334" spans="1:6" ht="24" customHeight="1">
      <c r="A334" s="4" t="s">
        <v>418</v>
      </c>
      <c r="B334" s="14" t="s">
        <v>46</v>
      </c>
      <c r="C334" s="7">
        <v>1296</v>
      </c>
      <c r="D334" s="7">
        <f t="shared" si="1"/>
        <v>1296</v>
      </c>
      <c r="E334" s="7">
        <v>1250</v>
      </c>
      <c r="F334" s="4" t="s">
        <v>419</v>
      </c>
    </row>
    <row r="335" spans="1:6" ht="36" customHeight="1">
      <c r="A335" s="4" t="s">
        <v>420</v>
      </c>
      <c r="B335" s="14" t="s">
        <v>46</v>
      </c>
      <c r="C335" s="7">
        <v>1690</v>
      </c>
      <c r="D335" s="7">
        <f t="shared" si="1"/>
        <v>1690</v>
      </c>
      <c r="E335" s="7">
        <v>1500</v>
      </c>
      <c r="F335" s="4" t="s">
        <v>421</v>
      </c>
    </row>
    <row r="336" spans="1:6" ht="24" customHeight="1">
      <c r="A336" s="4" t="s">
        <v>422</v>
      </c>
      <c r="B336" s="14" t="s">
        <v>46</v>
      </c>
      <c r="C336" s="7">
        <v>2304</v>
      </c>
      <c r="D336" s="7">
        <f t="shared" si="1"/>
        <v>2304</v>
      </c>
      <c r="E336" s="7">
        <v>2250</v>
      </c>
      <c r="F336" s="4" t="s">
        <v>423</v>
      </c>
    </row>
    <row r="337" spans="1:6">
      <c r="A337" s="4"/>
      <c r="B337" s="41"/>
      <c r="C337" s="18"/>
      <c r="D337" s="19"/>
      <c r="E337" s="19"/>
      <c r="F337" s="4"/>
    </row>
    <row r="338" spans="1:6">
      <c r="A338" s="4"/>
      <c r="B338" s="6" t="s">
        <v>425</v>
      </c>
      <c r="C338" s="7"/>
      <c r="D338" s="10"/>
      <c r="E338" s="10"/>
      <c r="F338" s="32"/>
    </row>
    <row r="339" spans="1:6">
      <c r="A339" s="4"/>
      <c r="B339" s="14"/>
      <c r="C339" s="18"/>
      <c r="D339" s="19"/>
      <c r="E339" s="19"/>
      <c r="F339" s="4"/>
    </row>
    <row r="340" spans="1:6" ht="24" customHeight="1">
      <c r="A340" s="4" t="s">
        <v>317</v>
      </c>
      <c r="B340" s="14" t="s">
        <v>37</v>
      </c>
      <c r="C340" s="7">
        <v>825</v>
      </c>
      <c r="D340" s="10">
        <f>C340</f>
        <v>825</v>
      </c>
      <c r="E340" s="10">
        <v>1000</v>
      </c>
      <c r="F340" s="4" t="s">
        <v>68</v>
      </c>
    </row>
    <row r="341" spans="1:6">
      <c r="A341" s="4"/>
      <c r="B341" s="41"/>
      <c r="C341" s="18"/>
      <c r="D341" s="19"/>
      <c r="E341" s="19"/>
      <c r="F341" s="4"/>
    </row>
    <row r="342" spans="1:6">
      <c r="A342" s="4"/>
      <c r="B342" s="6" t="s">
        <v>426</v>
      </c>
      <c r="C342" s="7"/>
      <c r="D342" s="10"/>
      <c r="E342" s="10"/>
      <c r="F342" s="32"/>
    </row>
    <row r="343" spans="1:6">
      <c r="A343" s="4"/>
      <c r="B343" s="14"/>
      <c r="C343" s="7"/>
      <c r="D343" s="10"/>
      <c r="E343" s="10"/>
      <c r="F343" s="4"/>
    </row>
    <row r="344" spans="1:6" ht="24" customHeight="1">
      <c r="A344" s="4" t="s">
        <v>36</v>
      </c>
      <c r="B344" s="14" t="s">
        <v>427</v>
      </c>
      <c r="C344" s="18">
        <v>2085</v>
      </c>
      <c r="D344" s="10">
        <f>C344</f>
        <v>2085</v>
      </c>
      <c r="E344" s="10">
        <v>2000</v>
      </c>
      <c r="F344" s="4" t="s">
        <v>428</v>
      </c>
    </row>
    <row r="345" spans="1:6">
      <c r="A345" s="92" t="s">
        <v>426</v>
      </c>
      <c r="B345" s="14"/>
      <c r="C345" s="33"/>
      <c r="D345" s="18"/>
      <c r="E345" s="18"/>
      <c r="F345" s="34"/>
    </row>
    <row r="346" spans="1:6">
      <c r="A346" s="4"/>
      <c r="B346" s="14"/>
      <c r="C346" s="18"/>
      <c r="D346" s="18"/>
      <c r="E346" s="18"/>
      <c r="F346" s="4"/>
    </row>
    <row r="347" spans="1:6" ht="27" customHeight="1" thickBot="1">
      <c r="A347" s="192" t="s">
        <v>430</v>
      </c>
      <c r="B347" s="193"/>
      <c r="C347" s="194">
        <f>D347</f>
        <v>394091</v>
      </c>
      <c r="D347" s="194">
        <f>SUM(D2:D346)</f>
        <v>394091</v>
      </c>
      <c r="E347" s="194"/>
      <c r="F347" s="195"/>
    </row>
    <row r="348" spans="1:6" ht="14" customHeight="1" thickTop="1">
      <c r="A348" s="4"/>
      <c r="B348" s="14"/>
      <c r="C348" s="7"/>
      <c r="D348" s="7"/>
      <c r="E348" s="7"/>
      <c r="F348" s="4"/>
    </row>
    <row r="349" spans="1:6">
      <c r="A349" s="146"/>
      <c r="B349" s="147"/>
      <c r="C349" s="148"/>
      <c r="D349" s="148"/>
      <c r="E349" s="148"/>
      <c r="F349" s="146"/>
    </row>
    <row r="350" spans="1:6">
      <c r="A350" s="146"/>
      <c r="B350" s="151" t="s">
        <v>431</v>
      </c>
      <c r="C350" s="148"/>
      <c r="D350" s="148"/>
      <c r="E350" s="148"/>
      <c r="F350" s="146"/>
    </row>
    <row r="351" spans="1:6">
      <c r="A351" s="146"/>
      <c r="B351" s="147"/>
      <c r="C351" s="148"/>
      <c r="D351" s="148"/>
      <c r="E351" s="148"/>
      <c r="F351" s="146"/>
    </row>
    <row r="352" spans="1:6" ht="24" customHeight="1">
      <c r="A352" s="170" t="s">
        <v>36</v>
      </c>
      <c r="B352" s="171" t="s">
        <v>433</v>
      </c>
      <c r="C352" s="172">
        <v>3122</v>
      </c>
      <c r="D352" s="173">
        <f>C352</f>
        <v>3122</v>
      </c>
      <c r="E352" s="173">
        <v>3000</v>
      </c>
      <c r="F352" s="170" t="s">
        <v>434</v>
      </c>
    </row>
    <row r="353" spans="1:6">
      <c r="A353" s="146"/>
      <c r="B353" s="147"/>
      <c r="C353" s="148"/>
      <c r="D353" s="148"/>
      <c r="E353" s="148"/>
      <c r="F353" s="146"/>
    </row>
    <row r="354" spans="1:6">
      <c r="A354" s="146"/>
      <c r="B354" s="147"/>
      <c r="C354" s="148"/>
      <c r="D354" s="148"/>
      <c r="E354" s="148"/>
      <c r="F354" s="146"/>
    </row>
    <row r="355" spans="1:6">
      <c r="A355" s="146"/>
      <c r="B355" s="151" t="s">
        <v>435</v>
      </c>
      <c r="C355" s="148"/>
      <c r="D355" s="148"/>
      <c r="E355" s="148"/>
      <c r="F355" s="146"/>
    </row>
    <row r="356" spans="1:6">
      <c r="A356" s="146"/>
      <c r="B356" s="147"/>
      <c r="C356" s="148"/>
      <c r="D356" s="148"/>
      <c r="E356" s="148"/>
      <c r="F356" s="146"/>
    </row>
    <row r="357" spans="1:6" ht="24" customHeight="1">
      <c r="A357" s="170" t="s">
        <v>139</v>
      </c>
      <c r="B357" s="171" t="s">
        <v>83</v>
      </c>
      <c r="C357" s="173">
        <v>4332</v>
      </c>
      <c r="D357" s="173">
        <f>C357</f>
        <v>4332</v>
      </c>
      <c r="E357" s="173">
        <v>4250</v>
      </c>
      <c r="F357" s="116" t="s">
        <v>436</v>
      </c>
    </row>
    <row r="358" spans="1:6">
      <c r="A358" s="146"/>
      <c r="B358" s="147"/>
      <c r="C358" s="148"/>
      <c r="D358" s="159"/>
      <c r="E358" s="159"/>
      <c r="F358" s="157"/>
    </row>
    <row r="359" spans="1:6">
      <c r="A359" s="146"/>
      <c r="B359" s="147"/>
      <c r="C359" s="148"/>
      <c r="D359" s="159"/>
      <c r="E359" s="159"/>
      <c r="F359" s="157"/>
    </row>
    <row r="360" spans="1:6">
      <c r="A360" s="146"/>
      <c r="B360" s="151" t="s">
        <v>438</v>
      </c>
      <c r="C360" s="148"/>
      <c r="D360" s="159"/>
      <c r="E360" s="159"/>
      <c r="F360" s="157"/>
    </row>
    <row r="361" spans="1:6">
      <c r="A361" s="146"/>
      <c r="B361" s="147"/>
      <c r="C361" s="148"/>
      <c r="D361" s="159"/>
      <c r="E361" s="159"/>
      <c r="F361" s="157"/>
    </row>
    <row r="362" spans="1:6" ht="24" customHeight="1">
      <c r="A362" s="170" t="s">
        <v>36</v>
      </c>
      <c r="B362" s="171" t="s">
        <v>433</v>
      </c>
      <c r="C362" s="172">
        <v>2598</v>
      </c>
      <c r="D362" s="173">
        <f>C362</f>
        <v>2598</v>
      </c>
      <c r="E362" s="173">
        <v>2500</v>
      </c>
      <c r="F362" s="116" t="s">
        <v>439</v>
      </c>
    </row>
    <row r="363" spans="1:6">
      <c r="A363" s="152"/>
      <c r="B363" s="147"/>
      <c r="C363" s="154"/>
      <c r="D363" s="164"/>
      <c r="E363" s="164"/>
      <c r="F363" s="157"/>
    </row>
    <row r="364" spans="1:6">
      <c r="A364" s="146"/>
      <c r="B364" s="147"/>
      <c r="C364" s="148"/>
      <c r="D364" s="148"/>
      <c r="E364" s="148"/>
      <c r="F364" s="157"/>
    </row>
    <row r="365" spans="1:6">
      <c r="A365" s="146"/>
      <c r="B365" s="151" t="s">
        <v>440</v>
      </c>
      <c r="C365" s="148"/>
      <c r="D365" s="148"/>
      <c r="E365" s="148"/>
      <c r="F365" s="157"/>
    </row>
    <row r="366" spans="1:6">
      <c r="A366" s="146"/>
      <c r="B366" s="147"/>
      <c r="C366" s="148"/>
      <c r="D366" s="164"/>
      <c r="E366" s="164"/>
      <c r="F366" s="157"/>
    </row>
    <row r="367" spans="1:6" ht="24" customHeight="1">
      <c r="A367" s="170" t="s">
        <v>36</v>
      </c>
      <c r="B367" s="225" t="s">
        <v>124</v>
      </c>
      <c r="C367" s="172">
        <v>19812</v>
      </c>
      <c r="D367" s="181">
        <f>C367</f>
        <v>19812</v>
      </c>
      <c r="E367" s="181">
        <v>20000</v>
      </c>
      <c r="F367" s="116" t="s">
        <v>441</v>
      </c>
    </row>
    <row r="368" spans="1:6">
      <c r="A368" s="152"/>
      <c r="B368" s="153"/>
      <c r="C368" s="155"/>
      <c r="D368" s="165"/>
      <c r="E368" s="165"/>
      <c r="F368" s="157"/>
    </row>
    <row r="369" spans="1:6">
      <c r="A369" s="152"/>
      <c r="B369" s="153"/>
      <c r="C369" s="155"/>
      <c r="D369" s="165"/>
      <c r="E369" s="165"/>
      <c r="F369" s="157"/>
    </row>
    <row r="370" spans="1:6">
      <c r="A370" s="152"/>
      <c r="B370" s="151" t="s">
        <v>443</v>
      </c>
      <c r="C370" s="155"/>
      <c r="D370" s="165"/>
      <c r="E370" s="165"/>
      <c r="F370" s="157"/>
    </row>
    <row r="371" spans="1:6">
      <c r="A371" s="152"/>
      <c r="B371" s="153"/>
      <c r="C371" s="155"/>
      <c r="D371" s="165"/>
      <c r="E371" s="165"/>
      <c r="F371" s="157"/>
    </row>
    <row r="372" spans="1:6" ht="24" customHeight="1">
      <c r="A372" s="170" t="s">
        <v>87</v>
      </c>
      <c r="B372" s="171" t="s">
        <v>120</v>
      </c>
      <c r="C372" s="173">
        <v>1582</v>
      </c>
      <c r="D372" s="181">
        <f>C372</f>
        <v>1582</v>
      </c>
      <c r="E372" s="181">
        <v>1500</v>
      </c>
      <c r="F372" s="116" t="s">
        <v>444</v>
      </c>
    </row>
    <row r="373" spans="1:6">
      <c r="A373" s="152"/>
      <c r="B373" s="153"/>
      <c r="C373" s="155"/>
      <c r="D373" s="165"/>
      <c r="E373" s="165"/>
      <c r="F373" s="157"/>
    </row>
    <row r="374" spans="1:6">
      <c r="A374" s="152"/>
      <c r="B374" s="153"/>
      <c r="C374" s="155"/>
      <c r="D374" s="165"/>
      <c r="E374" s="165"/>
      <c r="F374" s="157"/>
    </row>
    <row r="375" spans="1:6">
      <c r="A375" s="152"/>
      <c r="B375" s="151" t="s">
        <v>445</v>
      </c>
      <c r="C375" s="155"/>
      <c r="D375" s="165"/>
      <c r="E375" s="165"/>
      <c r="F375" s="157"/>
    </row>
    <row r="376" spans="1:6">
      <c r="A376" s="152"/>
      <c r="B376" s="153"/>
      <c r="C376" s="155"/>
      <c r="D376" s="165"/>
      <c r="E376" s="165"/>
      <c r="F376" s="157"/>
    </row>
    <row r="377" spans="1:6" ht="24" customHeight="1">
      <c r="A377" s="170" t="s">
        <v>446</v>
      </c>
      <c r="B377" s="178" t="s">
        <v>447</v>
      </c>
      <c r="C377" s="173">
        <v>0</v>
      </c>
      <c r="D377" s="181">
        <f>C377</f>
        <v>0</v>
      </c>
      <c r="E377" s="181"/>
      <c r="F377" s="116" t="s">
        <v>448</v>
      </c>
    </row>
    <row r="378" spans="1:6" ht="48" customHeight="1">
      <c r="A378" s="170" t="s">
        <v>450</v>
      </c>
      <c r="B378" s="171" t="s">
        <v>451</v>
      </c>
      <c r="C378" s="173">
        <v>3356</v>
      </c>
      <c r="D378" s="181">
        <f>C378</f>
        <v>3356</v>
      </c>
      <c r="E378" s="181">
        <v>3500</v>
      </c>
      <c r="F378" s="116" t="s">
        <v>68</v>
      </c>
    </row>
    <row r="379" spans="1:6" ht="36" customHeight="1">
      <c r="A379" s="170" t="s">
        <v>452</v>
      </c>
      <c r="B379" s="171" t="s">
        <v>128</v>
      </c>
      <c r="C379" s="173">
        <v>1157</v>
      </c>
      <c r="D379" s="181">
        <f>C379</f>
        <v>1157</v>
      </c>
      <c r="E379" s="181">
        <v>1000</v>
      </c>
      <c r="F379" s="116" t="s">
        <v>453</v>
      </c>
    </row>
    <row r="380" spans="1:6">
      <c r="A380" s="152"/>
      <c r="B380" s="153"/>
      <c r="C380" s="154"/>
      <c r="D380" s="165"/>
      <c r="E380" s="165"/>
      <c r="F380" s="157"/>
    </row>
    <row r="381" spans="1:6">
      <c r="A381" s="152"/>
      <c r="B381" s="153"/>
      <c r="C381" s="154"/>
      <c r="D381" s="165"/>
      <c r="E381" s="165"/>
      <c r="F381" s="157"/>
    </row>
    <row r="382" spans="1:6">
      <c r="A382" s="146"/>
      <c r="B382" s="151" t="s">
        <v>455</v>
      </c>
      <c r="C382" s="162"/>
      <c r="D382" s="148"/>
      <c r="E382" s="148"/>
      <c r="F382" s="146"/>
    </row>
    <row r="383" spans="1:6">
      <c r="A383" s="146"/>
      <c r="B383" s="147"/>
      <c r="C383" s="148"/>
      <c r="D383" s="148"/>
      <c r="E383" s="148"/>
      <c r="F383" s="146"/>
    </row>
    <row r="384" spans="1:6" ht="24" customHeight="1">
      <c r="A384" s="170" t="s">
        <v>139</v>
      </c>
      <c r="B384" s="178" t="s">
        <v>318</v>
      </c>
      <c r="C384" s="173">
        <v>4289</v>
      </c>
      <c r="D384" s="173">
        <f>C384</f>
        <v>4289</v>
      </c>
      <c r="E384" s="173">
        <v>4250</v>
      </c>
      <c r="F384" s="116" t="s">
        <v>457</v>
      </c>
    </row>
    <row r="385" spans="1:6">
      <c r="A385" s="152"/>
      <c r="B385" s="153"/>
      <c r="C385" s="154"/>
      <c r="D385" s="165"/>
      <c r="E385" s="165"/>
      <c r="F385" s="157"/>
    </row>
    <row r="386" spans="1:6">
      <c r="A386" s="152"/>
      <c r="B386" s="153"/>
      <c r="C386" s="154"/>
      <c r="D386" s="165"/>
      <c r="E386" s="165"/>
      <c r="F386" s="157"/>
    </row>
    <row r="387" spans="1:6" ht="27" customHeight="1" thickBot="1">
      <c r="A387" s="192" t="s">
        <v>459</v>
      </c>
      <c r="B387" s="203"/>
      <c r="C387" s="204">
        <f>D387</f>
        <v>40248</v>
      </c>
      <c r="D387" s="205">
        <f>SUM(D349:D386)</f>
        <v>40248</v>
      </c>
      <c r="E387" s="205"/>
      <c r="F387" s="206"/>
    </row>
    <row r="388" spans="1:6" ht="14" customHeight="1" thickTop="1">
      <c r="A388" s="153"/>
      <c r="B388" s="154"/>
      <c r="C388" s="155"/>
      <c r="D388" s="157"/>
      <c r="E388" s="157"/>
      <c r="F388" s="157"/>
    </row>
    <row r="389" spans="1:6">
      <c r="A389" s="152"/>
      <c r="B389" s="151" t="s">
        <v>460</v>
      </c>
      <c r="C389" s="155"/>
      <c r="D389" s="165"/>
      <c r="E389" s="165"/>
      <c r="F389" s="157"/>
    </row>
    <row r="390" spans="1:6">
      <c r="A390" s="152"/>
      <c r="B390" s="153"/>
      <c r="C390" s="155"/>
      <c r="D390" s="165"/>
      <c r="E390" s="165"/>
      <c r="F390" s="157"/>
    </row>
    <row r="391" spans="1:6" ht="36" customHeight="1">
      <c r="A391" s="170" t="s">
        <v>462</v>
      </c>
      <c r="B391" s="171" t="s">
        <v>46</v>
      </c>
      <c r="C391" s="173">
        <v>5662</v>
      </c>
      <c r="D391" s="173">
        <f>C391</f>
        <v>5662</v>
      </c>
      <c r="E391" s="173">
        <v>5500</v>
      </c>
      <c r="F391" s="116" t="s">
        <v>463</v>
      </c>
    </row>
    <row r="392" spans="1:6" ht="24" customHeight="1">
      <c r="A392" s="116" t="s">
        <v>465</v>
      </c>
      <c r="B392" s="171" t="s">
        <v>46</v>
      </c>
      <c r="C392" s="173">
        <v>5350</v>
      </c>
      <c r="D392" s="173">
        <f>C392</f>
        <v>5350</v>
      </c>
      <c r="E392" s="173">
        <v>5500</v>
      </c>
      <c r="F392" s="116" t="s">
        <v>466</v>
      </c>
    </row>
    <row r="393" spans="1:6" ht="24" customHeight="1">
      <c r="A393" s="170" t="s">
        <v>467</v>
      </c>
      <c r="B393" s="171" t="s">
        <v>46</v>
      </c>
      <c r="C393" s="173">
        <v>2044</v>
      </c>
      <c r="D393" s="173">
        <f>C393</f>
        <v>2044</v>
      </c>
      <c r="E393" s="173">
        <v>2000</v>
      </c>
      <c r="F393" s="116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E5C1A"/>
  </sheetPr>
  <dimension ref="A1:AH976"/>
  <sheetViews>
    <sheetView tabSelected="1" view="pageBreakPreview" zoomScale="125" zoomScaleNormal="100" zoomScaleSheetLayoutView="125" workbookViewId="0">
      <pane ySplit="3" topLeftCell="A758" activePane="bottomLeft" state="frozen"/>
      <selection pane="bottomLeft" activeCell="A744" sqref="A744"/>
    </sheetView>
  </sheetViews>
  <sheetFormatPr baseColWidth="10" defaultColWidth="8.83203125" defaultRowHeight="14"/>
  <cols>
    <col min="1" max="1" width="12" bestFit="1" customWidth="1"/>
    <col min="2" max="2" width="5.5" style="129" customWidth="1"/>
    <col min="3" max="3" width="9.6640625" style="222" customWidth="1"/>
    <col min="4" max="5" width="15" style="98" customWidth="1"/>
    <col min="6" max="6" width="22.5" style="4" customWidth="1"/>
    <col min="7" max="7" width="12.83203125" style="14" customWidth="1"/>
    <col min="8" max="8" width="87" style="7" bestFit="1" customWidth="1"/>
    <col min="9" max="9" width="7.83203125" style="7" hidden="1" customWidth="1"/>
    <col min="10" max="10" width="16.1640625" style="7" bestFit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1" customWidth="1"/>
    <col min="21" max="21" width="9.33203125" style="11" hidden="1" customWidth="1"/>
    <col min="22" max="22" width="11.33203125" style="141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8" customWidth="1"/>
    <col min="27" max="27" width="11.5" style="137" customWidth="1"/>
    <col min="28" max="28" width="8.5" style="55" customWidth="1"/>
    <col min="29" max="29" width="52.83203125" style="4" customWidth="1"/>
    <col min="30" max="30" width="11.33203125" style="322" hidden="1" customWidth="1"/>
    <col min="31" max="33" width="11" style="4" hidden="1" customWidth="1"/>
  </cols>
  <sheetData>
    <row r="1" spans="1:34">
      <c r="D1" s="115" t="s">
        <v>0</v>
      </c>
      <c r="E1" s="98" t="s">
        <v>0</v>
      </c>
      <c r="F1" s="98" t="s">
        <v>0</v>
      </c>
      <c r="Q1" s="115"/>
      <c r="AC1" s="98"/>
    </row>
    <row r="2" spans="1:34">
      <c r="D2" s="115" t="s">
        <v>0</v>
      </c>
      <c r="E2" s="98" t="s">
        <v>0</v>
      </c>
      <c r="F2" s="98" t="s">
        <v>0</v>
      </c>
      <c r="J2" s="115" t="s">
        <v>0</v>
      </c>
      <c r="K2" s="115" t="s">
        <v>0</v>
      </c>
      <c r="Q2" s="115"/>
      <c r="S2" s="98" t="s">
        <v>0</v>
      </c>
      <c r="T2" s="98" t="s">
        <v>0</v>
      </c>
      <c r="V2" s="115" t="s">
        <v>0</v>
      </c>
      <c r="X2" s="115" t="s">
        <v>0</v>
      </c>
      <c r="Y2" s="115"/>
      <c r="Z2" s="115"/>
      <c r="AC2" s="98"/>
      <c r="AE2" s="322" t="s">
        <v>0</v>
      </c>
      <c r="AF2" s="322" t="s">
        <v>0</v>
      </c>
      <c r="AG2" s="322" t="s">
        <v>0</v>
      </c>
      <c r="AH2" s="322" t="s">
        <v>0</v>
      </c>
    </row>
    <row r="3" spans="1:34" ht="24" customHeight="1">
      <c r="A3" s="369" t="s">
        <v>470</v>
      </c>
      <c r="C3" s="130" t="s">
        <v>1</v>
      </c>
      <c r="D3" s="130" t="s">
        <v>2</v>
      </c>
      <c r="E3" s="72" t="s">
        <v>3</v>
      </c>
      <c r="F3" s="72" t="s">
        <v>4</v>
      </c>
      <c r="G3" s="72" t="s">
        <v>5</v>
      </c>
      <c r="H3" s="73" t="s">
        <v>6</v>
      </c>
      <c r="I3" s="74" t="s">
        <v>7</v>
      </c>
      <c r="J3" s="74" t="s">
        <v>8</v>
      </c>
      <c r="K3" s="74" t="s">
        <v>9</v>
      </c>
      <c r="L3" s="75" t="s">
        <v>10</v>
      </c>
      <c r="M3" s="76" t="s">
        <v>11</v>
      </c>
      <c r="N3" s="76" t="s">
        <v>12</v>
      </c>
      <c r="O3" s="76" t="s">
        <v>13</v>
      </c>
      <c r="P3" s="76" t="s">
        <v>14</v>
      </c>
      <c r="Q3" s="76" t="s">
        <v>15</v>
      </c>
      <c r="R3" s="77" t="s">
        <v>16</v>
      </c>
      <c r="S3" s="78" t="s">
        <v>17</v>
      </c>
      <c r="T3" s="78" t="s">
        <v>18</v>
      </c>
      <c r="U3" s="77" t="s">
        <v>19</v>
      </c>
      <c r="V3" s="73" t="s">
        <v>20</v>
      </c>
      <c r="W3" s="77" t="s">
        <v>21</v>
      </c>
      <c r="X3" s="73" t="s">
        <v>22</v>
      </c>
      <c r="Y3" s="73" t="s">
        <v>23</v>
      </c>
      <c r="Z3" s="73" t="s">
        <v>24</v>
      </c>
      <c r="AA3" s="59" t="s">
        <v>25</v>
      </c>
      <c r="AB3" s="79" t="s">
        <v>26</v>
      </c>
      <c r="AC3" s="79" t="s">
        <v>27</v>
      </c>
      <c r="AD3" s="97" t="s">
        <v>28</v>
      </c>
      <c r="AE3" s="323" t="s">
        <v>29</v>
      </c>
      <c r="AF3" s="257" t="s">
        <v>30</v>
      </c>
      <c r="AG3" s="257" t="s">
        <v>31</v>
      </c>
      <c r="AH3" s="257" t="s">
        <v>32</v>
      </c>
    </row>
    <row r="4" spans="1:34">
      <c r="C4" s="11"/>
      <c r="D4" s="11"/>
      <c r="E4" s="2"/>
      <c r="G4" s="82"/>
      <c r="H4" s="80"/>
      <c r="I4" s="81"/>
      <c r="J4" s="81"/>
      <c r="K4" s="81"/>
      <c r="L4" s="82"/>
      <c r="M4" s="83"/>
      <c r="N4" s="84"/>
      <c r="O4" s="84"/>
      <c r="P4" s="84"/>
      <c r="Q4" s="84"/>
      <c r="R4" s="85"/>
      <c r="S4" s="85"/>
      <c r="T4" s="85"/>
      <c r="U4" s="86"/>
      <c r="V4" s="86"/>
      <c r="W4" s="231"/>
      <c r="X4" s="86"/>
      <c r="Y4" s="86"/>
      <c r="Z4" s="86"/>
      <c r="AA4" s="60"/>
      <c r="AB4" s="145"/>
      <c r="AC4" s="55"/>
      <c r="AD4" s="82"/>
    </row>
    <row r="5" spans="1:34" ht="14.25" customHeight="1">
      <c r="A5" t="s">
        <v>928</v>
      </c>
      <c r="B5" s="2"/>
      <c r="C5" s="11"/>
      <c r="D5" s="11"/>
      <c r="E5" s="2"/>
      <c r="H5" s="6" t="s">
        <v>33</v>
      </c>
      <c r="J5" s="10"/>
      <c r="K5" s="10"/>
      <c r="L5" s="32"/>
      <c r="V5" s="10"/>
      <c r="X5" s="10"/>
      <c r="Y5" s="10"/>
      <c r="Z5" s="10"/>
      <c r="AA5" s="61"/>
      <c r="AC5" s="55"/>
    </row>
    <row r="6" spans="1:34" ht="14.25" customHeight="1">
      <c r="B6" s="2"/>
      <c r="C6" s="11"/>
      <c r="D6" s="11"/>
      <c r="E6" s="2"/>
      <c r="J6" s="10"/>
      <c r="K6" s="10"/>
      <c r="L6" s="32"/>
      <c r="U6" s="10"/>
      <c r="V6" s="10"/>
      <c r="W6" s="27"/>
      <c r="X6" s="10"/>
      <c r="Y6" s="10"/>
      <c r="Z6" s="10"/>
      <c r="AA6" s="61"/>
      <c r="AC6" s="55"/>
    </row>
    <row r="7" spans="1:34" ht="24" customHeight="1">
      <c r="A7" t="s">
        <v>471</v>
      </c>
      <c r="B7" s="2"/>
      <c r="C7" s="11" t="s">
        <v>34</v>
      </c>
      <c r="D7" s="11" t="s">
        <v>35</v>
      </c>
      <c r="E7" s="2">
        <v>550020</v>
      </c>
      <c r="F7" s="4" t="s">
        <v>33</v>
      </c>
      <c r="G7" s="4" t="s">
        <v>36</v>
      </c>
      <c r="H7" s="14" t="s">
        <v>37</v>
      </c>
      <c r="I7" s="18">
        <v>2011</v>
      </c>
      <c r="J7" s="10" t="str">
        <f>H7</f>
        <v>Office</v>
      </c>
      <c r="K7" s="10">
        <v>2000</v>
      </c>
      <c r="L7" s="4" t="s">
        <v>38</v>
      </c>
      <c r="M7" s="8">
        <v>45365</v>
      </c>
      <c r="N7" s="9">
        <v>47190</v>
      </c>
      <c r="Q7" s="9">
        <v>46459</v>
      </c>
      <c r="R7" s="19">
        <v>115500</v>
      </c>
      <c r="S7" s="10">
        <f>Q7</f>
        <v>46459</v>
      </c>
      <c r="T7" s="19">
        <f>R7</f>
        <v>115500</v>
      </c>
      <c r="U7" s="19">
        <v>100600</v>
      </c>
      <c r="V7" s="10">
        <f>T7</f>
        <v>115500</v>
      </c>
      <c r="W7" s="19">
        <v>115000</v>
      </c>
      <c r="X7" s="10">
        <f>V7</f>
        <v>115500</v>
      </c>
      <c r="Y7" s="299" t="e">
        <f>T7/H7</f>
        <v>#VALUE!</v>
      </c>
      <c r="Z7" s="10" t="s">
        <v>39</v>
      </c>
      <c r="AA7" s="61"/>
      <c r="AB7" s="19">
        <v>1825000</v>
      </c>
      <c r="AC7" s="55" t="s">
        <v>40</v>
      </c>
      <c r="AD7" s="4" t="s">
        <v>41</v>
      </c>
    </row>
    <row r="8" spans="1:34" ht="14.25" customHeight="1">
      <c r="B8" s="2"/>
      <c r="C8" s="11"/>
      <c r="D8" s="11"/>
      <c r="E8" s="2"/>
      <c r="G8" s="92" t="s">
        <v>42</v>
      </c>
      <c r="I8" s="33">
        <f>SUM(H7:H7)</f>
        <v>0</v>
      </c>
      <c r="J8" s="18"/>
      <c r="K8" s="18"/>
      <c r="L8" s="34"/>
      <c r="M8" s="35"/>
      <c r="N8" s="36"/>
      <c r="O8" s="36"/>
      <c r="P8" s="36"/>
      <c r="Q8" s="36"/>
      <c r="R8" s="33"/>
      <c r="S8" s="33"/>
      <c r="T8" s="33"/>
      <c r="U8" s="33"/>
      <c r="V8" s="33"/>
      <c r="W8" s="33"/>
      <c r="X8" s="33"/>
      <c r="Y8" s="33"/>
      <c r="Z8" s="33"/>
      <c r="AA8" s="63"/>
      <c r="AB8" s="260"/>
      <c r="AC8" s="109"/>
    </row>
    <row r="9" spans="1:34" ht="14.25" customHeight="1">
      <c r="A9" t="s">
        <v>928</v>
      </c>
      <c r="B9" s="2"/>
      <c r="C9" s="11"/>
      <c r="D9" s="11"/>
      <c r="E9" s="2"/>
      <c r="H9" s="6" t="s">
        <v>43</v>
      </c>
      <c r="J9" s="10"/>
      <c r="K9" s="10"/>
      <c r="L9" s="32"/>
      <c r="V9" s="10"/>
      <c r="X9" s="10"/>
      <c r="Y9" s="10"/>
      <c r="Z9" s="10"/>
      <c r="AA9" s="61"/>
      <c r="AC9" s="14"/>
    </row>
    <row r="10" spans="1:34" ht="14.25" customHeight="1">
      <c r="B10" s="2"/>
      <c r="C10" s="11"/>
      <c r="D10" s="11"/>
      <c r="E10" s="2"/>
      <c r="R10" s="7"/>
      <c r="S10" s="7"/>
      <c r="T10" s="7"/>
      <c r="U10" s="7"/>
      <c r="V10" s="7"/>
      <c r="W10" s="7"/>
      <c r="X10" s="7"/>
      <c r="Y10" s="7"/>
      <c r="Z10" s="7"/>
      <c r="AA10" s="65"/>
      <c r="AC10" s="14"/>
    </row>
    <row r="11" spans="1:34" ht="24.75" customHeight="1">
      <c r="A11" s="370" t="s">
        <v>471</v>
      </c>
      <c r="B11" s="371"/>
      <c r="C11" s="372" t="s">
        <v>44</v>
      </c>
      <c r="D11" s="372" t="s">
        <v>35</v>
      </c>
      <c r="E11" s="371">
        <v>550910</v>
      </c>
      <c r="F11" s="373" t="s">
        <v>43</v>
      </c>
      <c r="G11" s="373" t="s">
        <v>45</v>
      </c>
      <c r="H11" s="374" t="s">
        <v>46</v>
      </c>
      <c r="I11" s="375">
        <v>2333</v>
      </c>
      <c r="J11" s="376" t="str">
        <f t="shared" ref="J11:J23" si="0">H11</f>
        <v>Retail</v>
      </c>
      <c r="K11" s="376">
        <v>2000</v>
      </c>
      <c r="L11" s="373" t="s">
        <v>47</v>
      </c>
      <c r="M11" s="377">
        <v>45736</v>
      </c>
      <c r="N11" s="377">
        <v>47561</v>
      </c>
      <c r="O11" s="378"/>
      <c r="P11" s="378"/>
      <c r="Q11" s="377">
        <v>46831</v>
      </c>
      <c r="R11" s="375">
        <v>0</v>
      </c>
      <c r="S11" s="376">
        <f t="shared" ref="S11:S23" si="1">Q11</f>
        <v>46831</v>
      </c>
      <c r="T11" s="378"/>
      <c r="U11" s="375">
        <v>110000</v>
      </c>
      <c r="V11" s="376">
        <f t="shared" ref="V11:V23" si="2">T11</f>
        <v>0</v>
      </c>
      <c r="W11" s="375">
        <v>108100</v>
      </c>
      <c r="X11" s="376">
        <f t="shared" ref="X11:X23" si="3">V11</f>
        <v>0</v>
      </c>
      <c r="Y11" s="379" t="e">
        <f t="shared" ref="Y11:Y23" si="4">T11/H11</f>
        <v>#VALUE!</v>
      </c>
      <c r="Z11" s="376" t="s">
        <v>39</v>
      </c>
      <c r="AA11" s="380"/>
      <c r="AB11" s="381"/>
      <c r="AC11" s="374" t="s">
        <v>40</v>
      </c>
      <c r="AD11" s="373" t="s">
        <v>48</v>
      </c>
      <c r="AE11" s="382"/>
      <c r="AF11" s="373">
        <v>1</v>
      </c>
      <c r="AG11" s="383">
        <v>3</v>
      </c>
      <c r="AH11" s="378"/>
    </row>
    <row r="12" spans="1:34" ht="22.5" customHeight="1">
      <c r="A12" s="378" t="s">
        <v>471</v>
      </c>
      <c r="B12" s="371"/>
      <c r="C12" s="372" t="s">
        <v>44</v>
      </c>
      <c r="D12" s="372" t="s">
        <v>35</v>
      </c>
      <c r="E12" s="371">
        <v>550910</v>
      </c>
      <c r="F12" s="373" t="s">
        <v>43</v>
      </c>
      <c r="G12" s="373" t="s">
        <v>472</v>
      </c>
      <c r="H12" s="374" t="s">
        <v>363</v>
      </c>
      <c r="I12" s="375">
        <v>6092</v>
      </c>
      <c r="J12" s="376" t="str">
        <f t="shared" si="0"/>
        <v>Gallery</v>
      </c>
      <c r="K12" s="376">
        <v>6000</v>
      </c>
      <c r="L12" s="373" t="s">
        <v>473</v>
      </c>
      <c r="M12" s="384">
        <v>45712</v>
      </c>
      <c r="N12" s="377">
        <v>47537</v>
      </c>
      <c r="O12" s="378"/>
      <c r="P12" s="378"/>
      <c r="Q12" s="377">
        <v>46806</v>
      </c>
      <c r="R12" s="376">
        <v>0</v>
      </c>
      <c r="S12" s="376">
        <f t="shared" si="1"/>
        <v>46806</v>
      </c>
      <c r="T12" s="378"/>
      <c r="U12" s="375">
        <v>225000</v>
      </c>
      <c r="V12" s="376">
        <f t="shared" si="2"/>
        <v>0</v>
      </c>
      <c r="W12" s="375">
        <v>226100</v>
      </c>
      <c r="X12" s="376">
        <f t="shared" si="3"/>
        <v>0</v>
      </c>
      <c r="Y12" s="379" t="e">
        <f t="shared" si="4"/>
        <v>#VALUE!</v>
      </c>
      <c r="Z12" s="376" t="s">
        <v>39</v>
      </c>
      <c r="AA12" s="380"/>
      <c r="AB12" s="381"/>
      <c r="AC12" s="374" t="s">
        <v>40</v>
      </c>
      <c r="AD12" s="373" t="s">
        <v>474</v>
      </c>
      <c r="AE12" s="382"/>
      <c r="AF12" s="378"/>
      <c r="AG12" s="383">
        <v>3</v>
      </c>
      <c r="AH12" s="373" t="s">
        <v>160</v>
      </c>
    </row>
    <row r="13" spans="1:34" ht="22.5" customHeight="1">
      <c r="A13" s="378" t="s">
        <v>471</v>
      </c>
      <c r="B13" s="371"/>
      <c r="C13" s="372" t="s">
        <v>44</v>
      </c>
      <c r="D13" s="372" t="s">
        <v>35</v>
      </c>
      <c r="E13" s="371">
        <v>550910</v>
      </c>
      <c r="F13" s="373" t="s">
        <v>43</v>
      </c>
      <c r="G13" s="373" t="s">
        <v>475</v>
      </c>
      <c r="H13" s="374" t="s">
        <v>37</v>
      </c>
      <c r="I13" s="375">
        <v>1063</v>
      </c>
      <c r="J13" s="376" t="str">
        <f t="shared" si="0"/>
        <v>Office</v>
      </c>
      <c r="K13" s="376">
        <v>1000</v>
      </c>
      <c r="L13" s="373" t="s">
        <v>476</v>
      </c>
      <c r="M13" s="377">
        <v>45551</v>
      </c>
      <c r="N13" s="377">
        <v>47376</v>
      </c>
      <c r="O13" s="378"/>
      <c r="P13" s="378"/>
      <c r="Q13" s="377">
        <v>46645</v>
      </c>
      <c r="R13" s="375">
        <v>61425</v>
      </c>
      <c r="S13" s="376">
        <f t="shared" si="1"/>
        <v>46645</v>
      </c>
      <c r="T13" s="378"/>
      <c r="U13" s="375">
        <v>55700</v>
      </c>
      <c r="V13" s="376">
        <f t="shared" si="2"/>
        <v>0</v>
      </c>
      <c r="W13" s="375">
        <v>61100</v>
      </c>
      <c r="X13" s="376">
        <f t="shared" si="3"/>
        <v>0</v>
      </c>
      <c r="Y13" s="379" t="e">
        <f t="shared" si="4"/>
        <v>#VALUE!</v>
      </c>
      <c r="Z13" s="376" t="s">
        <v>69</v>
      </c>
      <c r="AA13" s="380"/>
      <c r="AB13" s="381"/>
      <c r="AC13" s="374" t="s">
        <v>40</v>
      </c>
      <c r="AD13" s="373" t="s">
        <v>477</v>
      </c>
      <c r="AE13" s="378"/>
      <c r="AF13" s="378"/>
      <c r="AG13" s="378"/>
      <c r="AH13" s="385" t="s">
        <v>160</v>
      </c>
    </row>
    <row r="14" spans="1:34" ht="22.5" customHeight="1">
      <c r="A14" s="378" t="s">
        <v>471</v>
      </c>
      <c r="B14" s="371"/>
      <c r="C14" s="372" t="s">
        <v>44</v>
      </c>
      <c r="D14" s="372" t="s">
        <v>35</v>
      </c>
      <c r="E14" s="371">
        <v>550910</v>
      </c>
      <c r="F14" s="373" t="s">
        <v>43</v>
      </c>
      <c r="G14" s="373" t="s">
        <v>478</v>
      </c>
      <c r="H14" s="374" t="s">
        <v>37</v>
      </c>
      <c r="I14" s="375">
        <v>2220</v>
      </c>
      <c r="J14" s="376" t="str">
        <f t="shared" si="0"/>
        <v>Office</v>
      </c>
      <c r="K14" s="376">
        <v>2000</v>
      </c>
      <c r="L14" s="373" t="s">
        <v>479</v>
      </c>
      <c r="M14" s="377">
        <v>45086</v>
      </c>
      <c r="N14" s="377">
        <v>46181</v>
      </c>
      <c r="O14" s="378"/>
      <c r="P14" s="378"/>
      <c r="Q14" s="377">
        <v>45816</v>
      </c>
      <c r="R14" s="375">
        <v>131400</v>
      </c>
      <c r="S14" s="376">
        <f t="shared" si="1"/>
        <v>45816</v>
      </c>
      <c r="T14" s="378"/>
      <c r="U14" s="375">
        <v>131100</v>
      </c>
      <c r="V14" s="376">
        <f t="shared" si="2"/>
        <v>0</v>
      </c>
      <c r="W14" s="375">
        <v>133200</v>
      </c>
      <c r="X14" s="376">
        <f t="shared" si="3"/>
        <v>0</v>
      </c>
      <c r="Y14" s="379" t="e">
        <f t="shared" si="4"/>
        <v>#VALUE!</v>
      </c>
      <c r="Z14" s="376" t="s">
        <v>69</v>
      </c>
      <c r="AA14" s="380"/>
      <c r="AB14" s="381"/>
      <c r="AC14" s="374" t="s">
        <v>40</v>
      </c>
      <c r="AD14" s="373" t="s">
        <v>192</v>
      </c>
      <c r="AE14" s="378"/>
      <c r="AF14" s="378"/>
      <c r="AG14" s="383"/>
      <c r="AH14" s="378"/>
    </row>
    <row r="15" spans="1:34" s="115" customFormat="1" ht="22.5" customHeight="1">
      <c r="A15" s="378" t="s">
        <v>471</v>
      </c>
      <c r="B15" s="371"/>
      <c r="C15" s="372" t="s">
        <v>44</v>
      </c>
      <c r="D15" s="372" t="s">
        <v>35</v>
      </c>
      <c r="E15" s="371">
        <v>550910</v>
      </c>
      <c r="F15" s="373" t="s">
        <v>43</v>
      </c>
      <c r="G15" s="373" t="s">
        <v>480</v>
      </c>
      <c r="H15" s="374" t="s">
        <v>37</v>
      </c>
      <c r="I15" s="375">
        <v>1124</v>
      </c>
      <c r="J15" s="376" t="str">
        <f t="shared" si="0"/>
        <v>Office</v>
      </c>
      <c r="K15" s="376">
        <v>1000</v>
      </c>
      <c r="L15" s="373" t="s">
        <v>479</v>
      </c>
      <c r="M15" s="377">
        <v>45614</v>
      </c>
      <c r="N15" s="377">
        <v>46181</v>
      </c>
      <c r="O15" s="377"/>
      <c r="P15" s="377"/>
      <c r="Q15" s="377">
        <v>45816</v>
      </c>
      <c r="R15" s="375">
        <v>71875</v>
      </c>
      <c r="S15" s="376">
        <f t="shared" si="1"/>
        <v>45816</v>
      </c>
      <c r="T15" s="376"/>
      <c r="U15" s="375">
        <v>60400</v>
      </c>
      <c r="V15" s="376">
        <f t="shared" si="2"/>
        <v>0</v>
      </c>
      <c r="W15" s="375">
        <v>61800</v>
      </c>
      <c r="X15" s="376">
        <f t="shared" si="3"/>
        <v>0</v>
      </c>
      <c r="Y15" s="379" t="e">
        <f t="shared" si="4"/>
        <v>#VALUE!</v>
      </c>
      <c r="Z15" s="376" t="s">
        <v>58</v>
      </c>
      <c r="AA15" s="380"/>
      <c r="AB15" s="381"/>
      <c r="AC15" s="374" t="s">
        <v>40</v>
      </c>
      <c r="AD15" s="373" t="s">
        <v>192</v>
      </c>
      <c r="AE15" s="382"/>
      <c r="AF15" s="373"/>
      <c r="AG15" s="383"/>
      <c r="AH15" s="373"/>
    </row>
    <row r="16" spans="1:34" ht="22.5" customHeight="1">
      <c r="A16" s="378" t="s">
        <v>471</v>
      </c>
      <c r="B16" s="371"/>
      <c r="C16" s="372" t="s">
        <v>44</v>
      </c>
      <c r="D16" s="372" t="s">
        <v>35</v>
      </c>
      <c r="E16" s="371">
        <v>550910</v>
      </c>
      <c r="F16" s="373" t="s">
        <v>43</v>
      </c>
      <c r="G16" s="373" t="s">
        <v>481</v>
      </c>
      <c r="H16" s="374" t="s">
        <v>37</v>
      </c>
      <c r="I16" s="375">
        <v>2238</v>
      </c>
      <c r="J16" s="376" t="str">
        <f t="shared" si="0"/>
        <v>Office</v>
      </c>
      <c r="K16" s="376">
        <v>2000</v>
      </c>
      <c r="L16" s="373" t="s">
        <v>68</v>
      </c>
      <c r="M16" s="377"/>
      <c r="N16" s="378"/>
      <c r="O16" s="377">
        <v>45636</v>
      </c>
      <c r="P16" s="378"/>
      <c r="Q16" s="378"/>
      <c r="R16" s="375">
        <v>0</v>
      </c>
      <c r="S16" s="376">
        <f t="shared" si="1"/>
        <v>0</v>
      </c>
      <c r="T16" s="378"/>
      <c r="U16" s="375">
        <v>134300</v>
      </c>
      <c r="V16" s="376">
        <f t="shared" si="2"/>
        <v>0</v>
      </c>
      <c r="W16" s="375">
        <v>134300</v>
      </c>
      <c r="X16" s="376">
        <f t="shared" si="3"/>
        <v>0</v>
      </c>
      <c r="Y16" s="379" t="e">
        <f t="shared" si="4"/>
        <v>#VALUE!</v>
      </c>
      <c r="Z16" s="376" t="s">
        <v>69</v>
      </c>
      <c r="AA16" s="380"/>
      <c r="AB16" s="381"/>
      <c r="AC16" s="374" t="s">
        <v>40</v>
      </c>
      <c r="AD16" s="373" t="s">
        <v>482</v>
      </c>
      <c r="AE16" s="378"/>
      <c r="AF16" s="385"/>
      <c r="AG16" s="386"/>
      <c r="AH16" s="385"/>
    </row>
    <row r="17" spans="1:34" ht="22.5" customHeight="1">
      <c r="A17" s="378" t="s">
        <v>471</v>
      </c>
      <c r="B17" s="371"/>
      <c r="C17" s="372" t="s">
        <v>44</v>
      </c>
      <c r="D17" s="372" t="s">
        <v>35</v>
      </c>
      <c r="E17" s="371">
        <v>550910</v>
      </c>
      <c r="F17" s="373" t="s">
        <v>43</v>
      </c>
      <c r="G17" s="373" t="s">
        <v>483</v>
      </c>
      <c r="H17" s="374" t="s">
        <v>37</v>
      </c>
      <c r="I17" s="375">
        <v>400</v>
      </c>
      <c r="J17" s="376" t="str">
        <f t="shared" si="0"/>
        <v>Office</v>
      </c>
      <c r="K17" s="376">
        <v>500</v>
      </c>
      <c r="L17" s="373" t="s">
        <v>68</v>
      </c>
      <c r="M17" s="377"/>
      <c r="N17" s="378"/>
      <c r="O17" s="387">
        <v>45771</v>
      </c>
      <c r="P17" s="378"/>
      <c r="Q17" s="378"/>
      <c r="R17" s="375">
        <v>0</v>
      </c>
      <c r="S17" s="376">
        <f t="shared" si="1"/>
        <v>0</v>
      </c>
      <c r="T17" s="378"/>
      <c r="U17" s="375">
        <v>20600</v>
      </c>
      <c r="V17" s="376">
        <f t="shared" si="2"/>
        <v>0</v>
      </c>
      <c r="W17" s="375">
        <v>23000</v>
      </c>
      <c r="X17" s="376">
        <f t="shared" si="3"/>
        <v>0</v>
      </c>
      <c r="Y17" s="379" t="e">
        <f t="shared" si="4"/>
        <v>#VALUE!</v>
      </c>
      <c r="Z17" s="376" t="s">
        <v>69</v>
      </c>
      <c r="AA17" s="380"/>
      <c r="AB17" s="381"/>
      <c r="AC17" s="374" t="s">
        <v>40</v>
      </c>
      <c r="AD17" s="385" t="s">
        <v>482</v>
      </c>
      <c r="AE17" s="378"/>
      <c r="AF17" s="378"/>
      <c r="AG17" s="383"/>
      <c r="AH17" s="378"/>
    </row>
    <row r="18" spans="1:34" ht="22.5" customHeight="1">
      <c r="A18" s="378" t="s">
        <v>471</v>
      </c>
      <c r="B18" s="371"/>
      <c r="C18" s="372" t="s">
        <v>44</v>
      </c>
      <c r="D18" s="372" t="s">
        <v>35</v>
      </c>
      <c r="E18" s="371">
        <v>550910</v>
      </c>
      <c r="F18" s="373" t="s">
        <v>43</v>
      </c>
      <c r="G18" s="373" t="s">
        <v>484</v>
      </c>
      <c r="H18" s="374" t="s">
        <v>37</v>
      </c>
      <c r="I18" s="375">
        <v>1938</v>
      </c>
      <c r="J18" s="376" t="str">
        <f t="shared" si="0"/>
        <v>Office</v>
      </c>
      <c r="K18" s="376">
        <v>2000</v>
      </c>
      <c r="L18" s="373" t="s">
        <v>68</v>
      </c>
      <c r="M18" s="378"/>
      <c r="N18" s="378"/>
      <c r="O18" s="377">
        <v>45217</v>
      </c>
      <c r="P18" s="378"/>
      <c r="Q18" s="378"/>
      <c r="R18" s="376">
        <v>0</v>
      </c>
      <c r="S18" s="376">
        <f t="shared" si="1"/>
        <v>0</v>
      </c>
      <c r="T18" s="378"/>
      <c r="U18" s="375">
        <v>109000</v>
      </c>
      <c r="V18" s="376">
        <f t="shared" si="2"/>
        <v>0</v>
      </c>
      <c r="W18" s="375">
        <v>111400</v>
      </c>
      <c r="X18" s="376">
        <f t="shared" si="3"/>
        <v>0</v>
      </c>
      <c r="Y18" s="379" t="e">
        <f t="shared" si="4"/>
        <v>#VALUE!</v>
      </c>
      <c r="Z18" s="376" t="s">
        <v>69</v>
      </c>
      <c r="AA18" s="380"/>
      <c r="AB18" s="381"/>
      <c r="AC18" s="374" t="s">
        <v>40</v>
      </c>
      <c r="AD18" s="373" t="s">
        <v>482</v>
      </c>
      <c r="AE18" s="388">
        <v>65</v>
      </c>
      <c r="AF18" s="373">
        <v>1</v>
      </c>
      <c r="AG18" s="383">
        <v>3</v>
      </c>
      <c r="AH18" s="378"/>
    </row>
    <row r="19" spans="1:34" ht="27.75" customHeight="1">
      <c r="A19" s="378" t="s">
        <v>471</v>
      </c>
      <c r="B19" s="371"/>
      <c r="C19" s="372" t="s">
        <v>44</v>
      </c>
      <c r="D19" s="372" t="s">
        <v>35</v>
      </c>
      <c r="E19" s="371">
        <v>550910</v>
      </c>
      <c r="F19" s="373" t="s">
        <v>43</v>
      </c>
      <c r="G19" s="373" t="s">
        <v>485</v>
      </c>
      <c r="H19" s="374" t="s">
        <v>37</v>
      </c>
      <c r="I19" s="375">
        <v>419</v>
      </c>
      <c r="J19" s="376" t="str">
        <f t="shared" si="0"/>
        <v>Office</v>
      </c>
      <c r="K19" s="376">
        <v>500</v>
      </c>
      <c r="L19" s="373" t="s">
        <v>486</v>
      </c>
      <c r="M19" s="384">
        <v>44539</v>
      </c>
      <c r="N19" s="377">
        <v>46364</v>
      </c>
      <c r="O19" s="378"/>
      <c r="P19" s="378"/>
      <c r="Q19" s="378"/>
      <c r="R19" s="376">
        <v>23940</v>
      </c>
      <c r="S19" s="376">
        <f t="shared" si="1"/>
        <v>0</v>
      </c>
      <c r="T19" s="378"/>
      <c r="U19" s="375">
        <v>21000</v>
      </c>
      <c r="V19" s="376">
        <f t="shared" si="2"/>
        <v>0</v>
      </c>
      <c r="W19" s="375">
        <v>24100</v>
      </c>
      <c r="X19" s="376">
        <f t="shared" si="3"/>
        <v>0</v>
      </c>
      <c r="Y19" s="379" t="e">
        <f t="shared" si="4"/>
        <v>#VALUE!</v>
      </c>
      <c r="Z19" s="376" t="s">
        <v>69</v>
      </c>
      <c r="AA19" s="380"/>
      <c r="AB19" s="381"/>
      <c r="AC19" s="374" t="s">
        <v>40</v>
      </c>
      <c r="AD19" s="378"/>
      <c r="AE19" s="378"/>
      <c r="AF19" s="378"/>
      <c r="AG19" s="383"/>
      <c r="AH19" s="378"/>
    </row>
    <row r="20" spans="1:34" ht="22.5" customHeight="1">
      <c r="A20" s="378" t="s">
        <v>471</v>
      </c>
      <c r="B20" s="371"/>
      <c r="C20" s="372" t="s">
        <v>44</v>
      </c>
      <c r="D20" s="372" t="s">
        <v>35</v>
      </c>
      <c r="E20" s="371">
        <v>550910</v>
      </c>
      <c r="F20" s="373" t="s">
        <v>43</v>
      </c>
      <c r="G20" s="373" t="s">
        <v>487</v>
      </c>
      <c r="H20" s="374" t="s">
        <v>37</v>
      </c>
      <c r="I20" s="375">
        <v>972</v>
      </c>
      <c r="J20" s="376" t="str">
        <f t="shared" si="0"/>
        <v>Office</v>
      </c>
      <c r="K20" s="376">
        <v>1000</v>
      </c>
      <c r="L20" s="373" t="s">
        <v>488</v>
      </c>
      <c r="M20" s="384">
        <v>45100</v>
      </c>
      <c r="N20" s="377">
        <v>46926</v>
      </c>
      <c r="O20" s="378"/>
      <c r="P20" s="378"/>
      <c r="Q20" s="377">
        <v>46195</v>
      </c>
      <c r="R20" s="375">
        <v>58560</v>
      </c>
      <c r="S20" s="376">
        <f t="shared" si="1"/>
        <v>46195</v>
      </c>
      <c r="T20" s="378"/>
      <c r="U20" s="375">
        <v>49400</v>
      </c>
      <c r="V20" s="376">
        <f t="shared" si="2"/>
        <v>0</v>
      </c>
      <c r="W20" s="375">
        <v>58300</v>
      </c>
      <c r="X20" s="376">
        <f t="shared" si="3"/>
        <v>0</v>
      </c>
      <c r="Y20" s="379" t="e">
        <f t="shared" si="4"/>
        <v>#VALUE!</v>
      </c>
      <c r="Z20" s="376" t="s">
        <v>69</v>
      </c>
      <c r="AA20" s="380"/>
      <c r="AB20" s="381"/>
      <c r="AC20" s="374" t="s">
        <v>40</v>
      </c>
      <c r="AD20" s="373" t="s">
        <v>218</v>
      </c>
      <c r="AE20" s="378"/>
      <c r="AF20" s="378"/>
      <c r="AG20" s="383"/>
      <c r="AH20" s="378"/>
    </row>
    <row r="21" spans="1:34" ht="36">
      <c r="A21" s="378" t="s">
        <v>471</v>
      </c>
      <c r="B21" s="371"/>
      <c r="C21" s="372" t="s">
        <v>44</v>
      </c>
      <c r="D21" s="372" t="s">
        <v>35</v>
      </c>
      <c r="E21" s="371">
        <v>550910</v>
      </c>
      <c r="F21" s="373" t="s">
        <v>43</v>
      </c>
      <c r="G21" s="373" t="s">
        <v>489</v>
      </c>
      <c r="H21" s="374" t="s">
        <v>37</v>
      </c>
      <c r="I21" s="375">
        <v>977</v>
      </c>
      <c r="J21" s="376" t="str">
        <f t="shared" si="0"/>
        <v>Office</v>
      </c>
      <c r="K21" s="376">
        <v>1000</v>
      </c>
      <c r="L21" s="373" t="s">
        <v>486</v>
      </c>
      <c r="M21" s="377">
        <v>45476</v>
      </c>
      <c r="N21" s="377">
        <v>47301</v>
      </c>
      <c r="O21" s="378"/>
      <c r="P21" s="378"/>
      <c r="Q21" s="377">
        <v>46364</v>
      </c>
      <c r="R21" s="375">
        <v>58496</v>
      </c>
      <c r="S21" s="376">
        <f t="shared" si="1"/>
        <v>46364</v>
      </c>
      <c r="T21" s="378"/>
      <c r="U21" s="375">
        <v>47400</v>
      </c>
      <c r="V21" s="376">
        <f t="shared" si="2"/>
        <v>0</v>
      </c>
      <c r="W21" s="375">
        <v>58600</v>
      </c>
      <c r="X21" s="376">
        <f t="shared" si="3"/>
        <v>0</v>
      </c>
      <c r="Y21" s="379" t="e">
        <f t="shared" si="4"/>
        <v>#VALUE!</v>
      </c>
      <c r="Z21" s="376" t="s">
        <v>58</v>
      </c>
      <c r="AA21" s="380"/>
      <c r="AB21" s="381"/>
      <c r="AC21" s="374" t="s">
        <v>40</v>
      </c>
      <c r="AD21" s="373" t="s">
        <v>130</v>
      </c>
      <c r="AE21" s="378"/>
      <c r="AF21" s="385"/>
      <c r="AG21" s="386"/>
      <c r="AH21" s="385"/>
    </row>
    <row r="22" spans="1:34" ht="22.5" customHeight="1">
      <c r="A22" s="378" t="s">
        <v>471</v>
      </c>
      <c r="B22" s="371"/>
      <c r="C22" s="372" t="s">
        <v>44</v>
      </c>
      <c r="D22" s="372" t="s">
        <v>35</v>
      </c>
      <c r="E22" s="371">
        <v>550910</v>
      </c>
      <c r="F22" s="373" t="s">
        <v>43</v>
      </c>
      <c r="G22" s="373" t="s">
        <v>490</v>
      </c>
      <c r="H22" s="374" t="s">
        <v>37</v>
      </c>
      <c r="I22" s="375">
        <v>744</v>
      </c>
      <c r="J22" s="376" t="str">
        <f t="shared" si="0"/>
        <v>Office</v>
      </c>
      <c r="K22" s="376">
        <v>750</v>
      </c>
      <c r="L22" s="373" t="s">
        <v>68</v>
      </c>
      <c r="M22" s="377"/>
      <c r="N22" s="378"/>
      <c r="O22" s="377">
        <v>45182</v>
      </c>
      <c r="P22" s="378"/>
      <c r="Q22" s="378"/>
      <c r="R22" s="375">
        <v>0</v>
      </c>
      <c r="S22" s="376">
        <f t="shared" si="1"/>
        <v>0</v>
      </c>
      <c r="T22" s="378"/>
      <c r="U22" s="375">
        <v>34400</v>
      </c>
      <c r="V22" s="376">
        <f t="shared" si="2"/>
        <v>0</v>
      </c>
      <c r="W22" s="375">
        <v>42800</v>
      </c>
      <c r="X22" s="376">
        <f t="shared" si="3"/>
        <v>0</v>
      </c>
      <c r="Y22" s="379" t="e">
        <f t="shared" si="4"/>
        <v>#VALUE!</v>
      </c>
      <c r="Z22" s="376" t="s">
        <v>69</v>
      </c>
      <c r="AA22" s="380"/>
      <c r="AB22" s="381"/>
      <c r="AC22" s="374" t="s">
        <v>40</v>
      </c>
      <c r="AD22" s="373" t="s">
        <v>482</v>
      </c>
      <c r="AE22" s="388">
        <v>63.5</v>
      </c>
      <c r="AF22" s="373">
        <v>1</v>
      </c>
      <c r="AG22" s="383">
        <v>3</v>
      </c>
      <c r="AH22" s="373" t="s">
        <v>160</v>
      </c>
    </row>
    <row r="23" spans="1:34" ht="22.5" customHeight="1">
      <c r="A23" s="378" t="s">
        <v>471</v>
      </c>
      <c r="B23" s="371"/>
      <c r="C23" s="372" t="s">
        <v>44</v>
      </c>
      <c r="D23" s="372" t="s">
        <v>35</v>
      </c>
      <c r="E23" s="371">
        <v>550910</v>
      </c>
      <c r="F23" s="373" t="s">
        <v>43</v>
      </c>
      <c r="G23" s="373" t="s">
        <v>491</v>
      </c>
      <c r="H23" s="374" t="s">
        <v>492</v>
      </c>
      <c r="I23" s="375">
        <v>185</v>
      </c>
      <c r="J23" s="376" t="str">
        <f t="shared" si="0"/>
        <v>Parking</v>
      </c>
      <c r="K23" s="376">
        <v>200</v>
      </c>
      <c r="L23" s="373" t="s">
        <v>106</v>
      </c>
      <c r="M23" s="377"/>
      <c r="N23" s="378"/>
      <c r="O23" s="377" t="s">
        <v>493</v>
      </c>
      <c r="P23" s="378"/>
      <c r="Q23" s="378"/>
      <c r="R23" s="375">
        <v>0</v>
      </c>
      <c r="S23" s="376">
        <f t="shared" si="1"/>
        <v>0</v>
      </c>
      <c r="T23" s="378"/>
      <c r="U23" s="375">
        <v>3000</v>
      </c>
      <c r="V23" s="376">
        <f t="shared" si="2"/>
        <v>0</v>
      </c>
      <c r="W23" s="375">
        <v>4500</v>
      </c>
      <c r="X23" s="376">
        <f t="shared" si="3"/>
        <v>0</v>
      </c>
      <c r="Y23" s="379" t="e">
        <f t="shared" si="4"/>
        <v>#VALUE!</v>
      </c>
      <c r="Z23" s="376"/>
      <c r="AA23" s="380"/>
      <c r="AB23" s="381"/>
      <c r="AC23" s="374" t="s">
        <v>40</v>
      </c>
      <c r="AD23" s="378"/>
      <c r="AE23" s="378"/>
      <c r="AF23" s="378"/>
      <c r="AG23" s="383"/>
      <c r="AH23" s="378"/>
    </row>
    <row r="24" spans="1:34" ht="14.25" customHeight="1">
      <c r="B24" s="2"/>
      <c r="C24" s="11"/>
      <c r="D24" s="11" t="s">
        <v>35</v>
      </c>
      <c r="E24" s="2"/>
      <c r="R24" s="7"/>
      <c r="S24" s="7"/>
      <c r="T24" s="7"/>
      <c r="U24" s="7"/>
      <c r="V24" s="7"/>
      <c r="W24" s="7"/>
      <c r="X24" s="7"/>
      <c r="Y24" s="7"/>
      <c r="Z24" s="7"/>
      <c r="AA24" s="65"/>
      <c r="AC24" s="14"/>
      <c r="AG24" s="300"/>
    </row>
    <row r="25" spans="1:34" ht="14.25" customHeight="1">
      <c r="B25" s="2"/>
      <c r="C25" s="11"/>
      <c r="D25" s="11" t="s">
        <v>35</v>
      </c>
      <c r="E25" s="2"/>
      <c r="G25" s="92" t="s">
        <v>49</v>
      </c>
      <c r="I25" s="18">
        <f>SUM(H11:H23)</f>
        <v>0</v>
      </c>
      <c r="J25" s="18"/>
      <c r="K25" s="18"/>
      <c r="R25" s="18">
        <f>SUM(Q11:Q23)</f>
        <v>324473</v>
      </c>
      <c r="S25" s="18"/>
      <c r="T25" s="19">
        <f>SUM(R10:R23)</f>
        <v>405696</v>
      </c>
      <c r="U25" s="18">
        <f>SUM(T11:T23)</f>
        <v>0</v>
      </c>
      <c r="V25" s="18"/>
      <c r="W25" s="18">
        <f>SUM(V11:V23)</f>
        <v>0</v>
      </c>
      <c r="X25" s="18"/>
      <c r="Y25" s="18"/>
      <c r="Z25" s="18"/>
      <c r="AA25" s="64"/>
      <c r="AB25" s="18">
        <v>14850000</v>
      </c>
      <c r="AC25" s="14"/>
      <c r="AF25" s="29"/>
      <c r="AG25" s="301"/>
      <c r="AH25" s="29"/>
    </row>
    <row r="26" spans="1:34" ht="14.25" customHeight="1">
      <c r="B26" s="2"/>
      <c r="C26" s="11"/>
      <c r="D26" s="11" t="s">
        <v>35</v>
      </c>
      <c r="E26" s="2"/>
      <c r="G26" s="92"/>
      <c r="I26" s="18"/>
      <c r="J26" s="18"/>
      <c r="K26" s="18"/>
      <c r="R26" s="18"/>
      <c r="S26" s="18"/>
      <c r="T26" s="19"/>
      <c r="U26" s="18"/>
      <c r="V26" s="18"/>
      <c r="W26" s="18"/>
      <c r="X26" s="18"/>
      <c r="Y26" s="18"/>
      <c r="Z26" s="18"/>
      <c r="AA26" s="64"/>
      <c r="AB26" s="54"/>
      <c r="AC26" s="14"/>
      <c r="AG26" s="300"/>
    </row>
    <row r="27" spans="1:34" ht="14.25" customHeight="1">
      <c r="A27" t="s">
        <v>928</v>
      </c>
      <c r="B27" s="2"/>
      <c r="C27" s="11"/>
      <c r="D27" s="11" t="s">
        <v>35</v>
      </c>
      <c r="E27" s="2"/>
      <c r="H27" s="6" t="s">
        <v>50</v>
      </c>
      <c r="J27" s="10"/>
      <c r="K27" s="10"/>
      <c r="L27" s="32"/>
      <c r="V27" s="10"/>
      <c r="X27" s="10"/>
      <c r="Y27" s="10"/>
      <c r="Z27" s="10"/>
      <c r="AA27" s="61"/>
      <c r="AC27" s="14"/>
      <c r="AG27" s="300"/>
    </row>
    <row r="28" spans="1:34" ht="14.25" customHeight="1">
      <c r="B28" s="2"/>
      <c r="C28" s="11"/>
      <c r="D28" s="11" t="s">
        <v>35</v>
      </c>
      <c r="E28" s="2"/>
      <c r="R28" s="7"/>
      <c r="S28" s="7"/>
      <c r="T28" s="7"/>
      <c r="U28" s="7"/>
      <c r="V28" s="7"/>
      <c r="W28" s="7"/>
      <c r="X28" s="7"/>
      <c r="Y28" s="7"/>
      <c r="Z28" s="7"/>
      <c r="AA28" s="65"/>
      <c r="AC28" s="14"/>
      <c r="AG28" s="300"/>
    </row>
    <row r="29" spans="1:34" ht="22.5" customHeight="1">
      <c r="A29" s="370" t="s">
        <v>471</v>
      </c>
      <c r="B29" s="371"/>
      <c r="C29" s="372" t="s">
        <v>44</v>
      </c>
      <c r="D29" s="372" t="s">
        <v>35</v>
      </c>
      <c r="E29" s="371">
        <v>550920</v>
      </c>
      <c r="F29" s="373" t="s">
        <v>50</v>
      </c>
      <c r="G29" s="373" t="s">
        <v>51</v>
      </c>
      <c r="H29" s="374" t="s">
        <v>52</v>
      </c>
      <c r="I29" s="375">
        <v>2940</v>
      </c>
      <c r="J29" s="376" t="str">
        <f>H29</f>
        <v>Showroom/ Offices</v>
      </c>
      <c r="K29" s="376">
        <v>3000</v>
      </c>
      <c r="L29" s="373" t="s">
        <v>53</v>
      </c>
      <c r="M29" s="377">
        <v>45649</v>
      </c>
      <c r="N29" s="377">
        <v>46743</v>
      </c>
      <c r="O29" s="378"/>
      <c r="P29" s="378"/>
      <c r="Q29" s="377">
        <v>46013</v>
      </c>
      <c r="R29" s="375">
        <v>132000</v>
      </c>
      <c r="S29" s="376">
        <f>Q29</f>
        <v>46013</v>
      </c>
      <c r="T29" s="378"/>
      <c r="U29" s="375">
        <v>114600</v>
      </c>
      <c r="V29" s="376">
        <f>T29</f>
        <v>0</v>
      </c>
      <c r="W29" s="375">
        <v>124500</v>
      </c>
      <c r="X29" s="376">
        <f>V29</f>
        <v>0</v>
      </c>
      <c r="Y29" s="379" t="e">
        <f>T29/H29</f>
        <v>#VALUE!</v>
      </c>
      <c r="Z29" s="376" t="s">
        <v>39</v>
      </c>
      <c r="AA29" s="380"/>
      <c r="AB29" s="381"/>
      <c r="AC29" s="374" t="s">
        <v>40</v>
      </c>
      <c r="AD29" s="373" t="s">
        <v>54</v>
      </c>
      <c r="AE29" s="378"/>
      <c r="AF29" s="378"/>
      <c r="AG29" s="383"/>
      <c r="AH29" s="378"/>
    </row>
    <row r="30" spans="1:34" ht="60">
      <c r="A30" s="378" t="s">
        <v>471</v>
      </c>
      <c r="B30" s="371"/>
      <c r="C30" s="372" t="s">
        <v>44</v>
      </c>
      <c r="D30" s="372" t="s">
        <v>35</v>
      </c>
      <c r="E30" s="371">
        <v>550920</v>
      </c>
      <c r="F30" s="373" t="s">
        <v>50</v>
      </c>
      <c r="G30" s="373" t="s">
        <v>494</v>
      </c>
      <c r="H30" s="374" t="s">
        <v>124</v>
      </c>
      <c r="I30" s="375">
        <v>1398</v>
      </c>
      <c r="J30" s="376" t="str">
        <f>H30</f>
        <v>Offices</v>
      </c>
      <c r="K30" s="376">
        <v>1000</v>
      </c>
      <c r="L30" s="373" t="s">
        <v>495</v>
      </c>
      <c r="M30" s="377">
        <v>45470</v>
      </c>
      <c r="N30" s="377">
        <v>47295</v>
      </c>
      <c r="O30" s="378"/>
      <c r="P30" s="378"/>
      <c r="Q30" s="377">
        <v>46564</v>
      </c>
      <c r="R30" s="375">
        <v>89833</v>
      </c>
      <c r="S30" s="376">
        <f>Q30</f>
        <v>46564</v>
      </c>
      <c r="T30" s="378"/>
      <c r="U30" s="375">
        <v>76900</v>
      </c>
      <c r="V30" s="376">
        <f>T30</f>
        <v>0</v>
      </c>
      <c r="W30" s="375">
        <v>97900</v>
      </c>
      <c r="X30" s="376">
        <f>V30</f>
        <v>0</v>
      </c>
      <c r="Y30" s="379" t="e">
        <f>T30/H30</f>
        <v>#VALUE!</v>
      </c>
      <c r="Z30" s="376" t="s">
        <v>69</v>
      </c>
      <c r="AA30" s="380"/>
      <c r="AB30" s="381"/>
      <c r="AC30" s="374" t="s">
        <v>40</v>
      </c>
      <c r="AD30" s="373" t="s">
        <v>496</v>
      </c>
      <c r="AE30" s="378"/>
      <c r="AF30" s="378"/>
      <c r="AG30" s="383"/>
      <c r="AH30" s="378"/>
    </row>
    <row r="31" spans="1:34">
      <c r="A31" s="378" t="s">
        <v>471</v>
      </c>
      <c r="B31" s="371"/>
      <c r="C31" s="372" t="s">
        <v>44</v>
      </c>
      <c r="D31" s="372" t="s">
        <v>35</v>
      </c>
      <c r="E31" s="371">
        <v>550920</v>
      </c>
      <c r="F31" s="373" t="s">
        <v>50</v>
      </c>
      <c r="G31" s="373" t="s">
        <v>497</v>
      </c>
      <c r="H31" s="374" t="s">
        <v>124</v>
      </c>
      <c r="I31" s="375">
        <v>1110</v>
      </c>
      <c r="J31" s="376" t="str">
        <f>H31</f>
        <v>Offices</v>
      </c>
      <c r="K31" s="376">
        <v>1000</v>
      </c>
      <c r="L31" s="373" t="s">
        <v>68</v>
      </c>
      <c r="M31" s="377"/>
      <c r="N31" s="378"/>
      <c r="O31" s="377">
        <v>43273</v>
      </c>
      <c r="P31" s="378"/>
      <c r="Q31" s="378"/>
      <c r="R31" s="375">
        <v>0</v>
      </c>
      <c r="S31" s="376">
        <f>Q31</f>
        <v>0</v>
      </c>
      <c r="T31" s="378"/>
      <c r="U31" s="375">
        <v>61100</v>
      </c>
      <c r="V31" s="376">
        <f>T31</f>
        <v>0</v>
      </c>
      <c r="W31" s="375">
        <v>69400</v>
      </c>
      <c r="X31" s="376">
        <f>V31</f>
        <v>0</v>
      </c>
      <c r="Y31" s="379" t="e">
        <f>T31/H31</f>
        <v>#VALUE!</v>
      </c>
      <c r="Z31" s="376" t="s">
        <v>39</v>
      </c>
      <c r="AA31" s="380"/>
      <c r="AB31" s="381"/>
      <c r="AC31" s="374" t="s">
        <v>40</v>
      </c>
      <c r="AD31" s="373" t="s">
        <v>482</v>
      </c>
      <c r="AE31" s="388">
        <v>63.5</v>
      </c>
      <c r="AF31" s="378"/>
      <c r="AG31" s="383">
        <v>1</v>
      </c>
      <c r="AH31" s="378"/>
    </row>
    <row r="32" spans="1:34" ht="24">
      <c r="A32" s="378" t="s">
        <v>471</v>
      </c>
      <c r="B32" s="371"/>
      <c r="C32" s="372" t="s">
        <v>44</v>
      </c>
      <c r="D32" s="372" t="s">
        <v>35</v>
      </c>
      <c r="E32" s="371">
        <v>550920</v>
      </c>
      <c r="F32" s="373" t="s">
        <v>50</v>
      </c>
      <c r="G32" s="373" t="s">
        <v>498</v>
      </c>
      <c r="H32" s="374" t="s">
        <v>124</v>
      </c>
      <c r="I32" s="375">
        <v>481</v>
      </c>
      <c r="J32" s="376" t="str">
        <f>H32</f>
        <v>Offices</v>
      </c>
      <c r="K32" s="376">
        <v>500</v>
      </c>
      <c r="L32" s="373" t="s">
        <v>499</v>
      </c>
      <c r="M32" s="377">
        <v>45541</v>
      </c>
      <c r="N32" s="377">
        <v>47366</v>
      </c>
      <c r="O32" s="378"/>
      <c r="P32" s="378"/>
      <c r="Q32" s="377">
        <v>46635</v>
      </c>
      <c r="R32" s="375">
        <v>26000</v>
      </c>
      <c r="S32" s="376">
        <f>Q32</f>
        <v>46635</v>
      </c>
      <c r="T32" s="378"/>
      <c r="U32" s="375">
        <v>25300</v>
      </c>
      <c r="V32" s="376">
        <f>T32</f>
        <v>0</v>
      </c>
      <c r="W32" s="375">
        <v>25300</v>
      </c>
      <c r="X32" s="376">
        <f>V32</f>
        <v>0</v>
      </c>
      <c r="Y32" s="379" t="e">
        <f>T32/H32</f>
        <v>#VALUE!</v>
      </c>
      <c r="Z32" s="376" t="s">
        <v>69</v>
      </c>
      <c r="AA32" s="380"/>
      <c r="AB32" s="381"/>
      <c r="AC32" s="374" t="s">
        <v>40</v>
      </c>
      <c r="AD32" s="373" t="s">
        <v>130</v>
      </c>
      <c r="AE32" s="378"/>
      <c r="AF32" s="385"/>
      <c r="AG32" s="386"/>
      <c r="AH32" s="385"/>
    </row>
    <row r="33" spans="1:34" ht="14.25" customHeight="1">
      <c r="B33" s="2"/>
      <c r="C33" s="11"/>
      <c r="D33" s="11" t="s">
        <v>35</v>
      </c>
      <c r="E33" s="2"/>
      <c r="R33" s="7"/>
      <c r="S33" s="7"/>
      <c r="T33" s="7"/>
      <c r="U33" s="7"/>
      <c r="V33" s="7"/>
      <c r="W33" s="7"/>
      <c r="X33" s="7"/>
      <c r="Y33" s="299"/>
      <c r="Z33" s="7"/>
      <c r="AA33" s="65"/>
      <c r="AC33" s="14"/>
      <c r="AG33" s="300"/>
    </row>
    <row r="34" spans="1:34" ht="14.25" customHeight="1">
      <c r="B34" s="2"/>
      <c r="C34" s="11"/>
      <c r="D34" s="11" t="s">
        <v>35</v>
      </c>
      <c r="E34" s="2"/>
      <c r="G34" s="92" t="s">
        <v>50</v>
      </c>
      <c r="I34" s="18">
        <f>SUM(H29:H32)</f>
        <v>0</v>
      </c>
      <c r="J34" s="18"/>
      <c r="K34" s="18"/>
      <c r="R34" s="18">
        <f>SUM(Q29:Q32)</f>
        <v>139212</v>
      </c>
      <c r="S34" s="18"/>
      <c r="T34" s="19">
        <f>SUM(R29:R32)</f>
        <v>247833</v>
      </c>
      <c r="U34" s="18">
        <f>SUM(T29:T32)</f>
        <v>0</v>
      </c>
      <c r="V34" s="18"/>
      <c r="W34" s="18">
        <f>SUM(V29:V32)</f>
        <v>0</v>
      </c>
      <c r="X34" s="18"/>
      <c r="Y34" s="18"/>
      <c r="Z34" s="18"/>
      <c r="AA34" s="64"/>
      <c r="AB34" s="18">
        <v>4725000</v>
      </c>
      <c r="AC34" s="14"/>
      <c r="AG34" s="300"/>
    </row>
    <row r="35" spans="1:34" ht="14.25" customHeight="1">
      <c r="B35" s="2"/>
      <c r="C35" s="11"/>
      <c r="D35" s="11" t="s">
        <v>35</v>
      </c>
      <c r="E35" s="2"/>
      <c r="G35" s="92"/>
      <c r="I35" s="18"/>
      <c r="J35" s="18"/>
      <c r="K35" s="18"/>
      <c r="R35" s="18"/>
      <c r="S35" s="18"/>
      <c r="T35" s="19"/>
      <c r="U35" s="18"/>
      <c r="V35" s="18"/>
      <c r="W35" s="18"/>
      <c r="X35" s="18"/>
      <c r="Y35" s="18"/>
      <c r="Z35" s="18"/>
      <c r="AA35" s="64"/>
      <c r="AB35" s="54"/>
      <c r="AC35" s="14"/>
      <c r="AG35" s="300"/>
    </row>
    <row r="36" spans="1:34" ht="14.25" customHeight="1">
      <c r="A36" t="s">
        <v>928</v>
      </c>
      <c r="B36" s="2"/>
      <c r="C36" s="11"/>
      <c r="D36" s="11" t="s">
        <v>35</v>
      </c>
      <c r="E36" s="2"/>
      <c r="H36" s="6" t="s">
        <v>55</v>
      </c>
      <c r="J36" s="10"/>
      <c r="K36" s="10"/>
      <c r="L36" s="32"/>
      <c r="V36" s="10"/>
      <c r="X36" s="10"/>
      <c r="Y36" s="10"/>
      <c r="Z36" s="10"/>
      <c r="AA36" s="61"/>
      <c r="AC36" s="14"/>
      <c r="AG36" s="300"/>
    </row>
    <row r="37" spans="1:34" ht="14.25" customHeight="1">
      <c r="B37" s="2"/>
      <c r="C37" s="11"/>
      <c r="D37" s="11" t="s">
        <v>35</v>
      </c>
      <c r="E37" s="2"/>
      <c r="H37" s="6"/>
      <c r="J37" s="10"/>
      <c r="K37" s="10"/>
      <c r="L37" s="32"/>
      <c r="V37" s="10"/>
      <c r="X37" s="10"/>
      <c r="Y37" s="10"/>
      <c r="Z37" s="10"/>
      <c r="AA37" s="61"/>
      <c r="AC37" s="14"/>
      <c r="AG37" s="300"/>
    </row>
    <row r="38" spans="1:34" ht="24">
      <c r="A38" s="370" t="s">
        <v>471</v>
      </c>
      <c r="B38" s="371"/>
      <c r="C38" s="372" t="s">
        <v>44</v>
      </c>
      <c r="D38" s="372" t="s">
        <v>35</v>
      </c>
      <c r="E38" s="371">
        <v>550930</v>
      </c>
      <c r="F38" s="373" t="s">
        <v>55</v>
      </c>
      <c r="G38" s="373" t="s">
        <v>51</v>
      </c>
      <c r="H38" s="374" t="s">
        <v>56</v>
      </c>
      <c r="I38" s="375">
        <v>3668</v>
      </c>
      <c r="J38" s="376" t="str">
        <f>H38</f>
        <v>Showroom / Offices</v>
      </c>
      <c r="K38" s="376">
        <v>3500</v>
      </c>
      <c r="L38" s="373" t="s">
        <v>57</v>
      </c>
      <c r="M38" s="377">
        <v>44757</v>
      </c>
      <c r="N38" s="377">
        <v>48409</v>
      </c>
      <c r="O38" s="378"/>
      <c r="P38" s="377">
        <v>46583</v>
      </c>
      <c r="Q38" s="378"/>
      <c r="R38" s="375">
        <v>170000</v>
      </c>
      <c r="S38" s="376">
        <f>Q38</f>
        <v>0</v>
      </c>
      <c r="T38" s="378"/>
      <c r="U38" s="375">
        <v>170000</v>
      </c>
      <c r="V38" s="376">
        <f>T38</f>
        <v>0</v>
      </c>
      <c r="W38" s="375">
        <v>170000</v>
      </c>
      <c r="X38" s="376">
        <f>V38</f>
        <v>0</v>
      </c>
      <c r="Y38" s="379" t="e">
        <f>T38/H38</f>
        <v>#VALUE!</v>
      </c>
      <c r="Z38" s="376" t="s">
        <v>58</v>
      </c>
      <c r="AA38" s="380"/>
      <c r="AB38" s="381"/>
      <c r="AC38" s="374" t="s">
        <v>40</v>
      </c>
      <c r="AD38" s="378"/>
      <c r="AE38" s="378"/>
      <c r="AF38" s="378"/>
      <c r="AG38" s="383"/>
      <c r="AH38" s="378"/>
    </row>
    <row r="39" spans="1:34" ht="36">
      <c r="A39" s="378" t="s">
        <v>471</v>
      </c>
      <c r="B39" s="371"/>
      <c r="C39" s="372" t="s">
        <v>44</v>
      </c>
      <c r="D39" s="372" t="s">
        <v>35</v>
      </c>
      <c r="E39" s="371">
        <v>550930</v>
      </c>
      <c r="F39" s="373" t="s">
        <v>55</v>
      </c>
      <c r="G39" s="373" t="s">
        <v>494</v>
      </c>
      <c r="H39" s="374" t="s">
        <v>124</v>
      </c>
      <c r="I39" s="375">
        <v>1418</v>
      </c>
      <c r="J39" s="376" t="str">
        <f>H39</f>
        <v>Offices</v>
      </c>
      <c r="K39" s="376">
        <v>1500</v>
      </c>
      <c r="L39" s="373" t="s">
        <v>500</v>
      </c>
      <c r="M39" s="377">
        <v>45231</v>
      </c>
      <c r="N39" s="377">
        <v>46326</v>
      </c>
      <c r="O39" s="378"/>
      <c r="P39" s="378"/>
      <c r="Q39" s="378"/>
      <c r="R39" s="375">
        <v>174500</v>
      </c>
      <c r="S39" s="376">
        <f>Q39</f>
        <v>0</v>
      </c>
      <c r="T39" s="378"/>
      <c r="U39" s="375">
        <v>78000</v>
      </c>
      <c r="V39" s="376">
        <f>T39</f>
        <v>0</v>
      </c>
      <c r="W39" s="375">
        <v>99300</v>
      </c>
      <c r="X39" s="376">
        <f>V39</f>
        <v>0</v>
      </c>
      <c r="Y39" s="379" t="e">
        <f>T39/H39</f>
        <v>#VALUE!</v>
      </c>
      <c r="Z39" s="376" t="s">
        <v>58</v>
      </c>
      <c r="AA39" s="380"/>
      <c r="AB39" s="381"/>
      <c r="AC39" s="374" t="s">
        <v>40</v>
      </c>
      <c r="AD39" s="373" t="s">
        <v>501</v>
      </c>
      <c r="AE39" s="378"/>
      <c r="AF39" s="378"/>
      <c r="AG39" s="383"/>
      <c r="AH39" s="378"/>
    </row>
    <row r="40" spans="1:34" ht="24">
      <c r="A40" s="378" t="s">
        <v>471</v>
      </c>
      <c r="B40" s="371"/>
      <c r="C40" s="372" t="s">
        <v>44</v>
      </c>
      <c r="D40" s="372" t="s">
        <v>35</v>
      </c>
      <c r="E40" s="371">
        <v>550930</v>
      </c>
      <c r="F40" s="373" t="s">
        <v>55</v>
      </c>
      <c r="G40" s="373" t="s">
        <v>497</v>
      </c>
      <c r="H40" s="374" t="s">
        <v>124</v>
      </c>
      <c r="I40" s="375">
        <v>716</v>
      </c>
      <c r="J40" s="376" t="str">
        <f>H40</f>
        <v>Offices</v>
      </c>
      <c r="K40" s="376">
        <v>750</v>
      </c>
      <c r="L40" s="373" t="s">
        <v>502</v>
      </c>
      <c r="M40" s="377">
        <v>44384</v>
      </c>
      <c r="N40" s="377">
        <v>46209</v>
      </c>
      <c r="O40" s="378"/>
      <c r="P40" s="378"/>
      <c r="Q40" s="378"/>
      <c r="R40" s="375">
        <v>41000</v>
      </c>
      <c r="S40" s="376">
        <f>Q40</f>
        <v>0</v>
      </c>
      <c r="T40" s="378"/>
      <c r="U40" s="375">
        <v>39400</v>
      </c>
      <c r="V40" s="376">
        <f>T40</f>
        <v>0</v>
      </c>
      <c r="W40" s="375">
        <v>41200</v>
      </c>
      <c r="X40" s="376">
        <f>V40</f>
        <v>0</v>
      </c>
      <c r="Y40" s="379" t="e">
        <f>T40/H40</f>
        <v>#VALUE!</v>
      </c>
      <c r="Z40" s="376" t="s">
        <v>58</v>
      </c>
      <c r="AA40" s="380"/>
      <c r="AB40" s="381"/>
      <c r="AC40" s="374" t="s">
        <v>40</v>
      </c>
      <c r="AD40" s="378"/>
      <c r="AE40" s="378"/>
      <c r="AF40" s="378"/>
      <c r="AG40" s="383"/>
      <c r="AH40" s="378"/>
    </row>
    <row r="41" spans="1:34" ht="60">
      <c r="A41" s="378" t="s">
        <v>471</v>
      </c>
      <c r="B41" s="371"/>
      <c r="C41" s="372" t="s">
        <v>44</v>
      </c>
      <c r="D41" s="372" t="s">
        <v>35</v>
      </c>
      <c r="E41" s="371">
        <v>550930</v>
      </c>
      <c r="F41" s="373" t="s">
        <v>55</v>
      </c>
      <c r="G41" s="373" t="s">
        <v>498</v>
      </c>
      <c r="H41" s="374" t="s">
        <v>124</v>
      </c>
      <c r="I41" s="375">
        <v>665</v>
      </c>
      <c r="J41" s="376" t="str">
        <f>H41</f>
        <v>Offices</v>
      </c>
      <c r="K41" s="376">
        <v>750</v>
      </c>
      <c r="L41" s="373" t="s">
        <v>503</v>
      </c>
      <c r="M41" s="377">
        <v>45617</v>
      </c>
      <c r="N41" s="377">
        <v>47442</v>
      </c>
      <c r="O41" s="378"/>
      <c r="P41" s="378"/>
      <c r="Q41" s="377">
        <v>46527</v>
      </c>
      <c r="R41" s="375">
        <v>41875</v>
      </c>
      <c r="S41" s="376">
        <f>Q41</f>
        <v>46527</v>
      </c>
      <c r="T41" s="378"/>
      <c r="U41" s="375">
        <v>36600</v>
      </c>
      <c r="V41" s="376">
        <f>T41</f>
        <v>0</v>
      </c>
      <c r="W41" s="375">
        <v>38200</v>
      </c>
      <c r="X41" s="376">
        <f>V41</f>
        <v>0</v>
      </c>
      <c r="Y41" s="379" t="e">
        <f>T41/H41</f>
        <v>#VALUE!</v>
      </c>
      <c r="Z41" s="376" t="s">
        <v>58</v>
      </c>
      <c r="AA41" s="380"/>
      <c r="AB41" s="381"/>
      <c r="AC41" s="374" t="s">
        <v>40</v>
      </c>
      <c r="AD41" s="373" t="s">
        <v>504</v>
      </c>
      <c r="AE41" s="382"/>
      <c r="AF41" s="378"/>
      <c r="AG41" s="383"/>
      <c r="AH41" s="378"/>
    </row>
    <row r="42" spans="1:34" ht="14.25" customHeight="1">
      <c r="B42" s="2"/>
      <c r="C42" s="11"/>
      <c r="D42" s="11" t="s">
        <v>35</v>
      </c>
      <c r="E42" s="2"/>
      <c r="I42" s="2"/>
      <c r="R42" s="7"/>
      <c r="S42" s="7"/>
      <c r="T42" s="7"/>
      <c r="U42" s="7"/>
      <c r="V42" s="7"/>
      <c r="W42" s="7"/>
      <c r="X42" s="7"/>
      <c r="Y42" s="7"/>
      <c r="Z42" s="7"/>
      <c r="AA42" s="65"/>
      <c r="AC42" s="14"/>
      <c r="AG42" s="300"/>
    </row>
    <row r="43" spans="1:34" ht="14.25" customHeight="1">
      <c r="B43" s="2"/>
      <c r="C43" s="11"/>
      <c r="D43" s="11" t="s">
        <v>35</v>
      </c>
      <c r="E43" s="2"/>
      <c r="G43" s="92" t="s">
        <v>505</v>
      </c>
      <c r="I43" s="18">
        <f>SUM(H38:H41)</f>
        <v>0</v>
      </c>
      <c r="J43" s="18"/>
      <c r="K43" s="18"/>
      <c r="R43" s="18">
        <f>SUM(Q36:Q41)</f>
        <v>46527</v>
      </c>
      <c r="S43" s="18"/>
      <c r="T43" s="19">
        <f>SUM(R38:R41)</f>
        <v>427375</v>
      </c>
      <c r="U43" s="18">
        <f>SUM(T38:T41)</f>
        <v>0</v>
      </c>
      <c r="V43" s="18"/>
      <c r="W43" s="18">
        <f>SUM(V38:V41)</f>
        <v>0</v>
      </c>
      <c r="X43" s="18"/>
      <c r="Y43" s="18"/>
      <c r="Z43" s="18"/>
      <c r="AA43" s="64"/>
      <c r="AB43" s="18">
        <v>5675000</v>
      </c>
      <c r="AC43" s="14"/>
      <c r="AG43" s="300"/>
    </row>
    <row r="44" spans="1:34" ht="14.25" customHeight="1">
      <c r="B44" s="2"/>
      <c r="C44" s="11"/>
      <c r="D44" s="11" t="s">
        <v>35</v>
      </c>
      <c r="E44" s="2"/>
      <c r="I44" s="18"/>
      <c r="J44" s="18"/>
      <c r="K44" s="18"/>
      <c r="R44" s="18"/>
      <c r="S44" s="18"/>
      <c r="T44" s="18"/>
      <c r="U44" s="18"/>
      <c r="V44" s="18"/>
      <c r="W44" s="18"/>
      <c r="X44" s="18"/>
      <c r="Y44" s="18"/>
      <c r="Z44" s="18"/>
      <c r="AA44" s="64"/>
      <c r="AC44" s="14"/>
      <c r="AG44" s="300"/>
    </row>
    <row r="45" spans="1:34" ht="14.25" customHeight="1">
      <c r="A45" t="s">
        <v>928</v>
      </c>
      <c r="B45" s="2"/>
      <c r="C45" s="11"/>
      <c r="D45" s="11" t="s">
        <v>35</v>
      </c>
      <c r="E45" s="2"/>
      <c r="H45" s="12" t="s">
        <v>59</v>
      </c>
      <c r="J45" s="10"/>
      <c r="K45" s="10"/>
      <c r="U45" s="10"/>
      <c r="V45" s="10"/>
      <c r="W45" s="10"/>
      <c r="X45" s="10"/>
      <c r="Y45" s="10"/>
      <c r="Z45" s="10"/>
      <c r="AA45" s="61"/>
      <c r="AC45" s="55"/>
      <c r="AG45" s="300"/>
    </row>
    <row r="46" spans="1:34" ht="14.25" customHeight="1">
      <c r="B46" s="2"/>
      <c r="C46" s="11"/>
      <c r="D46" s="11" t="s">
        <v>35</v>
      </c>
      <c r="E46" s="2"/>
      <c r="H46" s="12"/>
      <c r="J46" s="10"/>
      <c r="K46" s="10"/>
      <c r="U46" s="10"/>
      <c r="V46" s="10"/>
      <c r="W46" s="10"/>
      <c r="X46" s="10"/>
      <c r="Y46" s="10"/>
      <c r="Z46" s="10"/>
      <c r="AA46" s="61"/>
      <c r="AC46" s="55"/>
      <c r="AG46" s="300"/>
    </row>
    <row r="47" spans="1:34" ht="24" customHeight="1">
      <c r="A47" t="s">
        <v>471</v>
      </c>
      <c r="B47" s="2"/>
      <c r="C47" s="11" t="s">
        <v>60</v>
      </c>
      <c r="D47" s="11" t="s">
        <v>35</v>
      </c>
      <c r="E47" s="2">
        <v>550560</v>
      </c>
      <c r="F47" s="37" t="s">
        <v>59</v>
      </c>
      <c r="G47" s="37" t="s">
        <v>61</v>
      </c>
      <c r="H47" s="14" t="s">
        <v>37</v>
      </c>
      <c r="I47" s="18">
        <v>12578</v>
      </c>
      <c r="J47" s="10" t="str">
        <f>H47</f>
        <v>Office</v>
      </c>
      <c r="K47" s="10">
        <v>12500</v>
      </c>
      <c r="L47" s="4" t="s">
        <v>62</v>
      </c>
      <c r="M47" s="8">
        <v>44771</v>
      </c>
      <c r="N47" s="9">
        <v>50249</v>
      </c>
      <c r="P47" s="9">
        <v>46597</v>
      </c>
      <c r="Q47" s="9">
        <v>48423</v>
      </c>
      <c r="R47" s="19">
        <v>633334</v>
      </c>
      <c r="S47" s="10">
        <f>Q47</f>
        <v>48423</v>
      </c>
      <c r="T47" s="19">
        <f>R47</f>
        <v>633334</v>
      </c>
      <c r="U47" s="19">
        <v>950000</v>
      </c>
      <c r="V47" s="10">
        <f>T47</f>
        <v>633334</v>
      </c>
      <c r="W47" s="19">
        <v>950000</v>
      </c>
      <c r="X47" s="10">
        <f>V47</f>
        <v>633334</v>
      </c>
      <c r="Y47" s="299" t="e">
        <f>T47/H47</f>
        <v>#VALUE!</v>
      </c>
      <c r="Z47" s="10" t="s">
        <v>39</v>
      </c>
      <c r="AA47" s="61"/>
      <c r="AB47" s="18">
        <v>17050000</v>
      </c>
      <c r="AC47" s="28" t="s">
        <v>40</v>
      </c>
      <c r="AD47" s="37" t="s">
        <v>63</v>
      </c>
      <c r="AE47" s="325"/>
      <c r="AF47" s="37"/>
      <c r="AG47" s="302"/>
      <c r="AH47" s="37"/>
    </row>
    <row r="48" spans="1:34" ht="14.25" customHeight="1">
      <c r="B48" s="2"/>
      <c r="C48" s="11"/>
      <c r="D48" s="11" t="s">
        <v>35</v>
      </c>
      <c r="E48" s="2"/>
      <c r="G48" s="93" t="s">
        <v>64</v>
      </c>
      <c r="I48" s="33">
        <f>SUM(H47:H47)</f>
        <v>0</v>
      </c>
      <c r="J48" s="18"/>
      <c r="K48" s="18"/>
      <c r="L48" s="34"/>
      <c r="M48" s="35"/>
      <c r="N48" s="36"/>
      <c r="O48" s="36"/>
      <c r="P48" s="36"/>
      <c r="R48" s="33">
        <f>SUM(Q47:Q47)</f>
        <v>48423</v>
      </c>
      <c r="S48" s="33"/>
      <c r="T48" s="33"/>
      <c r="U48" s="33">
        <f>SUM(T47:T47)</f>
        <v>633334</v>
      </c>
      <c r="V48" s="33"/>
      <c r="W48" s="33">
        <f>SUM(V47:V47)</f>
        <v>633334</v>
      </c>
      <c r="X48" s="33"/>
      <c r="Y48" s="33"/>
      <c r="Z48" s="33"/>
      <c r="AA48" s="63"/>
      <c r="AB48" s="260"/>
      <c r="AC48" s="109"/>
      <c r="AG48" s="300"/>
    </row>
    <row r="49" spans="1:34" ht="14.25" customHeight="1">
      <c r="A49" t="s">
        <v>928</v>
      </c>
      <c r="B49" s="2"/>
      <c r="C49" s="11"/>
      <c r="D49" s="11" t="s">
        <v>35</v>
      </c>
      <c r="E49" s="2"/>
      <c r="H49" s="6" t="s">
        <v>65</v>
      </c>
      <c r="J49" s="10"/>
      <c r="K49" s="10"/>
      <c r="L49" s="32"/>
      <c r="Q49" s="36"/>
      <c r="V49" s="10"/>
      <c r="X49" s="10"/>
      <c r="Y49" s="10"/>
      <c r="Z49" s="10"/>
      <c r="AA49" s="61"/>
      <c r="AC49" s="55"/>
      <c r="AG49" s="300"/>
    </row>
    <row r="50" spans="1:34" ht="14.25" customHeight="1">
      <c r="B50" s="2"/>
      <c r="C50" s="11"/>
      <c r="D50" s="11" t="s">
        <v>35</v>
      </c>
      <c r="E50" s="2"/>
      <c r="J50" s="10"/>
      <c r="K50" s="10"/>
      <c r="U50" s="10"/>
      <c r="V50" s="10"/>
      <c r="W50" s="10"/>
      <c r="X50" s="10"/>
      <c r="Y50" s="10"/>
      <c r="Z50" s="10"/>
      <c r="AA50" s="61"/>
      <c r="AC50" s="55"/>
      <c r="AG50" s="300"/>
    </row>
    <row r="51" spans="1:34" ht="48">
      <c r="A51" s="370" t="s">
        <v>471</v>
      </c>
      <c r="B51" s="371"/>
      <c r="C51" s="372" t="s">
        <v>44</v>
      </c>
      <c r="D51" s="372" t="s">
        <v>35</v>
      </c>
      <c r="E51" s="371">
        <v>550070</v>
      </c>
      <c r="F51" s="373" t="s">
        <v>65</v>
      </c>
      <c r="G51" s="373" t="s">
        <v>66</v>
      </c>
      <c r="H51" s="374" t="s">
        <v>67</v>
      </c>
      <c r="I51" s="375">
        <v>2235</v>
      </c>
      <c r="J51" s="376" t="str">
        <f t="shared" ref="J51:J56" si="5">H51</f>
        <v>Retail/Café</v>
      </c>
      <c r="K51" s="376">
        <v>2000</v>
      </c>
      <c r="L51" s="385" t="s">
        <v>68</v>
      </c>
      <c r="M51" s="389"/>
      <c r="N51" s="387"/>
      <c r="O51" s="387">
        <v>45754</v>
      </c>
      <c r="P51" s="387"/>
      <c r="Q51" s="387"/>
      <c r="R51" s="390">
        <v>0</v>
      </c>
      <c r="S51" s="376">
        <f t="shared" ref="S51:S56" si="6">Q51</f>
        <v>0</v>
      </c>
      <c r="T51" s="378"/>
      <c r="U51" s="376">
        <v>143000</v>
      </c>
      <c r="V51" s="376">
        <f t="shared" ref="V51:V56" si="7">T51</f>
        <v>0</v>
      </c>
      <c r="W51" s="376">
        <v>145000</v>
      </c>
      <c r="X51" s="376">
        <f t="shared" ref="X51:X56" si="8">V51</f>
        <v>0</v>
      </c>
      <c r="Y51" s="379" t="e">
        <f>T51/H51</f>
        <v>#VALUE!</v>
      </c>
      <c r="Z51" s="376" t="s">
        <v>69</v>
      </c>
      <c r="AA51" s="380"/>
      <c r="AB51" s="381"/>
      <c r="AC51" s="374" t="s">
        <v>40</v>
      </c>
      <c r="AD51" s="385" t="s">
        <v>70</v>
      </c>
      <c r="AE51" s="378"/>
      <c r="AF51" s="378"/>
      <c r="AG51" s="383"/>
      <c r="AH51" s="378"/>
    </row>
    <row r="52" spans="1:34" ht="24">
      <c r="A52" s="378" t="s">
        <v>471</v>
      </c>
      <c r="B52" s="371"/>
      <c r="C52" s="372" t="s">
        <v>44</v>
      </c>
      <c r="D52" s="372" t="s">
        <v>35</v>
      </c>
      <c r="E52" s="371">
        <v>550070</v>
      </c>
      <c r="F52" s="373" t="s">
        <v>65</v>
      </c>
      <c r="G52" s="373" t="s">
        <v>494</v>
      </c>
      <c r="H52" s="374" t="s">
        <v>37</v>
      </c>
      <c r="I52" s="375">
        <v>694</v>
      </c>
      <c r="J52" s="376" t="str">
        <f t="shared" si="5"/>
        <v>Office</v>
      </c>
      <c r="K52" s="376">
        <v>750</v>
      </c>
      <c r="L52" s="373" t="s">
        <v>506</v>
      </c>
      <c r="M52" s="384">
        <v>44904</v>
      </c>
      <c r="N52" s="377">
        <v>45999</v>
      </c>
      <c r="O52" s="378"/>
      <c r="P52" s="378"/>
      <c r="Q52" s="378"/>
      <c r="R52" s="376">
        <v>42000</v>
      </c>
      <c r="S52" s="376">
        <f t="shared" si="6"/>
        <v>0</v>
      </c>
      <c r="T52" s="378"/>
      <c r="U52" s="376">
        <v>42000</v>
      </c>
      <c r="V52" s="376">
        <f t="shared" si="7"/>
        <v>0</v>
      </c>
      <c r="W52" s="376">
        <v>42000</v>
      </c>
      <c r="X52" s="376">
        <f t="shared" si="8"/>
        <v>0</v>
      </c>
      <c r="Y52" s="379" t="e">
        <f>T52/H52</f>
        <v>#VALUE!</v>
      </c>
      <c r="Z52" s="376" t="s">
        <v>69</v>
      </c>
      <c r="AA52" s="380"/>
      <c r="AB52" s="381"/>
      <c r="AC52" s="374" t="s">
        <v>40</v>
      </c>
      <c r="AD52" s="378"/>
      <c r="AE52" s="378"/>
      <c r="AF52" s="378"/>
      <c r="AG52" s="383"/>
      <c r="AH52" s="378"/>
    </row>
    <row r="53" spans="1:34" ht="24.75" customHeight="1">
      <c r="A53" s="378" t="s">
        <v>471</v>
      </c>
      <c r="B53" s="371"/>
      <c r="C53" s="372" t="s">
        <v>44</v>
      </c>
      <c r="D53" s="372" t="s">
        <v>35</v>
      </c>
      <c r="E53" s="371">
        <v>550070</v>
      </c>
      <c r="F53" s="373" t="s">
        <v>65</v>
      </c>
      <c r="G53" s="373" t="s">
        <v>497</v>
      </c>
      <c r="H53" s="374" t="s">
        <v>37</v>
      </c>
      <c r="I53" s="375">
        <v>690</v>
      </c>
      <c r="J53" s="376" t="str">
        <f t="shared" si="5"/>
        <v>Office</v>
      </c>
      <c r="K53" s="376">
        <v>750</v>
      </c>
      <c r="L53" s="373" t="s">
        <v>507</v>
      </c>
      <c r="M53" s="384">
        <v>45412</v>
      </c>
      <c r="N53" s="377">
        <v>47237</v>
      </c>
      <c r="O53" s="378"/>
      <c r="P53" s="378"/>
      <c r="Q53" s="377">
        <v>46326</v>
      </c>
      <c r="R53" s="390">
        <v>40020</v>
      </c>
      <c r="S53" s="376">
        <f t="shared" si="6"/>
        <v>46326</v>
      </c>
      <c r="T53" s="378"/>
      <c r="U53" s="376">
        <v>39700</v>
      </c>
      <c r="V53" s="376">
        <f t="shared" si="7"/>
        <v>0</v>
      </c>
      <c r="W53" s="376">
        <v>40000</v>
      </c>
      <c r="X53" s="376">
        <f t="shared" si="8"/>
        <v>0</v>
      </c>
      <c r="Y53" s="379" t="e">
        <f>T53/H53</f>
        <v>#VALUE!</v>
      </c>
      <c r="Z53" s="376" t="s">
        <v>69</v>
      </c>
      <c r="AA53" s="380"/>
      <c r="AB53" s="381"/>
      <c r="AC53" s="374" t="s">
        <v>40</v>
      </c>
      <c r="AD53" s="373" t="s">
        <v>130</v>
      </c>
      <c r="AE53" s="378"/>
      <c r="AF53" s="378"/>
      <c r="AG53" s="383"/>
      <c r="AH53" s="378"/>
    </row>
    <row r="54" spans="1:34" ht="24">
      <c r="A54" s="378" t="s">
        <v>471</v>
      </c>
      <c r="B54" s="371"/>
      <c r="C54" s="372" t="s">
        <v>44</v>
      </c>
      <c r="D54" s="372" t="s">
        <v>35</v>
      </c>
      <c r="E54" s="371">
        <v>550070</v>
      </c>
      <c r="F54" s="373" t="s">
        <v>65</v>
      </c>
      <c r="G54" s="373" t="s">
        <v>498</v>
      </c>
      <c r="H54" s="374" t="s">
        <v>37</v>
      </c>
      <c r="I54" s="375">
        <v>620</v>
      </c>
      <c r="J54" s="376" t="str">
        <f t="shared" si="5"/>
        <v>Office</v>
      </c>
      <c r="K54" s="376">
        <v>750</v>
      </c>
      <c r="L54" s="373" t="s">
        <v>508</v>
      </c>
      <c r="M54" s="384">
        <v>44816</v>
      </c>
      <c r="N54" s="377">
        <v>45911</v>
      </c>
      <c r="O54" s="378"/>
      <c r="P54" s="378"/>
      <c r="Q54" s="378"/>
      <c r="R54" s="376">
        <v>33480</v>
      </c>
      <c r="S54" s="376">
        <f t="shared" si="6"/>
        <v>0</v>
      </c>
      <c r="T54" s="378"/>
      <c r="U54" s="376">
        <v>34100</v>
      </c>
      <c r="V54" s="376">
        <f t="shared" si="7"/>
        <v>0</v>
      </c>
      <c r="W54" s="376">
        <v>36000</v>
      </c>
      <c r="X54" s="376">
        <f t="shared" si="8"/>
        <v>0</v>
      </c>
      <c r="Y54" s="379" t="e">
        <f>T54/H54</f>
        <v>#VALUE!</v>
      </c>
      <c r="Z54" s="376" t="s">
        <v>69</v>
      </c>
      <c r="AA54" s="380"/>
      <c r="AB54" s="381"/>
      <c r="AC54" s="374" t="s">
        <v>40</v>
      </c>
      <c r="AD54" s="391"/>
      <c r="AE54" s="392"/>
      <c r="AF54" s="391"/>
      <c r="AG54" s="393"/>
      <c r="AH54" s="391"/>
    </row>
    <row r="55" spans="1:34" ht="24">
      <c r="A55" s="378" t="s">
        <v>471</v>
      </c>
      <c r="B55" s="371"/>
      <c r="C55" s="372" t="s">
        <v>44</v>
      </c>
      <c r="D55" s="372" t="s">
        <v>35</v>
      </c>
      <c r="E55" s="371">
        <v>550070</v>
      </c>
      <c r="F55" s="373" t="s">
        <v>65</v>
      </c>
      <c r="G55" s="373" t="s">
        <v>509</v>
      </c>
      <c r="H55" s="374" t="s">
        <v>37</v>
      </c>
      <c r="I55" s="375">
        <v>400</v>
      </c>
      <c r="J55" s="376" t="str">
        <f t="shared" si="5"/>
        <v>Office</v>
      </c>
      <c r="K55" s="376">
        <v>500</v>
      </c>
      <c r="L55" s="373" t="s">
        <v>68</v>
      </c>
      <c r="M55" s="378"/>
      <c r="N55" s="378"/>
      <c r="O55" s="377">
        <v>44168</v>
      </c>
      <c r="P55" s="378"/>
      <c r="Q55" s="378"/>
      <c r="R55" s="376">
        <v>0</v>
      </c>
      <c r="S55" s="376">
        <f t="shared" si="6"/>
        <v>0</v>
      </c>
      <c r="T55" s="378"/>
      <c r="U55" s="376">
        <v>21600</v>
      </c>
      <c r="V55" s="376">
        <f t="shared" si="7"/>
        <v>0</v>
      </c>
      <c r="W55" s="376">
        <v>22000</v>
      </c>
      <c r="X55" s="376">
        <f t="shared" si="8"/>
        <v>0</v>
      </c>
      <c r="Y55" s="379" t="e">
        <f>T55/H55</f>
        <v>#VALUE!</v>
      </c>
      <c r="Z55" s="376" t="s">
        <v>69</v>
      </c>
      <c r="AA55" s="380"/>
      <c r="AB55" s="381"/>
      <c r="AC55" s="374" t="s">
        <v>40</v>
      </c>
      <c r="AD55" s="373" t="s">
        <v>510</v>
      </c>
      <c r="AE55" s="378"/>
      <c r="AF55" s="378"/>
      <c r="AG55" s="383"/>
      <c r="AH55" s="378"/>
    </row>
    <row r="56" spans="1:34" ht="22.5" customHeight="1">
      <c r="A56" s="378" t="s">
        <v>471</v>
      </c>
      <c r="B56" s="371"/>
      <c r="C56" s="372" t="s">
        <v>44</v>
      </c>
      <c r="D56" s="372" t="s">
        <v>35</v>
      </c>
      <c r="E56" s="371">
        <v>550070</v>
      </c>
      <c r="F56" s="373" t="s">
        <v>65</v>
      </c>
      <c r="G56" s="373" t="s">
        <v>511</v>
      </c>
      <c r="H56" s="374" t="s">
        <v>512</v>
      </c>
      <c r="I56" s="375">
        <v>0</v>
      </c>
      <c r="J56" s="376" t="str">
        <f t="shared" si="5"/>
        <v>Air Con Units</v>
      </c>
      <c r="K56" s="376"/>
      <c r="L56" s="373" t="s">
        <v>106</v>
      </c>
      <c r="M56" s="378"/>
      <c r="N56" s="378"/>
      <c r="O56" s="377" t="s">
        <v>493</v>
      </c>
      <c r="P56" s="378"/>
      <c r="Q56" s="378"/>
      <c r="R56" s="376">
        <v>0</v>
      </c>
      <c r="S56" s="394">
        <f t="shared" si="6"/>
        <v>0</v>
      </c>
      <c r="T56" s="394"/>
      <c r="U56" s="376">
        <v>0</v>
      </c>
      <c r="V56" s="394">
        <f t="shared" si="7"/>
        <v>0</v>
      </c>
      <c r="W56" s="376">
        <v>0</v>
      </c>
      <c r="X56" s="394">
        <f t="shared" si="8"/>
        <v>0</v>
      </c>
      <c r="Y56" s="394"/>
      <c r="Z56" s="394"/>
      <c r="AA56" s="395"/>
      <c r="AB56" s="381"/>
      <c r="AC56" s="374" t="s">
        <v>40</v>
      </c>
      <c r="AD56" s="378"/>
      <c r="AE56" s="378"/>
      <c r="AF56" s="378"/>
      <c r="AG56" s="383"/>
      <c r="AH56" s="378"/>
    </row>
    <row r="57" spans="1:34" ht="14.25" customHeight="1">
      <c r="B57" s="2"/>
      <c r="C57" s="11"/>
      <c r="D57" s="11" t="s">
        <v>35</v>
      </c>
      <c r="E57" s="2"/>
      <c r="I57" s="18"/>
      <c r="J57" s="10"/>
      <c r="K57" s="10"/>
      <c r="R57" s="19"/>
      <c r="S57" s="19"/>
      <c r="T57" s="19"/>
      <c r="U57" s="19"/>
      <c r="V57" s="19"/>
      <c r="W57" s="19"/>
      <c r="X57" s="19"/>
      <c r="Y57" s="19"/>
      <c r="Z57" s="19"/>
      <c r="AA57" s="62"/>
      <c r="AC57" s="14"/>
      <c r="AG57" s="300"/>
    </row>
    <row r="58" spans="1:34" ht="14.25" customHeight="1">
      <c r="B58" s="2"/>
      <c r="C58" s="11"/>
      <c r="D58" s="11" t="s">
        <v>35</v>
      </c>
      <c r="E58" s="2"/>
      <c r="G58" s="92" t="s">
        <v>71</v>
      </c>
      <c r="I58" s="18">
        <f>SUM(H51:H56)</f>
        <v>0</v>
      </c>
      <c r="J58" s="19"/>
      <c r="K58" s="19"/>
      <c r="R58" s="38">
        <f>SUM(Q51:Q56)</f>
        <v>46326</v>
      </c>
      <c r="S58" s="19"/>
      <c r="T58" s="19">
        <f>SUM(R51:R56)</f>
        <v>115500</v>
      </c>
      <c r="U58" s="19">
        <f>SUM(T51:T56)</f>
        <v>0</v>
      </c>
      <c r="V58" s="19"/>
      <c r="W58" s="19">
        <f>SUM(V51:V56)</f>
        <v>0</v>
      </c>
      <c r="X58" s="19"/>
      <c r="Y58" s="19"/>
      <c r="Z58" s="19"/>
      <c r="AA58" s="62"/>
      <c r="AB58" s="18">
        <v>4750000</v>
      </c>
      <c r="AC58" s="14"/>
      <c r="AF58" s="29"/>
      <c r="AG58" s="301"/>
      <c r="AH58" s="29"/>
    </row>
    <row r="59" spans="1:34" ht="14.25" customHeight="1">
      <c r="B59" s="2"/>
      <c r="C59" s="11"/>
      <c r="D59" s="11" t="s">
        <v>35</v>
      </c>
      <c r="E59" s="2"/>
      <c r="G59" s="34"/>
      <c r="I59" s="18"/>
      <c r="J59" s="19"/>
      <c r="K59" s="19"/>
      <c r="R59" s="19"/>
      <c r="S59" s="19"/>
      <c r="T59" s="19"/>
      <c r="U59" s="19"/>
      <c r="V59" s="19"/>
      <c r="W59" s="19"/>
      <c r="X59" s="19"/>
      <c r="Y59" s="19"/>
      <c r="Z59" s="19"/>
      <c r="AA59" s="62"/>
      <c r="AB59" s="54"/>
      <c r="AC59" s="14"/>
      <c r="AG59" s="300"/>
    </row>
    <row r="60" spans="1:34" ht="14.25" customHeight="1">
      <c r="A60" t="s">
        <v>928</v>
      </c>
      <c r="B60" s="2"/>
      <c r="C60" s="11"/>
      <c r="D60" s="11" t="s">
        <v>35</v>
      </c>
      <c r="E60" s="2"/>
      <c r="H60" s="6" t="s">
        <v>72</v>
      </c>
      <c r="J60" s="10"/>
      <c r="K60" s="10"/>
      <c r="L60" s="32"/>
      <c r="V60" s="10"/>
      <c r="X60" s="10"/>
      <c r="Y60" s="10"/>
      <c r="Z60" s="10"/>
      <c r="AA60" s="61"/>
      <c r="AC60" s="14"/>
      <c r="AG60" s="300"/>
    </row>
    <row r="61" spans="1:34" ht="14.25" customHeight="1">
      <c r="B61" s="2"/>
      <c r="C61" s="11"/>
      <c r="D61" s="11" t="s">
        <v>35</v>
      </c>
      <c r="E61" s="2"/>
      <c r="H61" s="6"/>
      <c r="I61" s="131"/>
      <c r="J61" s="10"/>
      <c r="K61" s="10"/>
      <c r="L61" s="123"/>
      <c r="M61" s="127"/>
      <c r="U61" s="10"/>
      <c r="V61" s="10"/>
      <c r="W61" s="10"/>
      <c r="X61" s="10"/>
      <c r="Y61" s="10"/>
      <c r="Z61" s="10"/>
      <c r="AA61" s="61"/>
      <c r="AC61" s="14"/>
      <c r="AG61" s="300"/>
    </row>
    <row r="62" spans="1:34" ht="24" customHeight="1">
      <c r="A62" s="370" t="s">
        <v>471</v>
      </c>
      <c r="B62" s="371"/>
      <c r="C62" s="372" t="s">
        <v>44</v>
      </c>
      <c r="D62" s="372" t="s">
        <v>35</v>
      </c>
      <c r="E62" s="371">
        <v>550470</v>
      </c>
      <c r="F62" s="373" t="s">
        <v>72</v>
      </c>
      <c r="G62" s="373" t="s">
        <v>73</v>
      </c>
      <c r="H62" s="374" t="s">
        <v>74</v>
      </c>
      <c r="I62" s="375">
        <v>2945</v>
      </c>
      <c r="J62" s="375" t="str">
        <f t="shared" ref="J62:J78" si="9">H62</f>
        <v>Restaurant/Bar</v>
      </c>
      <c r="K62" s="375">
        <v>3000</v>
      </c>
      <c r="L62" s="373" t="s">
        <v>75</v>
      </c>
      <c r="M62" s="384">
        <v>41457</v>
      </c>
      <c r="N62" s="377">
        <v>46935</v>
      </c>
      <c r="O62" s="378"/>
      <c r="P62" s="377">
        <v>45109</v>
      </c>
      <c r="Q62" s="378"/>
      <c r="R62" s="376">
        <v>147500</v>
      </c>
      <c r="S62" s="376">
        <f t="shared" ref="S62:S78" si="10">Q62</f>
        <v>0</v>
      </c>
      <c r="T62" s="378"/>
      <c r="U62" s="376">
        <v>147500</v>
      </c>
      <c r="V62" s="376">
        <f t="shared" ref="V62:V78" si="11">T62</f>
        <v>0</v>
      </c>
      <c r="W62" s="376">
        <v>147500</v>
      </c>
      <c r="X62" s="376">
        <f t="shared" ref="X62:X78" si="12">V62</f>
        <v>0</v>
      </c>
      <c r="Y62" s="379" t="e">
        <f t="shared" ref="Y62:Y76" si="13">T62/H62</f>
        <v>#VALUE!</v>
      </c>
      <c r="Z62" s="376" t="s">
        <v>76</v>
      </c>
      <c r="AA62" s="380"/>
      <c r="AB62" s="381"/>
      <c r="AC62" s="374" t="s">
        <v>40</v>
      </c>
      <c r="AD62" s="373" t="s">
        <v>77</v>
      </c>
      <c r="AE62" s="378"/>
      <c r="AF62" s="378"/>
      <c r="AG62" s="383"/>
      <c r="AH62" s="378"/>
    </row>
    <row r="63" spans="1:34" ht="18" customHeight="1">
      <c r="A63" s="378" t="s">
        <v>471</v>
      </c>
      <c r="B63" s="371"/>
      <c r="C63" s="372" t="s">
        <v>44</v>
      </c>
      <c r="D63" s="372" t="s">
        <v>35</v>
      </c>
      <c r="E63" s="371">
        <v>550470</v>
      </c>
      <c r="F63" s="373" t="s">
        <v>72</v>
      </c>
      <c r="G63" s="391" t="s">
        <v>78</v>
      </c>
      <c r="H63" s="396" t="s">
        <v>79</v>
      </c>
      <c r="I63" s="375">
        <v>2103</v>
      </c>
      <c r="J63" s="375" t="str">
        <f t="shared" si="9"/>
        <v>Retail/Cafe</v>
      </c>
      <c r="K63" s="375">
        <v>2000</v>
      </c>
      <c r="L63" s="373" t="s">
        <v>80</v>
      </c>
      <c r="M63" s="384">
        <v>45669</v>
      </c>
      <c r="N63" s="377">
        <v>51146</v>
      </c>
      <c r="O63" s="378"/>
      <c r="P63" s="377">
        <v>47495</v>
      </c>
      <c r="Q63" s="377">
        <v>49320</v>
      </c>
      <c r="R63" s="376">
        <v>220000</v>
      </c>
      <c r="S63" s="376">
        <f t="shared" si="10"/>
        <v>49320</v>
      </c>
      <c r="T63" s="378"/>
      <c r="U63" s="376">
        <v>176200</v>
      </c>
      <c r="V63" s="376">
        <f t="shared" si="11"/>
        <v>0</v>
      </c>
      <c r="W63" s="376">
        <v>220000</v>
      </c>
      <c r="X63" s="376">
        <f t="shared" si="12"/>
        <v>0</v>
      </c>
      <c r="Y63" s="379" t="e">
        <f t="shared" si="13"/>
        <v>#VALUE!</v>
      </c>
      <c r="Z63" s="376" t="s">
        <v>58</v>
      </c>
      <c r="AA63" s="380"/>
      <c r="AB63" s="381"/>
      <c r="AC63" s="374" t="s">
        <v>40</v>
      </c>
      <c r="AD63" s="373" t="s">
        <v>81</v>
      </c>
      <c r="AE63" s="378"/>
      <c r="AF63" s="378"/>
      <c r="AG63" s="383"/>
      <c r="AH63" s="378"/>
    </row>
    <row r="64" spans="1:34" ht="36" customHeight="1">
      <c r="A64" s="378" t="s">
        <v>471</v>
      </c>
      <c r="B64" s="371"/>
      <c r="C64" s="372" t="s">
        <v>44</v>
      </c>
      <c r="D64" s="372" t="s">
        <v>35</v>
      </c>
      <c r="E64" s="371">
        <v>550470</v>
      </c>
      <c r="F64" s="373" t="s">
        <v>72</v>
      </c>
      <c r="G64" s="391" t="s">
        <v>82</v>
      </c>
      <c r="H64" s="374" t="s">
        <v>83</v>
      </c>
      <c r="I64" s="375">
        <v>5667</v>
      </c>
      <c r="J64" s="375" t="str">
        <f t="shared" si="9"/>
        <v>Restaurant</v>
      </c>
      <c r="K64" s="375">
        <v>5500</v>
      </c>
      <c r="L64" s="373" t="s">
        <v>84</v>
      </c>
      <c r="M64" s="384">
        <v>45567</v>
      </c>
      <c r="N64" s="377">
        <v>51044</v>
      </c>
      <c r="O64" s="378"/>
      <c r="P64" s="377">
        <v>47393</v>
      </c>
      <c r="Q64" s="378"/>
      <c r="R64" s="376">
        <v>150000</v>
      </c>
      <c r="S64" s="376">
        <f t="shared" si="10"/>
        <v>0</v>
      </c>
      <c r="T64" s="378"/>
      <c r="U64" s="376">
        <v>255000</v>
      </c>
      <c r="V64" s="376">
        <f t="shared" si="11"/>
        <v>0</v>
      </c>
      <c r="W64" s="376">
        <v>300000</v>
      </c>
      <c r="X64" s="376">
        <f t="shared" si="12"/>
        <v>0</v>
      </c>
      <c r="Y64" s="379" t="e">
        <f t="shared" si="13"/>
        <v>#VALUE!</v>
      </c>
      <c r="Z64" s="376" t="s">
        <v>58</v>
      </c>
      <c r="AA64" s="380"/>
      <c r="AB64" s="381"/>
      <c r="AC64" s="374" t="s">
        <v>40</v>
      </c>
      <c r="AD64" s="373" t="s">
        <v>85</v>
      </c>
      <c r="AE64" s="378"/>
      <c r="AF64" s="378"/>
      <c r="AG64" s="383"/>
      <c r="AH64" s="378"/>
    </row>
    <row r="65" spans="1:34" ht="36">
      <c r="A65" s="378" t="s">
        <v>471</v>
      </c>
      <c r="B65" s="371"/>
      <c r="C65" s="372" t="s">
        <v>44</v>
      </c>
      <c r="D65" s="372" t="s">
        <v>35</v>
      </c>
      <c r="E65" s="371">
        <v>550470</v>
      </c>
      <c r="F65" s="373" t="s">
        <v>72</v>
      </c>
      <c r="G65" s="373" t="s">
        <v>513</v>
      </c>
      <c r="H65" s="374" t="s">
        <v>37</v>
      </c>
      <c r="I65" s="375">
        <v>1784</v>
      </c>
      <c r="J65" s="375" t="str">
        <f t="shared" si="9"/>
        <v>Office</v>
      </c>
      <c r="K65" s="375">
        <v>1750</v>
      </c>
      <c r="L65" s="373" t="s">
        <v>514</v>
      </c>
      <c r="M65" s="384">
        <v>45457</v>
      </c>
      <c r="N65" s="377">
        <v>47282</v>
      </c>
      <c r="O65" s="378"/>
      <c r="P65" s="378"/>
      <c r="Q65" s="378"/>
      <c r="R65" s="376">
        <v>60700</v>
      </c>
      <c r="S65" s="376">
        <f t="shared" si="10"/>
        <v>0</v>
      </c>
      <c r="T65" s="378"/>
      <c r="U65" s="376">
        <v>99700</v>
      </c>
      <c r="V65" s="376">
        <f t="shared" si="11"/>
        <v>0</v>
      </c>
      <c r="W65" s="376">
        <v>120400</v>
      </c>
      <c r="X65" s="376">
        <f t="shared" si="12"/>
        <v>0</v>
      </c>
      <c r="Y65" s="379" t="e">
        <f t="shared" si="13"/>
        <v>#VALUE!</v>
      </c>
      <c r="Z65" s="376" t="s">
        <v>58</v>
      </c>
      <c r="AA65" s="380"/>
      <c r="AB65" s="381"/>
      <c r="AC65" s="374" t="s">
        <v>40</v>
      </c>
      <c r="AD65" s="373" t="s">
        <v>515</v>
      </c>
      <c r="AE65" s="378"/>
      <c r="AF65" s="378"/>
      <c r="AG65" s="383"/>
      <c r="AH65" s="378"/>
    </row>
    <row r="66" spans="1:34" ht="60">
      <c r="A66" s="378" t="s">
        <v>471</v>
      </c>
      <c r="B66" s="371"/>
      <c r="C66" s="372" t="s">
        <v>44</v>
      </c>
      <c r="D66" s="372" t="s">
        <v>35</v>
      </c>
      <c r="E66" s="371">
        <v>550470</v>
      </c>
      <c r="F66" s="373" t="s">
        <v>72</v>
      </c>
      <c r="G66" s="373" t="s">
        <v>330</v>
      </c>
      <c r="H66" s="374" t="s">
        <v>37</v>
      </c>
      <c r="I66" s="375">
        <v>2075</v>
      </c>
      <c r="J66" s="375" t="str">
        <f t="shared" si="9"/>
        <v>Office</v>
      </c>
      <c r="K66" s="375">
        <v>2000</v>
      </c>
      <c r="L66" s="373" t="s">
        <v>516</v>
      </c>
      <c r="M66" s="384">
        <v>45384</v>
      </c>
      <c r="N66" s="377">
        <v>47209</v>
      </c>
      <c r="O66" s="378"/>
      <c r="P66" s="378"/>
      <c r="Q66" s="377">
        <v>46478</v>
      </c>
      <c r="R66" s="376">
        <v>133280</v>
      </c>
      <c r="S66" s="376">
        <f t="shared" si="10"/>
        <v>46478</v>
      </c>
      <c r="T66" s="378"/>
      <c r="U66" s="376">
        <v>114700</v>
      </c>
      <c r="V66" s="376">
        <f t="shared" si="11"/>
        <v>0</v>
      </c>
      <c r="W66" s="376">
        <v>140100</v>
      </c>
      <c r="X66" s="376">
        <f t="shared" si="12"/>
        <v>0</v>
      </c>
      <c r="Y66" s="379" t="e">
        <f t="shared" si="13"/>
        <v>#VALUE!</v>
      </c>
      <c r="Z66" s="376" t="s">
        <v>58</v>
      </c>
      <c r="AA66" s="380"/>
      <c r="AB66" s="381"/>
      <c r="AC66" s="374" t="s">
        <v>40</v>
      </c>
      <c r="AD66" s="373" t="s">
        <v>517</v>
      </c>
      <c r="AE66" s="378"/>
      <c r="AF66" s="378"/>
      <c r="AG66" s="383"/>
      <c r="AH66" s="378"/>
    </row>
    <row r="67" spans="1:34" ht="24">
      <c r="A67" s="378" t="s">
        <v>471</v>
      </c>
      <c r="B67" s="371"/>
      <c r="C67" s="372" t="s">
        <v>44</v>
      </c>
      <c r="D67" s="372" t="s">
        <v>35</v>
      </c>
      <c r="E67" s="371">
        <v>550470</v>
      </c>
      <c r="F67" s="373" t="s">
        <v>72</v>
      </c>
      <c r="G67" s="373" t="s">
        <v>518</v>
      </c>
      <c r="H67" s="374" t="s">
        <v>37</v>
      </c>
      <c r="I67" s="375">
        <v>2063</v>
      </c>
      <c r="J67" s="375" t="str">
        <f t="shared" si="9"/>
        <v>Office</v>
      </c>
      <c r="K67" s="375">
        <v>2000</v>
      </c>
      <c r="L67" s="373" t="s">
        <v>519</v>
      </c>
      <c r="M67" s="384">
        <v>45516</v>
      </c>
      <c r="N67" s="377">
        <v>47341</v>
      </c>
      <c r="O67" s="378"/>
      <c r="P67" s="378"/>
      <c r="Q67" s="377">
        <v>46610</v>
      </c>
      <c r="R67" s="376">
        <v>146450</v>
      </c>
      <c r="S67" s="376">
        <f t="shared" si="10"/>
        <v>46610</v>
      </c>
      <c r="T67" s="378"/>
      <c r="U67" s="376">
        <v>120700</v>
      </c>
      <c r="V67" s="376">
        <f t="shared" si="11"/>
        <v>0</v>
      </c>
      <c r="W67" s="376">
        <v>139260</v>
      </c>
      <c r="X67" s="376">
        <f t="shared" si="12"/>
        <v>0</v>
      </c>
      <c r="Y67" s="379" t="e">
        <f t="shared" si="13"/>
        <v>#VALUE!</v>
      </c>
      <c r="Z67" s="376" t="s">
        <v>58</v>
      </c>
      <c r="AA67" s="380"/>
      <c r="AB67" s="381"/>
      <c r="AC67" s="374" t="s">
        <v>40</v>
      </c>
      <c r="AD67" s="373" t="s">
        <v>130</v>
      </c>
      <c r="AE67" s="378"/>
      <c r="AF67" s="385"/>
      <c r="AG67" s="386"/>
      <c r="AH67" s="385"/>
    </row>
    <row r="68" spans="1:34" ht="24">
      <c r="A68" s="378" t="s">
        <v>471</v>
      </c>
      <c r="B68" s="371"/>
      <c r="C68" s="372" t="s">
        <v>44</v>
      </c>
      <c r="D68" s="372" t="s">
        <v>35</v>
      </c>
      <c r="E68" s="371">
        <v>550470</v>
      </c>
      <c r="F68" s="373" t="s">
        <v>72</v>
      </c>
      <c r="G68" s="373" t="s">
        <v>520</v>
      </c>
      <c r="H68" s="374" t="s">
        <v>37</v>
      </c>
      <c r="I68" s="375">
        <v>1796</v>
      </c>
      <c r="J68" s="375" t="str">
        <f t="shared" si="9"/>
        <v>Office</v>
      </c>
      <c r="K68" s="375">
        <v>1750</v>
      </c>
      <c r="L68" s="373" t="s">
        <v>68</v>
      </c>
      <c r="M68" s="378"/>
      <c r="N68" s="378"/>
      <c r="O68" s="377">
        <v>45051</v>
      </c>
      <c r="P68" s="378"/>
      <c r="Q68" s="378"/>
      <c r="R68" s="376">
        <v>0</v>
      </c>
      <c r="S68" s="376">
        <f t="shared" si="10"/>
        <v>0</v>
      </c>
      <c r="T68" s="378"/>
      <c r="U68" s="376">
        <v>87300</v>
      </c>
      <c r="V68" s="376">
        <f t="shared" si="11"/>
        <v>0</v>
      </c>
      <c r="W68" s="376">
        <v>121240</v>
      </c>
      <c r="X68" s="376">
        <f t="shared" si="12"/>
        <v>0</v>
      </c>
      <c r="Y68" s="379" t="e">
        <f t="shared" si="13"/>
        <v>#VALUE!</v>
      </c>
      <c r="Z68" s="376" t="s">
        <v>58</v>
      </c>
      <c r="AA68" s="380"/>
      <c r="AB68" s="381"/>
      <c r="AC68" s="374" t="s">
        <v>40</v>
      </c>
      <c r="AD68" s="373" t="s">
        <v>482</v>
      </c>
      <c r="AE68" s="388">
        <v>72.5</v>
      </c>
      <c r="AF68" s="373">
        <v>2</v>
      </c>
      <c r="AG68" s="383">
        <v>7</v>
      </c>
      <c r="AH68" s="373" t="s">
        <v>521</v>
      </c>
    </row>
    <row r="69" spans="1:34" ht="24">
      <c r="A69" s="378" t="s">
        <v>471</v>
      </c>
      <c r="B69" s="371"/>
      <c r="C69" s="372" t="s">
        <v>44</v>
      </c>
      <c r="D69" s="372" t="s">
        <v>35</v>
      </c>
      <c r="E69" s="371">
        <v>550470</v>
      </c>
      <c r="F69" s="373" t="s">
        <v>72</v>
      </c>
      <c r="G69" s="373" t="s">
        <v>522</v>
      </c>
      <c r="H69" s="374" t="s">
        <v>37</v>
      </c>
      <c r="I69" s="375">
        <v>1691</v>
      </c>
      <c r="J69" s="375" t="str">
        <f t="shared" si="9"/>
        <v>Office</v>
      </c>
      <c r="K69" s="375">
        <v>1500</v>
      </c>
      <c r="L69" s="373" t="s">
        <v>523</v>
      </c>
      <c r="M69" s="384">
        <v>44795</v>
      </c>
      <c r="N69" s="377">
        <v>46620</v>
      </c>
      <c r="O69" s="378"/>
      <c r="P69" s="378"/>
      <c r="Q69" s="377">
        <v>45890</v>
      </c>
      <c r="R69" s="376">
        <v>102705</v>
      </c>
      <c r="S69" s="376">
        <f t="shared" si="10"/>
        <v>45890</v>
      </c>
      <c r="T69" s="378"/>
      <c r="U69" s="376">
        <v>102705</v>
      </c>
      <c r="V69" s="376">
        <f t="shared" si="11"/>
        <v>0</v>
      </c>
      <c r="W69" s="376">
        <v>114100</v>
      </c>
      <c r="X69" s="376">
        <f t="shared" si="12"/>
        <v>0</v>
      </c>
      <c r="Y69" s="379" t="e">
        <f t="shared" si="13"/>
        <v>#VALUE!</v>
      </c>
      <c r="Z69" s="376" t="s">
        <v>58</v>
      </c>
      <c r="AA69" s="380"/>
      <c r="AB69" s="381"/>
      <c r="AC69" s="374" t="s">
        <v>40</v>
      </c>
      <c r="AD69" s="373" t="s">
        <v>130</v>
      </c>
      <c r="AE69" s="378"/>
      <c r="AF69" s="378"/>
      <c r="AG69" s="383"/>
      <c r="AH69" s="378"/>
    </row>
    <row r="70" spans="1:34" ht="60">
      <c r="A70" s="378" t="s">
        <v>471</v>
      </c>
      <c r="B70" s="371"/>
      <c r="C70" s="372" t="s">
        <v>44</v>
      </c>
      <c r="D70" s="372" t="s">
        <v>35</v>
      </c>
      <c r="E70" s="371">
        <v>550470</v>
      </c>
      <c r="F70" s="373" t="s">
        <v>72</v>
      </c>
      <c r="G70" s="373" t="s">
        <v>524</v>
      </c>
      <c r="H70" s="374" t="s">
        <v>37</v>
      </c>
      <c r="I70" s="375">
        <v>2055</v>
      </c>
      <c r="J70" s="375" t="str">
        <f t="shared" si="9"/>
        <v>Office</v>
      </c>
      <c r="K70" s="375">
        <v>2000</v>
      </c>
      <c r="L70" s="373" t="s">
        <v>525</v>
      </c>
      <c r="M70" s="384">
        <v>45488</v>
      </c>
      <c r="N70" s="377">
        <v>47313</v>
      </c>
      <c r="O70" s="378"/>
      <c r="P70" s="378"/>
      <c r="Q70" s="377">
        <v>46582</v>
      </c>
      <c r="R70" s="376">
        <v>181050</v>
      </c>
      <c r="S70" s="376">
        <f t="shared" si="10"/>
        <v>46582</v>
      </c>
      <c r="T70" s="378"/>
      <c r="U70" s="376">
        <v>125050</v>
      </c>
      <c r="V70" s="376">
        <f t="shared" si="11"/>
        <v>0</v>
      </c>
      <c r="W70" s="376">
        <v>138700</v>
      </c>
      <c r="X70" s="376">
        <f t="shared" si="12"/>
        <v>0</v>
      </c>
      <c r="Y70" s="379" t="e">
        <f t="shared" si="13"/>
        <v>#VALUE!</v>
      </c>
      <c r="Z70" s="376" t="s">
        <v>58</v>
      </c>
      <c r="AA70" s="380"/>
      <c r="AB70" s="381"/>
      <c r="AC70" s="374" t="s">
        <v>40</v>
      </c>
      <c r="AD70" s="373" t="s">
        <v>526</v>
      </c>
      <c r="AE70" s="378"/>
      <c r="AF70" s="385"/>
      <c r="AG70" s="386"/>
      <c r="AH70" s="385"/>
    </row>
    <row r="71" spans="1:34" s="115" customFormat="1" ht="23.25" customHeight="1">
      <c r="A71" s="378" t="s">
        <v>471</v>
      </c>
      <c r="B71" s="371"/>
      <c r="C71" s="372" t="s">
        <v>44</v>
      </c>
      <c r="D71" s="372" t="s">
        <v>35</v>
      </c>
      <c r="E71" s="371">
        <v>550470</v>
      </c>
      <c r="F71" s="373" t="s">
        <v>72</v>
      </c>
      <c r="G71" s="373" t="s">
        <v>527</v>
      </c>
      <c r="H71" s="374" t="s">
        <v>37</v>
      </c>
      <c r="I71" s="375">
        <v>1548</v>
      </c>
      <c r="J71" s="375" t="str">
        <f t="shared" si="9"/>
        <v>Office</v>
      </c>
      <c r="K71" s="375">
        <v>1500</v>
      </c>
      <c r="L71" s="373" t="s">
        <v>247</v>
      </c>
      <c r="M71" s="384">
        <v>45609</v>
      </c>
      <c r="N71" s="377">
        <v>47434</v>
      </c>
      <c r="O71" s="377"/>
      <c r="P71" s="377"/>
      <c r="Q71" s="377">
        <v>46703</v>
      </c>
      <c r="R71" s="376">
        <v>90090</v>
      </c>
      <c r="S71" s="376">
        <f t="shared" si="10"/>
        <v>46703</v>
      </c>
      <c r="T71" s="376"/>
      <c r="U71" s="376">
        <v>90100</v>
      </c>
      <c r="V71" s="376">
        <f t="shared" si="11"/>
        <v>0</v>
      </c>
      <c r="W71" s="376">
        <v>104500</v>
      </c>
      <c r="X71" s="376">
        <f t="shared" si="12"/>
        <v>0</v>
      </c>
      <c r="Y71" s="379" t="e">
        <f t="shared" si="13"/>
        <v>#VALUE!</v>
      </c>
      <c r="Z71" s="376" t="s">
        <v>58</v>
      </c>
      <c r="AA71" s="380"/>
      <c r="AB71" s="381"/>
      <c r="AC71" s="374" t="s">
        <v>40</v>
      </c>
      <c r="AD71" s="373" t="s">
        <v>528</v>
      </c>
      <c r="AE71" s="388"/>
      <c r="AF71" s="373"/>
      <c r="AG71" s="383"/>
      <c r="AH71" s="373"/>
    </row>
    <row r="72" spans="1:34" ht="36">
      <c r="A72" s="378" t="s">
        <v>471</v>
      </c>
      <c r="B72" s="371"/>
      <c r="C72" s="372" t="s">
        <v>44</v>
      </c>
      <c r="D72" s="372" t="s">
        <v>35</v>
      </c>
      <c r="E72" s="371">
        <v>550470</v>
      </c>
      <c r="F72" s="373" t="s">
        <v>72</v>
      </c>
      <c r="G72" s="373" t="s">
        <v>529</v>
      </c>
      <c r="H72" s="374" t="s">
        <v>37</v>
      </c>
      <c r="I72" s="375">
        <v>1957</v>
      </c>
      <c r="J72" s="375" t="str">
        <f t="shared" si="9"/>
        <v>Office</v>
      </c>
      <c r="K72" s="375">
        <v>2000</v>
      </c>
      <c r="L72" s="373" t="s">
        <v>247</v>
      </c>
      <c r="M72" s="384">
        <v>45609</v>
      </c>
      <c r="N72" s="377">
        <v>47434</v>
      </c>
      <c r="O72" s="378"/>
      <c r="P72" s="378"/>
      <c r="Q72" s="377">
        <v>46703</v>
      </c>
      <c r="R72" s="376">
        <v>114253</v>
      </c>
      <c r="S72" s="376">
        <f t="shared" si="10"/>
        <v>46703</v>
      </c>
      <c r="T72" s="378"/>
      <c r="U72" s="376">
        <v>115800</v>
      </c>
      <c r="V72" s="376">
        <f t="shared" si="11"/>
        <v>0</v>
      </c>
      <c r="W72" s="376">
        <v>132100</v>
      </c>
      <c r="X72" s="376">
        <f t="shared" si="12"/>
        <v>0</v>
      </c>
      <c r="Y72" s="379" t="e">
        <f t="shared" si="13"/>
        <v>#VALUE!</v>
      </c>
      <c r="Z72" s="376" t="s">
        <v>58</v>
      </c>
      <c r="AA72" s="380"/>
      <c r="AB72" s="381"/>
      <c r="AC72" s="374" t="s">
        <v>40</v>
      </c>
      <c r="AD72" s="373" t="s">
        <v>130</v>
      </c>
      <c r="AE72" s="382"/>
      <c r="AF72" s="378"/>
      <c r="AG72" s="383"/>
      <c r="AH72" s="378"/>
    </row>
    <row r="73" spans="1:34" ht="19.5" customHeight="1">
      <c r="A73" s="378" t="s">
        <v>471</v>
      </c>
      <c r="B73" s="371"/>
      <c r="C73" s="372" t="s">
        <v>44</v>
      </c>
      <c r="D73" s="372" t="s">
        <v>35</v>
      </c>
      <c r="E73" s="371">
        <v>550470</v>
      </c>
      <c r="F73" s="373" t="s">
        <v>72</v>
      </c>
      <c r="G73" s="391" t="s">
        <v>530</v>
      </c>
      <c r="H73" s="396" t="s">
        <v>37</v>
      </c>
      <c r="I73" s="375">
        <v>1845</v>
      </c>
      <c r="J73" s="375" t="str">
        <f t="shared" si="9"/>
        <v>Office</v>
      </c>
      <c r="K73" s="375">
        <v>2000</v>
      </c>
      <c r="L73" s="373" t="s">
        <v>531</v>
      </c>
      <c r="M73" s="384">
        <v>45256</v>
      </c>
      <c r="N73" s="377">
        <v>47082</v>
      </c>
      <c r="O73" s="378"/>
      <c r="P73" s="378"/>
      <c r="Q73" s="377">
        <v>46351</v>
      </c>
      <c r="R73" s="376">
        <v>115500</v>
      </c>
      <c r="S73" s="376">
        <f t="shared" si="10"/>
        <v>46351</v>
      </c>
      <c r="T73" s="378"/>
      <c r="U73" s="376">
        <v>107400</v>
      </c>
      <c r="V73" s="376">
        <f t="shared" si="11"/>
        <v>0</v>
      </c>
      <c r="W73" s="376">
        <v>124500</v>
      </c>
      <c r="X73" s="376">
        <f t="shared" si="12"/>
        <v>0</v>
      </c>
      <c r="Y73" s="379" t="e">
        <f t="shared" si="13"/>
        <v>#VALUE!</v>
      </c>
      <c r="Z73" s="376" t="s">
        <v>58</v>
      </c>
      <c r="AA73" s="380"/>
      <c r="AB73" s="381"/>
      <c r="AC73" s="374" t="s">
        <v>40</v>
      </c>
      <c r="AD73" s="373" t="s">
        <v>130</v>
      </c>
      <c r="AE73" s="378"/>
      <c r="AF73" s="378"/>
      <c r="AG73" s="383"/>
      <c r="AH73" s="378"/>
    </row>
    <row r="74" spans="1:34" ht="60">
      <c r="A74" s="378" t="s">
        <v>471</v>
      </c>
      <c r="B74" s="371"/>
      <c r="C74" s="372" t="s">
        <v>44</v>
      </c>
      <c r="D74" s="372" t="s">
        <v>35</v>
      </c>
      <c r="E74" s="371">
        <v>550470</v>
      </c>
      <c r="F74" s="373" t="s">
        <v>72</v>
      </c>
      <c r="G74" s="391" t="s">
        <v>532</v>
      </c>
      <c r="H74" s="374" t="s">
        <v>37</v>
      </c>
      <c r="I74" s="375">
        <v>1528</v>
      </c>
      <c r="J74" s="375" t="str">
        <f t="shared" si="9"/>
        <v>Office</v>
      </c>
      <c r="K74" s="375">
        <v>1500</v>
      </c>
      <c r="L74" s="373" t="s">
        <v>533</v>
      </c>
      <c r="M74" s="384">
        <v>45622</v>
      </c>
      <c r="N74" s="377">
        <v>47447</v>
      </c>
      <c r="O74" s="378"/>
      <c r="P74" s="378"/>
      <c r="Q74" s="377">
        <v>46716</v>
      </c>
      <c r="R74" s="376">
        <v>54340</v>
      </c>
      <c r="S74" s="376">
        <f t="shared" si="10"/>
        <v>46716</v>
      </c>
      <c r="T74" s="378"/>
      <c r="U74" s="376">
        <v>76600</v>
      </c>
      <c r="V74" s="376">
        <f t="shared" si="11"/>
        <v>0</v>
      </c>
      <c r="W74" s="376">
        <v>103100</v>
      </c>
      <c r="X74" s="376">
        <f t="shared" si="12"/>
        <v>0</v>
      </c>
      <c r="Y74" s="379" t="e">
        <f t="shared" si="13"/>
        <v>#VALUE!</v>
      </c>
      <c r="Z74" s="376" t="s">
        <v>58</v>
      </c>
      <c r="AA74" s="380"/>
      <c r="AB74" s="381"/>
      <c r="AC74" s="374" t="s">
        <v>40</v>
      </c>
      <c r="AD74" s="373" t="s">
        <v>534</v>
      </c>
      <c r="AE74" s="382"/>
      <c r="AF74" s="378"/>
      <c r="AG74" s="383">
        <v>1</v>
      </c>
      <c r="AH74" s="373" t="s">
        <v>521</v>
      </c>
    </row>
    <row r="75" spans="1:34" ht="36">
      <c r="A75" s="378" t="s">
        <v>471</v>
      </c>
      <c r="B75" s="371"/>
      <c r="C75" s="372" t="s">
        <v>44</v>
      </c>
      <c r="D75" s="372" t="s">
        <v>35</v>
      </c>
      <c r="E75" s="371">
        <v>550470</v>
      </c>
      <c r="F75" s="373" t="s">
        <v>72</v>
      </c>
      <c r="G75" s="397" t="s">
        <v>535</v>
      </c>
      <c r="H75" s="374" t="s">
        <v>37</v>
      </c>
      <c r="I75" s="375">
        <v>1253</v>
      </c>
      <c r="J75" s="375" t="str">
        <f t="shared" si="9"/>
        <v>Office</v>
      </c>
      <c r="K75" s="375">
        <v>1250</v>
      </c>
      <c r="L75" s="373" t="s">
        <v>536</v>
      </c>
      <c r="M75" s="384">
        <v>45617</v>
      </c>
      <c r="N75" s="377">
        <v>47442</v>
      </c>
      <c r="O75" s="378"/>
      <c r="P75" s="378"/>
      <c r="Q75" s="378"/>
      <c r="R75" s="376">
        <v>66700</v>
      </c>
      <c r="S75" s="376">
        <f t="shared" si="10"/>
        <v>0</v>
      </c>
      <c r="T75" s="378"/>
      <c r="U75" s="376">
        <v>66700</v>
      </c>
      <c r="V75" s="376">
        <f t="shared" si="11"/>
        <v>0</v>
      </c>
      <c r="W75" s="376">
        <v>78300</v>
      </c>
      <c r="X75" s="376">
        <f t="shared" si="12"/>
        <v>0</v>
      </c>
      <c r="Y75" s="379" t="e">
        <f t="shared" si="13"/>
        <v>#VALUE!</v>
      </c>
      <c r="Z75" s="376" t="s">
        <v>69</v>
      </c>
      <c r="AA75" s="380"/>
      <c r="AB75" s="381"/>
      <c r="AC75" s="374" t="s">
        <v>40</v>
      </c>
      <c r="AD75" s="378"/>
      <c r="AE75" s="382"/>
      <c r="AF75" s="378"/>
      <c r="AG75" s="383"/>
      <c r="AH75" s="378"/>
    </row>
    <row r="76" spans="1:34" ht="24">
      <c r="A76" s="378" t="s">
        <v>471</v>
      </c>
      <c r="B76" s="371"/>
      <c r="C76" s="372" t="s">
        <v>44</v>
      </c>
      <c r="D76" s="372" t="s">
        <v>35</v>
      </c>
      <c r="E76" s="371">
        <v>550470</v>
      </c>
      <c r="F76" s="373" t="s">
        <v>72</v>
      </c>
      <c r="G76" s="373" t="s">
        <v>537</v>
      </c>
      <c r="H76" s="374" t="s">
        <v>37</v>
      </c>
      <c r="I76" s="375">
        <v>859</v>
      </c>
      <c r="J76" s="375" t="str">
        <f t="shared" si="9"/>
        <v>Office</v>
      </c>
      <c r="K76" s="375">
        <v>1000</v>
      </c>
      <c r="L76" s="373" t="s">
        <v>68</v>
      </c>
      <c r="M76" s="378"/>
      <c r="N76" s="378"/>
      <c r="O76" s="377">
        <v>44609</v>
      </c>
      <c r="P76" s="378"/>
      <c r="Q76" s="378"/>
      <c r="R76" s="376">
        <v>0</v>
      </c>
      <c r="S76" s="376">
        <f t="shared" si="10"/>
        <v>0</v>
      </c>
      <c r="T76" s="378"/>
      <c r="U76" s="376">
        <v>65750</v>
      </c>
      <c r="V76" s="376">
        <f t="shared" si="11"/>
        <v>0</v>
      </c>
      <c r="W76" s="376">
        <v>53700</v>
      </c>
      <c r="X76" s="376">
        <f t="shared" si="12"/>
        <v>0</v>
      </c>
      <c r="Y76" s="379" t="e">
        <f t="shared" si="13"/>
        <v>#VALUE!</v>
      </c>
      <c r="Z76" s="376" t="s">
        <v>69</v>
      </c>
      <c r="AA76" s="380"/>
      <c r="AB76" s="381"/>
      <c r="AC76" s="374" t="s">
        <v>40</v>
      </c>
      <c r="AD76" s="373" t="s">
        <v>482</v>
      </c>
      <c r="AE76" s="388">
        <v>63</v>
      </c>
      <c r="AF76" s="378"/>
      <c r="AG76" s="383">
        <v>1</v>
      </c>
      <c r="AH76" s="378"/>
    </row>
    <row r="77" spans="1:34" s="56" customFormat="1" ht="28.5" customHeight="1">
      <c r="A77" s="378" t="s">
        <v>471</v>
      </c>
      <c r="B77" s="371"/>
      <c r="C77" s="372" t="s">
        <v>44</v>
      </c>
      <c r="D77" s="372" t="s">
        <v>35</v>
      </c>
      <c r="E77" s="371">
        <v>550470</v>
      </c>
      <c r="F77" s="373" t="s">
        <v>72</v>
      </c>
      <c r="G77" s="373" t="s">
        <v>538</v>
      </c>
      <c r="H77" s="374" t="s">
        <v>251</v>
      </c>
      <c r="I77" s="375">
        <v>0</v>
      </c>
      <c r="J77" s="375" t="str">
        <f t="shared" si="9"/>
        <v>Storage</v>
      </c>
      <c r="K77" s="375"/>
      <c r="L77" s="373" t="s">
        <v>106</v>
      </c>
      <c r="M77" s="384"/>
      <c r="N77" s="377"/>
      <c r="O77" s="377" t="s">
        <v>493</v>
      </c>
      <c r="P77" s="377"/>
      <c r="Q77" s="377"/>
      <c r="R77" s="376">
        <v>0</v>
      </c>
      <c r="S77" s="376">
        <f t="shared" si="10"/>
        <v>0</v>
      </c>
      <c r="T77" s="376"/>
      <c r="U77" s="376">
        <v>1460</v>
      </c>
      <c r="V77" s="376">
        <f t="shared" si="11"/>
        <v>0</v>
      </c>
      <c r="W77" s="376">
        <v>0</v>
      </c>
      <c r="X77" s="376">
        <f t="shared" si="12"/>
        <v>0</v>
      </c>
      <c r="Y77" s="376"/>
      <c r="Z77" s="376"/>
      <c r="AA77" s="380"/>
      <c r="AB77" s="381"/>
      <c r="AC77" s="374"/>
      <c r="AD77" s="373" t="s">
        <v>539</v>
      </c>
      <c r="AE77" s="388"/>
      <c r="AF77" s="373"/>
      <c r="AG77" s="383"/>
      <c r="AH77" s="373"/>
    </row>
    <row r="78" spans="1:34" ht="14.25" customHeight="1">
      <c r="A78" s="378" t="s">
        <v>471</v>
      </c>
      <c r="B78" s="371"/>
      <c r="C78" s="372" t="s">
        <v>44</v>
      </c>
      <c r="D78" s="372" t="s">
        <v>35</v>
      </c>
      <c r="E78" s="371">
        <v>550470</v>
      </c>
      <c r="F78" s="373" t="s">
        <v>72</v>
      </c>
      <c r="G78" s="373" t="s">
        <v>540</v>
      </c>
      <c r="H78" s="374" t="s">
        <v>541</v>
      </c>
      <c r="I78" s="375">
        <v>0</v>
      </c>
      <c r="J78" s="375" t="str">
        <f t="shared" si="9"/>
        <v>Sub-Station</v>
      </c>
      <c r="K78" s="378"/>
      <c r="L78" s="373" t="s">
        <v>448</v>
      </c>
      <c r="M78" s="398">
        <v>35240</v>
      </c>
      <c r="N78" s="399">
        <v>68735</v>
      </c>
      <c r="O78" s="399"/>
      <c r="P78" s="378"/>
      <c r="Q78" s="378"/>
      <c r="R78" s="376">
        <v>0</v>
      </c>
      <c r="S78" s="376">
        <f t="shared" si="10"/>
        <v>0</v>
      </c>
      <c r="T78" s="378"/>
      <c r="U78" s="376">
        <v>0</v>
      </c>
      <c r="V78" s="376">
        <f t="shared" si="11"/>
        <v>0</v>
      </c>
      <c r="W78" s="376">
        <v>0</v>
      </c>
      <c r="X78" s="376">
        <f t="shared" si="12"/>
        <v>0</v>
      </c>
      <c r="Y78" s="376"/>
      <c r="Z78" s="376"/>
      <c r="AA78" s="380"/>
      <c r="AB78" s="381"/>
      <c r="AC78" s="374" t="s">
        <v>94</v>
      </c>
      <c r="AD78" s="373" t="s">
        <v>542</v>
      </c>
      <c r="AE78" s="378"/>
      <c r="AF78" s="378"/>
      <c r="AG78" s="383"/>
      <c r="AH78" s="378"/>
    </row>
    <row r="79" spans="1:34">
      <c r="B79" s="2"/>
      <c r="C79" s="11"/>
      <c r="D79" s="11" t="s">
        <v>35</v>
      </c>
      <c r="E79" s="2"/>
      <c r="N79" s="40"/>
      <c r="O79" s="40"/>
      <c r="U79" s="10"/>
      <c r="V79" s="10"/>
      <c r="W79" s="10"/>
      <c r="X79" s="10"/>
      <c r="Y79" s="10"/>
      <c r="Z79" s="10"/>
      <c r="AA79" s="61"/>
      <c r="AC79" s="14"/>
      <c r="AG79" s="300"/>
    </row>
    <row r="80" spans="1:34" ht="14.25" customHeight="1">
      <c r="B80" s="2"/>
      <c r="C80" s="11"/>
      <c r="D80" s="11" t="s">
        <v>35</v>
      </c>
      <c r="E80" s="2"/>
      <c r="G80" s="92" t="s">
        <v>543</v>
      </c>
      <c r="I80" s="18">
        <f>SUM(H62:H78)</f>
        <v>0</v>
      </c>
      <c r="J80" s="19"/>
      <c r="K80" s="19"/>
      <c r="N80" s="40"/>
      <c r="O80" s="40"/>
      <c r="R80" s="19">
        <f>SUM(Q62:Q78)</f>
        <v>421353</v>
      </c>
      <c r="S80" s="19"/>
      <c r="T80" s="19">
        <f>SUM(R62:R78)</f>
        <v>1582568</v>
      </c>
      <c r="U80" s="19">
        <f>SUM(T62:T78)</f>
        <v>0</v>
      </c>
      <c r="V80" s="19"/>
      <c r="W80" s="19">
        <f>SUM(V62:V78)</f>
        <v>0</v>
      </c>
      <c r="X80" s="19"/>
      <c r="Y80" s="19"/>
      <c r="Z80" s="19"/>
      <c r="AA80" s="62"/>
      <c r="AB80" s="18">
        <v>34025000</v>
      </c>
      <c r="AC80" s="14"/>
      <c r="AF80" s="29"/>
      <c r="AG80" s="301"/>
      <c r="AH80" s="29"/>
    </row>
    <row r="81" spans="1:34" ht="14.25" customHeight="1">
      <c r="B81" s="2"/>
      <c r="C81" s="11"/>
      <c r="D81" s="11" t="s">
        <v>35</v>
      </c>
      <c r="E81" s="2"/>
      <c r="G81" s="92"/>
      <c r="I81" s="18"/>
      <c r="J81" s="19"/>
      <c r="K81" s="19"/>
      <c r="N81" s="40"/>
      <c r="O81" s="40"/>
      <c r="R81" s="19"/>
      <c r="S81" s="19"/>
      <c r="T81" s="19"/>
      <c r="U81" s="19"/>
      <c r="V81" s="19"/>
      <c r="W81" s="19"/>
      <c r="X81" s="19"/>
      <c r="Y81" s="19"/>
      <c r="Z81" s="19"/>
      <c r="AA81" s="62"/>
      <c r="AB81" s="54"/>
      <c r="AC81" s="14"/>
      <c r="AG81" s="300"/>
    </row>
    <row r="82" spans="1:34" ht="14.25" customHeight="1">
      <c r="A82" t="s">
        <v>928</v>
      </c>
      <c r="B82" s="2"/>
      <c r="C82" s="11"/>
      <c r="D82" s="11" t="s">
        <v>35</v>
      </c>
      <c r="E82" s="2"/>
      <c r="H82" s="6" t="s">
        <v>86</v>
      </c>
      <c r="J82" s="10"/>
      <c r="K82" s="10"/>
      <c r="L82" s="32"/>
      <c r="V82" s="10"/>
      <c r="X82" s="10"/>
      <c r="Y82" s="10"/>
      <c r="Z82" s="10"/>
      <c r="AA82" s="61"/>
      <c r="AC82" s="14"/>
      <c r="AG82" s="300"/>
    </row>
    <row r="83" spans="1:34" ht="14.25" customHeight="1">
      <c r="B83" s="2"/>
      <c r="C83" s="11"/>
      <c r="D83" s="11" t="s">
        <v>35</v>
      </c>
      <c r="E83" s="2"/>
      <c r="H83" s="12"/>
      <c r="J83" s="10"/>
      <c r="K83" s="10"/>
      <c r="L83" s="13"/>
      <c r="U83" s="10"/>
      <c r="V83" s="10"/>
      <c r="W83" s="10"/>
      <c r="X83" s="10"/>
      <c r="Y83" s="10"/>
      <c r="Z83" s="10"/>
      <c r="AA83" s="61"/>
      <c r="AC83" s="14"/>
      <c r="AG83" s="300"/>
    </row>
    <row r="84" spans="1:34" ht="24" customHeight="1">
      <c r="A84" s="370" t="s">
        <v>471</v>
      </c>
      <c r="B84" s="371"/>
      <c r="C84" s="372" t="s">
        <v>44</v>
      </c>
      <c r="D84" s="372" t="s">
        <v>35</v>
      </c>
      <c r="E84" s="371">
        <v>550480</v>
      </c>
      <c r="F84" s="373" t="s">
        <v>86</v>
      </c>
      <c r="G84" s="373" t="s">
        <v>87</v>
      </c>
      <c r="H84" s="374" t="s">
        <v>46</v>
      </c>
      <c r="I84" s="375">
        <v>4958</v>
      </c>
      <c r="J84" s="375" t="str">
        <f t="shared" ref="J84:J90" si="14">H84</f>
        <v>Retail</v>
      </c>
      <c r="K84" s="375">
        <v>5000</v>
      </c>
      <c r="L84" s="373" t="s">
        <v>88</v>
      </c>
      <c r="M84" s="384">
        <v>45699</v>
      </c>
      <c r="N84" s="377">
        <v>47524</v>
      </c>
      <c r="O84" s="378"/>
      <c r="P84" s="378"/>
      <c r="Q84" s="377">
        <v>46793</v>
      </c>
      <c r="R84" s="376">
        <v>0</v>
      </c>
      <c r="S84" s="376">
        <f t="shared" ref="S84:S90" si="15">Q84</f>
        <v>46793</v>
      </c>
      <c r="T84" s="378"/>
      <c r="U84" s="376">
        <v>337100</v>
      </c>
      <c r="V84" s="376">
        <f t="shared" ref="V84:V90" si="16">T84</f>
        <v>0</v>
      </c>
      <c r="W84" s="376">
        <v>380000</v>
      </c>
      <c r="X84" s="376">
        <f t="shared" ref="X84:X90" si="17">V84</f>
        <v>0</v>
      </c>
      <c r="Y84" s="379" t="e">
        <f t="shared" ref="Y84:Y89" si="18">T84/H84</f>
        <v>#VALUE!</v>
      </c>
      <c r="Z84" s="376" t="s">
        <v>58</v>
      </c>
      <c r="AA84" s="380"/>
      <c r="AB84" s="381"/>
      <c r="AC84" s="374" t="s">
        <v>40</v>
      </c>
      <c r="AD84" s="373" t="s">
        <v>89</v>
      </c>
      <c r="AE84" s="388">
        <v>68</v>
      </c>
      <c r="AF84" s="373">
        <v>1</v>
      </c>
      <c r="AG84" s="383">
        <v>13</v>
      </c>
      <c r="AH84" s="373" t="s">
        <v>90</v>
      </c>
    </row>
    <row r="85" spans="1:34" ht="24">
      <c r="A85" s="378" t="s">
        <v>471</v>
      </c>
      <c r="B85" s="371"/>
      <c r="C85" s="372" t="s">
        <v>44</v>
      </c>
      <c r="D85" s="372" t="s">
        <v>35</v>
      </c>
      <c r="E85" s="371">
        <v>550480</v>
      </c>
      <c r="F85" s="373" t="s">
        <v>86</v>
      </c>
      <c r="G85" s="373" t="s">
        <v>544</v>
      </c>
      <c r="H85" s="374" t="s">
        <v>37</v>
      </c>
      <c r="I85" s="375">
        <v>1862</v>
      </c>
      <c r="J85" s="375" t="str">
        <f t="shared" si="14"/>
        <v>Office</v>
      </c>
      <c r="K85" s="375">
        <v>2000</v>
      </c>
      <c r="L85" s="373" t="s">
        <v>545</v>
      </c>
      <c r="M85" s="384">
        <v>44452</v>
      </c>
      <c r="N85" s="377">
        <v>46277</v>
      </c>
      <c r="O85" s="378"/>
      <c r="P85" s="378"/>
      <c r="Q85" s="378"/>
      <c r="R85" s="376">
        <v>108170</v>
      </c>
      <c r="S85" s="376">
        <f t="shared" si="15"/>
        <v>0</v>
      </c>
      <c r="T85" s="378"/>
      <c r="U85" s="376">
        <v>107200</v>
      </c>
      <c r="V85" s="376">
        <f t="shared" si="16"/>
        <v>0</v>
      </c>
      <c r="W85" s="376">
        <v>114500</v>
      </c>
      <c r="X85" s="376">
        <f t="shared" si="17"/>
        <v>0</v>
      </c>
      <c r="Y85" s="379" t="e">
        <f t="shared" si="18"/>
        <v>#VALUE!</v>
      </c>
      <c r="Z85" s="376" t="s">
        <v>69</v>
      </c>
      <c r="AA85" s="380"/>
      <c r="AB85" s="381"/>
      <c r="AC85" s="374" t="s">
        <v>40</v>
      </c>
      <c r="AD85" s="378"/>
      <c r="AE85" s="378"/>
      <c r="AF85" s="378"/>
      <c r="AG85" s="383"/>
      <c r="AH85" s="378"/>
    </row>
    <row r="86" spans="1:34">
      <c r="A86" s="378" t="s">
        <v>471</v>
      </c>
      <c r="B86" s="371"/>
      <c r="C86" s="372" t="s">
        <v>44</v>
      </c>
      <c r="D86" s="372" t="s">
        <v>35</v>
      </c>
      <c r="E86" s="371">
        <v>550480</v>
      </c>
      <c r="F86" s="373" t="s">
        <v>86</v>
      </c>
      <c r="G86" s="373" t="s">
        <v>497</v>
      </c>
      <c r="H86" s="374" t="s">
        <v>37</v>
      </c>
      <c r="I86" s="375">
        <v>1818</v>
      </c>
      <c r="J86" s="375" t="str">
        <f t="shared" si="14"/>
        <v>Office</v>
      </c>
      <c r="K86" s="375">
        <v>2000</v>
      </c>
      <c r="L86" s="373" t="s">
        <v>68</v>
      </c>
      <c r="M86" s="378"/>
      <c r="N86" s="378"/>
      <c r="O86" s="384">
        <v>45609</v>
      </c>
      <c r="P86" s="378"/>
      <c r="Q86" s="378"/>
      <c r="R86" s="376">
        <v>0</v>
      </c>
      <c r="S86" s="376">
        <f t="shared" si="15"/>
        <v>0</v>
      </c>
      <c r="T86" s="378"/>
      <c r="U86" s="376">
        <v>105500</v>
      </c>
      <c r="V86" s="376">
        <f t="shared" si="16"/>
        <v>0</v>
      </c>
      <c r="W86" s="376">
        <v>109100</v>
      </c>
      <c r="X86" s="376">
        <f t="shared" si="17"/>
        <v>0</v>
      </c>
      <c r="Y86" s="379" t="e">
        <f t="shared" si="18"/>
        <v>#VALUE!</v>
      </c>
      <c r="Z86" s="376" t="s">
        <v>76</v>
      </c>
      <c r="AA86" s="380"/>
      <c r="AB86" s="381"/>
      <c r="AC86" s="374" t="s">
        <v>40</v>
      </c>
      <c r="AD86" s="373" t="s">
        <v>482</v>
      </c>
      <c r="AE86" s="388">
        <v>65</v>
      </c>
      <c r="AF86" s="378"/>
      <c r="AG86" s="383"/>
      <c r="AH86" s="378"/>
    </row>
    <row r="87" spans="1:34">
      <c r="A87" s="378" t="s">
        <v>471</v>
      </c>
      <c r="B87" s="371"/>
      <c r="C87" s="372" t="s">
        <v>44</v>
      </c>
      <c r="D87" s="372" t="s">
        <v>35</v>
      </c>
      <c r="E87" s="371">
        <v>550480</v>
      </c>
      <c r="F87" s="373" t="s">
        <v>86</v>
      </c>
      <c r="G87" s="373" t="s">
        <v>498</v>
      </c>
      <c r="H87" s="374" t="s">
        <v>37</v>
      </c>
      <c r="I87" s="375">
        <v>1808</v>
      </c>
      <c r="J87" s="375" t="str">
        <f t="shared" si="14"/>
        <v>Office</v>
      </c>
      <c r="K87" s="375">
        <v>2000</v>
      </c>
      <c r="L87" s="373" t="s">
        <v>68</v>
      </c>
      <c r="M87" s="378"/>
      <c r="N87" s="378"/>
      <c r="O87" s="384">
        <v>45609</v>
      </c>
      <c r="P87" s="378"/>
      <c r="Q87" s="378"/>
      <c r="R87" s="376">
        <v>0</v>
      </c>
      <c r="S87" s="376">
        <f t="shared" si="15"/>
        <v>0</v>
      </c>
      <c r="T87" s="378"/>
      <c r="U87" s="376">
        <v>108800</v>
      </c>
      <c r="V87" s="376">
        <f t="shared" si="16"/>
        <v>0</v>
      </c>
      <c r="W87" s="376">
        <v>108500</v>
      </c>
      <c r="X87" s="376">
        <f t="shared" si="17"/>
        <v>0</v>
      </c>
      <c r="Y87" s="379" t="e">
        <f t="shared" si="18"/>
        <v>#VALUE!</v>
      </c>
      <c r="Z87" s="376" t="s">
        <v>76</v>
      </c>
      <c r="AA87" s="380"/>
      <c r="AB87" s="381"/>
      <c r="AC87" s="374" t="s">
        <v>40</v>
      </c>
      <c r="AD87" s="373" t="s">
        <v>482</v>
      </c>
      <c r="AE87" s="388">
        <v>65</v>
      </c>
      <c r="AF87" s="378"/>
      <c r="AG87" s="383"/>
      <c r="AH87" s="378"/>
    </row>
    <row r="88" spans="1:34" ht="14.25" customHeight="1">
      <c r="A88" s="378" t="s">
        <v>471</v>
      </c>
      <c r="B88" s="371"/>
      <c r="C88" s="372" t="s">
        <v>44</v>
      </c>
      <c r="D88" s="372" t="s">
        <v>35</v>
      </c>
      <c r="E88" s="371">
        <v>550480</v>
      </c>
      <c r="F88" s="373" t="s">
        <v>86</v>
      </c>
      <c r="G88" s="373" t="s">
        <v>509</v>
      </c>
      <c r="H88" s="374" t="s">
        <v>37</v>
      </c>
      <c r="I88" s="375">
        <v>1672</v>
      </c>
      <c r="J88" s="375" t="str">
        <f t="shared" si="14"/>
        <v>Office</v>
      </c>
      <c r="K88" s="375">
        <v>1500</v>
      </c>
      <c r="L88" s="373" t="s">
        <v>68</v>
      </c>
      <c r="M88" s="378"/>
      <c r="N88" s="378"/>
      <c r="O88" s="377">
        <v>45457</v>
      </c>
      <c r="P88" s="378"/>
      <c r="Q88" s="378"/>
      <c r="R88" s="376">
        <v>0</v>
      </c>
      <c r="S88" s="376">
        <f t="shared" si="15"/>
        <v>0</v>
      </c>
      <c r="T88" s="378"/>
      <c r="U88" s="376">
        <v>94400</v>
      </c>
      <c r="V88" s="376">
        <f t="shared" si="16"/>
        <v>0</v>
      </c>
      <c r="W88" s="376">
        <v>97800</v>
      </c>
      <c r="X88" s="376">
        <f t="shared" si="17"/>
        <v>0</v>
      </c>
      <c r="Y88" s="379" t="e">
        <f t="shared" si="18"/>
        <v>#VALUE!</v>
      </c>
      <c r="Z88" s="376" t="s">
        <v>58</v>
      </c>
      <c r="AA88" s="380"/>
      <c r="AB88" s="381"/>
      <c r="AC88" s="374" t="s">
        <v>40</v>
      </c>
      <c r="AD88" s="373" t="s">
        <v>510</v>
      </c>
      <c r="AE88" s="388">
        <v>65</v>
      </c>
      <c r="AF88" s="373">
        <v>1</v>
      </c>
      <c r="AG88" s="383">
        <v>2</v>
      </c>
      <c r="AH88" s="373" t="s">
        <v>160</v>
      </c>
    </row>
    <row r="89" spans="1:34" ht="36">
      <c r="A89" s="378" t="s">
        <v>471</v>
      </c>
      <c r="B89" s="371"/>
      <c r="C89" s="372" t="s">
        <v>44</v>
      </c>
      <c r="D89" s="372" t="s">
        <v>35</v>
      </c>
      <c r="E89" s="371">
        <v>550480</v>
      </c>
      <c r="F89" s="373" t="s">
        <v>86</v>
      </c>
      <c r="G89" s="373" t="s">
        <v>546</v>
      </c>
      <c r="H89" s="374" t="s">
        <v>37</v>
      </c>
      <c r="I89" s="375">
        <v>995</v>
      </c>
      <c r="J89" s="375" t="str">
        <f t="shared" si="14"/>
        <v>Office</v>
      </c>
      <c r="K89" s="375">
        <v>1000</v>
      </c>
      <c r="L89" s="373" t="s">
        <v>247</v>
      </c>
      <c r="M89" s="384">
        <v>45609</v>
      </c>
      <c r="N89" s="377">
        <v>47434</v>
      </c>
      <c r="O89" s="378"/>
      <c r="P89" s="378"/>
      <c r="Q89" s="377">
        <v>46703</v>
      </c>
      <c r="R89" s="376">
        <v>61928</v>
      </c>
      <c r="S89" s="376">
        <f t="shared" si="15"/>
        <v>46703</v>
      </c>
      <c r="T89" s="378"/>
      <c r="U89" s="375">
        <v>61200</v>
      </c>
      <c r="V89" s="376">
        <f t="shared" si="16"/>
        <v>0</v>
      </c>
      <c r="W89" s="375">
        <v>57200</v>
      </c>
      <c r="X89" s="376">
        <f t="shared" si="17"/>
        <v>0</v>
      </c>
      <c r="Y89" s="379" t="e">
        <f t="shared" si="18"/>
        <v>#VALUE!</v>
      </c>
      <c r="Z89" s="376" t="s">
        <v>76</v>
      </c>
      <c r="AA89" s="380"/>
      <c r="AB89" s="381"/>
      <c r="AC89" s="374" t="s">
        <v>40</v>
      </c>
      <c r="AD89" s="373" t="s">
        <v>130</v>
      </c>
      <c r="AE89" s="382"/>
      <c r="AF89" s="378"/>
      <c r="AG89" s="383"/>
      <c r="AH89" s="378"/>
    </row>
    <row r="90" spans="1:34" ht="72">
      <c r="A90" s="378" t="s">
        <v>471</v>
      </c>
      <c r="B90" s="371"/>
      <c r="C90" s="372" t="s">
        <v>44</v>
      </c>
      <c r="D90" s="372" t="s">
        <v>35</v>
      </c>
      <c r="E90" s="371">
        <v>550480</v>
      </c>
      <c r="F90" s="373" t="s">
        <v>86</v>
      </c>
      <c r="G90" s="400" t="s">
        <v>104</v>
      </c>
      <c r="H90" s="374" t="s">
        <v>541</v>
      </c>
      <c r="I90" s="375">
        <v>0</v>
      </c>
      <c r="J90" s="375" t="str">
        <f t="shared" si="14"/>
        <v>Sub-Station</v>
      </c>
      <c r="K90" s="378"/>
      <c r="L90" s="373" t="s">
        <v>448</v>
      </c>
      <c r="M90" s="384">
        <v>39295</v>
      </c>
      <c r="N90" s="377">
        <v>46599</v>
      </c>
      <c r="O90" s="378"/>
      <c r="P90" s="377">
        <v>44409</v>
      </c>
      <c r="Q90" s="378"/>
      <c r="R90" s="376">
        <v>677</v>
      </c>
      <c r="S90" s="376">
        <f t="shared" si="15"/>
        <v>0</v>
      </c>
      <c r="T90" s="378"/>
      <c r="U90" s="375">
        <v>625</v>
      </c>
      <c r="V90" s="376">
        <f t="shared" si="16"/>
        <v>0</v>
      </c>
      <c r="W90" s="375">
        <v>625</v>
      </c>
      <c r="X90" s="376">
        <f t="shared" si="17"/>
        <v>0</v>
      </c>
      <c r="Y90" s="379"/>
      <c r="Z90" s="376"/>
      <c r="AA90" s="380"/>
      <c r="AB90" s="381"/>
      <c r="AC90" s="374" t="s">
        <v>40</v>
      </c>
      <c r="AD90" s="373" t="s">
        <v>547</v>
      </c>
      <c r="AE90" s="378"/>
      <c r="AF90" s="378"/>
      <c r="AG90" s="383"/>
      <c r="AH90" s="378"/>
    </row>
    <row r="91" spans="1:34" ht="14.25" customHeight="1">
      <c r="B91" s="2"/>
      <c r="C91" s="11"/>
      <c r="D91" s="11" t="s">
        <v>35</v>
      </c>
      <c r="E91" s="2"/>
      <c r="G91" s="32"/>
      <c r="J91" s="10"/>
      <c r="K91" s="10"/>
      <c r="U91" s="7"/>
      <c r="V91" s="10"/>
      <c r="W91" s="7"/>
      <c r="X91" s="10"/>
      <c r="Y91" s="10"/>
      <c r="Z91" s="10"/>
      <c r="AA91" s="61"/>
      <c r="AC91" s="14"/>
      <c r="AG91" s="300"/>
    </row>
    <row r="92" spans="1:34" ht="14.25" customHeight="1">
      <c r="B92" s="2"/>
      <c r="C92" s="11"/>
      <c r="D92" s="11" t="s">
        <v>35</v>
      </c>
      <c r="E92" s="2"/>
      <c r="G92" s="92" t="s">
        <v>548</v>
      </c>
      <c r="I92" s="18">
        <f>SUM(H84:H90)</f>
        <v>0</v>
      </c>
      <c r="J92" s="19"/>
      <c r="K92" s="19"/>
      <c r="R92" s="19">
        <f>SUM(Q84:Q90)</f>
        <v>93496</v>
      </c>
      <c r="S92" s="19"/>
      <c r="T92" s="19">
        <f>SUM(R83:R90)</f>
        <v>170775</v>
      </c>
      <c r="U92" s="19">
        <f>SUM(T84:T90)</f>
        <v>0</v>
      </c>
      <c r="V92" s="19"/>
      <c r="W92" s="19">
        <f>SUM(V84:V90)</f>
        <v>0</v>
      </c>
      <c r="X92" s="19"/>
      <c r="Y92" s="19"/>
      <c r="Z92" s="19"/>
      <c r="AA92" s="62"/>
      <c r="AB92" s="18">
        <v>13775000</v>
      </c>
      <c r="AC92" s="14"/>
      <c r="AF92" s="29"/>
      <c r="AG92" s="301"/>
      <c r="AH92" s="29"/>
    </row>
    <row r="93" spans="1:34" ht="14.25" customHeight="1">
      <c r="B93" s="2"/>
      <c r="C93" s="11"/>
      <c r="D93" s="11" t="s">
        <v>35</v>
      </c>
      <c r="E93" s="2"/>
      <c r="I93" s="18"/>
      <c r="J93" s="19"/>
      <c r="K93" s="19"/>
      <c r="R93" s="19"/>
      <c r="S93" s="19"/>
      <c r="T93" s="19"/>
      <c r="U93" s="19"/>
      <c r="V93" s="19"/>
      <c r="W93" s="19"/>
      <c r="X93" s="19"/>
      <c r="Y93" s="19"/>
      <c r="Z93" s="19"/>
      <c r="AA93" s="62"/>
      <c r="AB93" s="54"/>
      <c r="AC93" s="14"/>
      <c r="AG93" s="300"/>
    </row>
    <row r="94" spans="1:34" ht="14.25" customHeight="1">
      <c r="A94" t="s">
        <v>928</v>
      </c>
      <c r="B94" s="2"/>
      <c r="C94" s="11"/>
      <c r="D94" s="11" t="s">
        <v>35</v>
      </c>
      <c r="E94" s="2"/>
      <c r="H94" s="6" t="s">
        <v>91</v>
      </c>
      <c r="J94" s="10"/>
      <c r="K94" s="10"/>
      <c r="L94" s="32"/>
      <c r="V94" s="10"/>
      <c r="X94" s="10"/>
      <c r="Y94" s="10"/>
      <c r="Z94" s="10"/>
      <c r="AA94" s="61"/>
      <c r="AC94" s="14"/>
      <c r="AG94" s="300"/>
    </row>
    <row r="95" spans="1:34" ht="14.25" customHeight="1">
      <c r="B95" s="2"/>
      <c r="C95" s="11"/>
      <c r="D95" s="11" t="s">
        <v>35</v>
      </c>
      <c r="E95" s="2"/>
      <c r="H95" s="4"/>
      <c r="J95" s="10"/>
      <c r="K95" s="10"/>
      <c r="U95" s="10"/>
      <c r="V95" s="10"/>
      <c r="W95" s="10"/>
      <c r="X95" s="10"/>
      <c r="Y95" s="10"/>
      <c r="Z95" s="10"/>
      <c r="AA95" s="61"/>
      <c r="AC95" s="14"/>
      <c r="AG95" s="300"/>
    </row>
    <row r="96" spans="1:34" ht="24" customHeight="1">
      <c r="A96" t="s">
        <v>471</v>
      </c>
      <c r="B96" s="2"/>
      <c r="C96" s="11" t="s">
        <v>44</v>
      </c>
      <c r="D96" s="11" t="s">
        <v>35</v>
      </c>
      <c r="E96" s="2">
        <v>550530</v>
      </c>
      <c r="F96" s="4" t="s">
        <v>91</v>
      </c>
      <c r="G96" s="4" t="s">
        <v>36</v>
      </c>
      <c r="H96" s="14" t="s">
        <v>92</v>
      </c>
      <c r="I96" s="18">
        <v>9884</v>
      </c>
      <c r="J96" s="10" t="str">
        <f>H96</f>
        <v>Office/Bank</v>
      </c>
      <c r="K96" s="10">
        <v>10000</v>
      </c>
      <c r="L96" s="4" t="s">
        <v>93</v>
      </c>
      <c r="M96" s="8">
        <v>44856</v>
      </c>
      <c r="N96" s="9">
        <v>47411</v>
      </c>
      <c r="P96" s="9">
        <v>46682</v>
      </c>
      <c r="R96" s="19">
        <v>580000</v>
      </c>
      <c r="S96" s="10">
        <f>Q96</f>
        <v>0</v>
      </c>
      <c r="T96" s="19">
        <f>R96</f>
        <v>580000</v>
      </c>
      <c r="U96" s="19">
        <v>580000</v>
      </c>
      <c r="V96" s="10">
        <f>T96</f>
        <v>580000</v>
      </c>
      <c r="W96" s="19">
        <v>607100</v>
      </c>
      <c r="X96" s="10">
        <f>V96</f>
        <v>580000</v>
      </c>
      <c r="Y96" s="299" t="e">
        <f>T96/H96</f>
        <v>#VALUE!</v>
      </c>
      <c r="Z96" s="10" t="s">
        <v>58</v>
      </c>
      <c r="AA96" s="61"/>
      <c r="AB96" s="18">
        <v>10650000</v>
      </c>
      <c r="AC96" s="14" t="s">
        <v>94</v>
      </c>
      <c r="AG96" s="300"/>
    </row>
    <row r="97" spans="1:34" ht="14.25" customHeight="1">
      <c r="B97" s="2"/>
      <c r="C97" s="11"/>
      <c r="D97" s="11" t="s">
        <v>35</v>
      </c>
      <c r="E97" s="2"/>
      <c r="G97" s="92" t="s">
        <v>95</v>
      </c>
      <c r="I97" s="33">
        <f>SUM(H96:H96)</f>
        <v>0</v>
      </c>
      <c r="J97" s="18"/>
      <c r="K97" s="18"/>
      <c r="L97" s="34"/>
      <c r="M97" s="35"/>
      <c r="N97" s="36"/>
      <c r="O97" s="36"/>
      <c r="P97" s="36"/>
      <c r="Q97" s="36"/>
      <c r="R97" s="33">
        <f>SUM(Q96:Q96)</f>
        <v>0</v>
      </c>
      <c r="S97" s="33"/>
      <c r="T97" s="33"/>
      <c r="U97" s="33">
        <f>SUM(T96:T96)</f>
        <v>580000</v>
      </c>
      <c r="V97" s="33"/>
      <c r="W97" s="33">
        <f>SUM(V96:V96)</f>
        <v>580000</v>
      </c>
      <c r="X97" s="33"/>
      <c r="Y97" s="33"/>
      <c r="Z97" s="33"/>
      <c r="AA97" s="63"/>
      <c r="AB97" s="260"/>
      <c r="AC97" s="14"/>
      <c r="AG97" s="300"/>
    </row>
    <row r="98" spans="1:34" ht="14.25" customHeight="1">
      <c r="B98" s="2"/>
      <c r="C98" s="11"/>
      <c r="D98" s="11" t="s">
        <v>35</v>
      </c>
      <c r="E98" s="2"/>
      <c r="J98" s="10"/>
      <c r="K98" s="10"/>
      <c r="U98" s="10"/>
      <c r="V98" s="10"/>
      <c r="W98" s="10"/>
      <c r="X98" s="10"/>
      <c r="Y98" s="10"/>
      <c r="Z98" s="10"/>
      <c r="AA98" s="61"/>
      <c r="AC98" s="14"/>
      <c r="AG98" s="300"/>
    </row>
    <row r="99" spans="1:34" ht="14.25" customHeight="1">
      <c r="A99" t="s">
        <v>928</v>
      </c>
      <c r="B99" s="2"/>
      <c r="C99" s="11"/>
      <c r="D99" s="11" t="s">
        <v>35</v>
      </c>
      <c r="E99" s="2"/>
      <c r="H99" s="6" t="s">
        <v>96</v>
      </c>
      <c r="J99" s="10"/>
      <c r="K99" s="10"/>
      <c r="L99" s="32"/>
      <c r="V99" s="10"/>
      <c r="X99" s="10"/>
      <c r="Y99" s="10"/>
      <c r="Z99" s="10"/>
      <c r="AA99" s="61"/>
      <c r="AC99" s="14"/>
      <c r="AG99" s="300"/>
    </row>
    <row r="100" spans="1:34" ht="14.25" customHeight="1">
      <c r="B100" s="2"/>
      <c r="C100" s="11"/>
      <c r="D100" s="11" t="s">
        <v>35</v>
      </c>
      <c r="E100" s="2"/>
      <c r="H100" s="12"/>
      <c r="I100" s="24"/>
      <c r="J100" s="10"/>
      <c r="K100" s="10"/>
      <c r="L100" s="123"/>
      <c r="M100" s="127"/>
      <c r="N100" s="43"/>
      <c r="O100" s="43"/>
      <c r="P100" s="43"/>
      <c r="Q100" s="43"/>
      <c r="U100" s="10"/>
      <c r="V100" s="10"/>
      <c r="W100" s="10"/>
      <c r="X100" s="10"/>
      <c r="Y100" s="10"/>
      <c r="Z100" s="10"/>
      <c r="AA100" s="61"/>
      <c r="AC100" s="14"/>
      <c r="AG100" s="300"/>
    </row>
    <row r="101" spans="1:34" ht="72">
      <c r="A101" s="370" t="s">
        <v>471</v>
      </c>
      <c r="B101" s="371"/>
      <c r="C101" s="372" t="s">
        <v>97</v>
      </c>
      <c r="D101" s="372" t="s">
        <v>35</v>
      </c>
      <c r="E101" s="371">
        <v>550410</v>
      </c>
      <c r="F101" s="373" t="s">
        <v>98</v>
      </c>
      <c r="G101" s="373" t="s">
        <v>99</v>
      </c>
      <c r="H101" s="396" t="s">
        <v>100</v>
      </c>
      <c r="I101" s="375">
        <v>11225</v>
      </c>
      <c r="J101" s="375" t="str">
        <f>H101</f>
        <v xml:space="preserve">Restaurant </v>
      </c>
      <c r="K101" s="375">
        <v>10000</v>
      </c>
      <c r="L101" s="373" t="s">
        <v>101</v>
      </c>
      <c r="M101" s="384">
        <v>44729</v>
      </c>
      <c r="N101" s="377">
        <v>50207</v>
      </c>
      <c r="O101" s="378"/>
      <c r="P101" s="384">
        <v>46555</v>
      </c>
      <c r="Q101" s="384">
        <v>48381</v>
      </c>
      <c r="R101" s="376">
        <v>625000</v>
      </c>
      <c r="S101" s="376">
        <f>Q101</f>
        <v>48381</v>
      </c>
      <c r="T101" s="378"/>
      <c r="U101" s="376">
        <v>750000</v>
      </c>
      <c r="V101" s="376">
        <f>T101</f>
        <v>0</v>
      </c>
      <c r="W101" s="376">
        <v>650000</v>
      </c>
      <c r="X101" s="376">
        <f>V101</f>
        <v>0</v>
      </c>
      <c r="Y101" s="379" t="e">
        <f>T101/H101</f>
        <v>#VALUE!</v>
      </c>
      <c r="Z101" s="376" t="s">
        <v>58</v>
      </c>
      <c r="AA101" s="380"/>
      <c r="AB101" s="401"/>
      <c r="AC101" s="374" t="s">
        <v>40</v>
      </c>
      <c r="AD101" s="373" t="s">
        <v>102</v>
      </c>
      <c r="AE101" s="378"/>
      <c r="AF101" s="378"/>
      <c r="AG101" s="378"/>
      <c r="AH101" s="378"/>
    </row>
    <row r="102" spans="1:34">
      <c r="A102" s="378" t="s">
        <v>471</v>
      </c>
      <c r="B102" s="371"/>
      <c r="C102" s="372" t="s">
        <v>97</v>
      </c>
      <c r="D102" s="372" t="s">
        <v>35</v>
      </c>
      <c r="E102" s="371">
        <v>550410</v>
      </c>
      <c r="F102" s="373" t="s">
        <v>98</v>
      </c>
      <c r="G102" s="373" t="s">
        <v>549</v>
      </c>
      <c r="H102" s="374" t="s">
        <v>124</v>
      </c>
      <c r="I102" s="375">
        <v>2847</v>
      </c>
      <c r="J102" s="375" t="str">
        <f>H102</f>
        <v>Offices</v>
      </c>
      <c r="K102" s="375">
        <v>3000</v>
      </c>
      <c r="L102" s="373" t="s">
        <v>68</v>
      </c>
      <c r="M102" s="378"/>
      <c r="N102" s="378"/>
      <c r="O102" s="377">
        <v>45219</v>
      </c>
      <c r="P102" s="378"/>
      <c r="Q102" s="378"/>
      <c r="R102" s="376">
        <v>0</v>
      </c>
      <c r="S102" s="376">
        <f>Q102</f>
        <v>0</v>
      </c>
      <c r="T102" s="378"/>
      <c r="U102" s="376">
        <v>170000</v>
      </c>
      <c r="V102" s="376">
        <f>T102</f>
        <v>0</v>
      </c>
      <c r="W102" s="376">
        <v>185100</v>
      </c>
      <c r="X102" s="376">
        <f>V102</f>
        <v>0</v>
      </c>
      <c r="Y102" s="379" t="e">
        <f>T102/H102</f>
        <v>#VALUE!</v>
      </c>
      <c r="Z102" s="376" t="s">
        <v>58</v>
      </c>
      <c r="AA102" s="380"/>
      <c r="AB102" s="401"/>
      <c r="AC102" s="374" t="s">
        <v>40</v>
      </c>
      <c r="AD102" s="373" t="s">
        <v>482</v>
      </c>
      <c r="AE102" s="388">
        <v>70</v>
      </c>
      <c r="AF102" s="378"/>
      <c r="AG102" s="383">
        <v>7</v>
      </c>
      <c r="AH102" s="373" t="s">
        <v>550</v>
      </c>
    </row>
    <row r="103" spans="1:34" s="56" customFormat="1" ht="17.25" customHeight="1">
      <c r="A103" s="378" t="s">
        <v>471</v>
      </c>
      <c r="B103" s="371"/>
      <c r="C103" s="372" t="s">
        <v>97</v>
      </c>
      <c r="D103" s="372" t="s">
        <v>35</v>
      </c>
      <c r="E103" s="371">
        <v>550410</v>
      </c>
      <c r="F103" s="373" t="s">
        <v>98</v>
      </c>
      <c r="G103" s="373" t="s">
        <v>498</v>
      </c>
      <c r="H103" s="374" t="s">
        <v>124</v>
      </c>
      <c r="I103" s="375">
        <v>2651</v>
      </c>
      <c r="J103" s="375" t="str">
        <f>H103</f>
        <v>Offices</v>
      </c>
      <c r="K103" s="375">
        <v>2500</v>
      </c>
      <c r="L103" s="373" t="s">
        <v>68</v>
      </c>
      <c r="M103" s="384"/>
      <c r="N103" s="377"/>
      <c r="O103" s="377">
        <v>44124</v>
      </c>
      <c r="P103" s="377"/>
      <c r="Q103" s="377"/>
      <c r="R103" s="376">
        <v>0</v>
      </c>
      <c r="S103" s="376">
        <f>Q103</f>
        <v>0</v>
      </c>
      <c r="T103" s="376"/>
      <c r="U103" s="376">
        <v>172000</v>
      </c>
      <c r="V103" s="376">
        <f>T103</f>
        <v>0</v>
      </c>
      <c r="W103" s="376">
        <v>181600</v>
      </c>
      <c r="X103" s="376">
        <f>V103</f>
        <v>0</v>
      </c>
      <c r="Y103" s="379" t="e">
        <f>T103/H103</f>
        <v>#VALUE!</v>
      </c>
      <c r="Z103" s="376" t="s">
        <v>58</v>
      </c>
      <c r="AA103" s="380"/>
      <c r="AB103" s="401"/>
      <c r="AC103" s="374" t="s">
        <v>40</v>
      </c>
      <c r="AD103" s="373" t="s">
        <v>482</v>
      </c>
      <c r="AE103" s="388">
        <v>72.5</v>
      </c>
      <c r="AF103" s="373"/>
      <c r="AG103" s="383">
        <v>7</v>
      </c>
      <c r="AH103" s="373" t="s">
        <v>550</v>
      </c>
    </row>
    <row r="104" spans="1:34" s="56" customFormat="1" ht="24.75" customHeight="1">
      <c r="A104" s="378" t="s">
        <v>471</v>
      </c>
      <c r="B104" s="371"/>
      <c r="C104" s="372" t="s">
        <v>97</v>
      </c>
      <c r="D104" s="372" t="s">
        <v>35</v>
      </c>
      <c r="E104" s="371">
        <v>550410</v>
      </c>
      <c r="F104" s="373" t="s">
        <v>98</v>
      </c>
      <c r="G104" s="373" t="s">
        <v>509</v>
      </c>
      <c r="H104" s="374" t="s">
        <v>124</v>
      </c>
      <c r="I104" s="375">
        <v>1197</v>
      </c>
      <c r="J104" s="375" t="str">
        <f>H104</f>
        <v>Offices</v>
      </c>
      <c r="K104" s="375">
        <v>1000</v>
      </c>
      <c r="L104" s="373" t="s">
        <v>551</v>
      </c>
      <c r="M104" s="384">
        <v>44362</v>
      </c>
      <c r="N104" s="377">
        <v>48013</v>
      </c>
      <c r="O104" s="377"/>
      <c r="P104" s="377">
        <v>46197</v>
      </c>
      <c r="Q104" s="377">
        <v>46197</v>
      </c>
      <c r="R104" s="376">
        <v>80000</v>
      </c>
      <c r="S104" s="376">
        <f>Q104</f>
        <v>46197</v>
      </c>
      <c r="T104" s="376"/>
      <c r="U104" s="376">
        <v>80000</v>
      </c>
      <c r="V104" s="376">
        <f>T104</f>
        <v>0</v>
      </c>
      <c r="W104" s="376">
        <v>80800</v>
      </c>
      <c r="X104" s="376">
        <f>V104</f>
        <v>0</v>
      </c>
      <c r="Y104" s="379" t="e">
        <f>T104/H104</f>
        <v>#VALUE!</v>
      </c>
      <c r="Z104" s="376" t="s">
        <v>58</v>
      </c>
      <c r="AA104" s="380"/>
      <c r="AB104" s="401"/>
      <c r="AC104" s="374" t="s">
        <v>40</v>
      </c>
      <c r="AD104" s="373" t="s">
        <v>552</v>
      </c>
      <c r="AE104" s="388"/>
      <c r="AF104" s="373"/>
      <c r="AG104" s="383"/>
      <c r="AH104" s="373"/>
    </row>
    <row r="105" spans="1:34" ht="14.25" customHeight="1">
      <c r="B105" s="2"/>
      <c r="C105" s="11"/>
      <c r="D105" s="11" t="s">
        <v>35</v>
      </c>
      <c r="E105" s="2"/>
      <c r="J105" s="10"/>
      <c r="K105" s="10"/>
      <c r="U105" s="10"/>
      <c r="V105" s="10"/>
      <c r="W105" s="10"/>
      <c r="X105" s="10"/>
      <c r="Y105" s="10"/>
      <c r="Z105" s="10"/>
      <c r="AA105" s="61"/>
      <c r="AB105" s="54"/>
      <c r="AC105" s="14"/>
      <c r="AG105" s="300"/>
    </row>
    <row r="106" spans="1:34" ht="14.25" customHeight="1">
      <c r="B106" s="2"/>
      <c r="C106" s="11"/>
      <c r="D106" s="11" t="s">
        <v>35</v>
      </c>
      <c r="E106" s="2"/>
      <c r="G106" s="92" t="s">
        <v>553</v>
      </c>
      <c r="H106" s="51"/>
      <c r="I106" s="18">
        <f>SUM(H101:H104)</f>
        <v>0</v>
      </c>
      <c r="J106" s="19"/>
      <c r="K106" s="19"/>
      <c r="R106" s="19">
        <f>SUM(Q101:Q105)</f>
        <v>94578</v>
      </c>
      <c r="S106" s="19"/>
      <c r="T106" s="19">
        <f>SUM(R101:R105)</f>
        <v>705000</v>
      </c>
      <c r="U106" s="19">
        <f>SUM(T101:T105)</f>
        <v>0</v>
      </c>
      <c r="V106" s="19"/>
      <c r="W106" s="19">
        <f>SUM(V101:V105)</f>
        <v>0</v>
      </c>
      <c r="X106" s="19"/>
      <c r="Y106" s="19"/>
      <c r="Z106" s="19"/>
      <c r="AA106" s="62"/>
      <c r="AB106" s="18">
        <v>19100000</v>
      </c>
      <c r="AC106" s="14"/>
      <c r="AF106" s="29"/>
      <c r="AG106" s="301"/>
      <c r="AH106" s="29"/>
    </row>
    <row r="107" spans="1:34" ht="14.25" customHeight="1">
      <c r="B107" s="2"/>
      <c r="C107" s="11"/>
      <c r="D107" s="11" t="s">
        <v>35</v>
      </c>
      <c r="E107" s="2"/>
      <c r="H107" s="51"/>
      <c r="I107" s="18"/>
      <c r="J107" s="19"/>
      <c r="K107" s="19"/>
      <c r="R107" s="19"/>
      <c r="S107" s="19"/>
      <c r="T107" s="19"/>
      <c r="U107" s="19"/>
      <c r="V107" s="19"/>
      <c r="W107" s="19"/>
      <c r="X107" s="19"/>
      <c r="Y107" s="19"/>
      <c r="Z107" s="19"/>
      <c r="AA107" s="62"/>
      <c r="AB107" s="54"/>
      <c r="AC107" s="14"/>
      <c r="AG107" s="300"/>
    </row>
    <row r="108" spans="1:34" ht="14.25" customHeight="1">
      <c r="A108" t="s">
        <v>928</v>
      </c>
      <c r="B108" s="2"/>
      <c r="C108" s="11"/>
      <c r="D108" s="11" t="s">
        <v>35</v>
      </c>
      <c r="E108" s="2"/>
      <c r="H108" s="6" t="s">
        <v>103</v>
      </c>
      <c r="J108" s="10"/>
      <c r="K108" s="10"/>
      <c r="L108" s="32"/>
      <c r="V108" s="10"/>
      <c r="X108" s="10"/>
      <c r="Y108" s="10"/>
      <c r="Z108" s="10"/>
      <c r="AA108" s="61"/>
      <c r="AC108" s="14"/>
      <c r="AG108" s="300"/>
    </row>
    <row r="109" spans="1:34" ht="14.25" customHeight="1">
      <c r="B109" s="2"/>
      <c r="C109" s="11"/>
      <c r="D109" s="11" t="s">
        <v>35</v>
      </c>
      <c r="E109" s="2"/>
      <c r="H109" s="6"/>
      <c r="J109" s="10"/>
      <c r="K109" s="10"/>
      <c r="U109" s="10"/>
      <c r="V109" s="10"/>
      <c r="W109" s="10"/>
      <c r="X109" s="10"/>
      <c r="Y109" s="10"/>
      <c r="Z109" s="10"/>
      <c r="AA109" s="61"/>
      <c r="AC109" s="14"/>
      <c r="AG109" s="300"/>
    </row>
    <row r="110" spans="1:34" ht="24">
      <c r="A110" s="370" t="s">
        <v>471</v>
      </c>
      <c r="B110" s="371"/>
      <c r="C110" s="372" t="s">
        <v>60</v>
      </c>
      <c r="D110" s="372" t="s">
        <v>35</v>
      </c>
      <c r="E110" s="371">
        <v>550795</v>
      </c>
      <c r="F110" s="373" t="s">
        <v>103</v>
      </c>
      <c r="G110" s="373" t="s">
        <v>104</v>
      </c>
      <c r="H110" s="374" t="s">
        <v>105</v>
      </c>
      <c r="I110" s="375">
        <v>1330</v>
      </c>
      <c r="J110" s="375" t="str">
        <f t="shared" ref="J110:J119" si="19">H110</f>
        <v>Studio</v>
      </c>
      <c r="K110" s="378"/>
      <c r="L110" s="373" t="s">
        <v>106</v>
      </c>
      <c r="M110" s="378"/>
      <c r="N110" s="378"/>
      <c r="O110" s="377">
        <v>43670</v>
      </c>
      <c r="P110" s="378"/>
      <c r="Q110" s="378"/>
      <c r="R110" s="376">
        <v>0</v>
      </c>
      <c r="S110" s="376">
        <f t="shared" ref="S110:S119" si="20">Q110</f>
        <v>0</v>
      </c>
      <c r="T110" s="378"/>
      <c r="U110" s="376">
        <v>25000</v>
      </c>
      <c r="V110" s="376">
        <f t="shared" ref="V110:V119" si="21">T110</f>
        <v>0</v>
      </c>
      <c r="W110" s="376">
        <v>25000</v>
      </c>
      <c r="X110" s="376">
        <f t="shared" ref="X110:X119" si="22">V110</f>
        <v>0</v>
      </c>
      <c r="Y110" s="379" t="e">
        <f t="shared" ref="Y110:Y119" si="23">T110/H110</f>
        <v>#VALUE!</v>
      </c>
      <c r="Z110" s="376" t="s">
        <v>69</v>
      </c>
      <c r="AA110" s="380"/>
      <c r="AB110" s="381"/>
      <c r="AC110" s="374" t="s">
        <v>40</v>
      </c>
      <c r="AD110" s="378"/>
      <c r="AE110" s="378"/>
      <c r="AF110" s="378"/>
      <c r="AG110" s="383"/>
      <c r="AH110" s="378"/>
    </row>
    <row r="111" spans="1:34" ht="36">
      <c r="A111" s="378" t="s">
        <v>471</v>
      </c>
      <c r="B111" s="371"/>
      <c r="C111" s="372" t="s">
        <v>60</v>
      </c>
      <c r="D111" s="372" t="s">
        <v>35</v>
      </c>
      <c r="E111" s="371">
        <v>550795</v>
      </c>
      <c r="F111" s="373" t="s">
        <v>103</v>
      </c>
      <c r="G111" s="373" t="s">
        <v>107</v>
      </c>
      <c r="H111" s="374" t="s">
        <v>46</v>
      </c>
      <c r="I111" s="375">
        <v>260</v>
      </c>
      <c r="J111" s="375" t="str">
        <f t="shared" si="19"/>
        <v>Retail</v>
      </c>
      <c r="K111" s="375">
        <v>250</v>
      </c>
      <c r="L111" s="373" t="s">
        <v>108</v>
      </c>
      <c r="M111" s="384">
        <v>45645</v>
      </c>
      <c r="N111" s="377">
        <v>46739</v>
      </c>
      <c r="O111" s="378"/>
      <c r="P111" s="378"/>
      <c r="Q111" s="378"/>
      <c r="R111" s="376">
        <v>18000</v>
      </c>
      <c r="S111" s="376">
        <f t="shared" si="20"/>
        <v>0</v>
      </c>
      <c r="T111" s="378"/>
      <c r="U111" s="376">
        <v>11700</v>
      </c>
      <c r="V111" s="376">
        <f t="shared" si="21"/>
        <v>0</v>
      </c>
      <c r="W111" s="376">
        <v>11700</v>
      </c>
      <c r="X111" s="376">
        <f t="shared" si="22"/>
        <v>0</v>
      </c>
      <c r="Y111" s="379" t="e">
        <f t="shared" si="23"/>
        <v>#VALUE!</v>
      </c>
      <c r="Z111" s="376" t="s">
        <v>39</v>
      </c>
      <c r="AA111" s="380"/>
      <c r="AB111" s="381"/>
      <c r="AC111" s="374" t="s">
        <v>40</v>
      </c>
      <c r="AD111" s="378"/>
      <c r="AE111" s="378"/>
      <c r="AF111" s="378"/>
      <c r="AG111" s="383">
        <v>1</v>
      </c>
      <c r="AH111" s="373" t="s">
        <v>109</v>
      </c>
    </row>
    <row r="112" spans="1:34" ht="14.25" customHeight="1">
      <c r="A112" s="378" t="s">
        <v>471</v>
      </c>
      <c r="B112" s="371"/>
      <c r="C112" s="372" t="s">
        <v>60</v>
      </c>
      <c r="D112" s="372" t="s">
        <v>35</v>
      </c>
      <c r="E112" s="371">
        <v>550795</v>
      </c>
      <c r="F112" s="373" t="s">
        <v>103</v>
      </c>
      <c r="G112" s="391" t="s">
        <v>110</v>
      </c>
      <c r="H112" s="396" t="s">
        <v>46</v>
      </c>
      <c r="I112" s="375">
        <v>652</v>
      </c>
      <c r="J112" s="375" t="str">
        <f t="shared" si="19"/>
        <v>Retail</v>
      </c>
      <c r="K112" s="375">
        <v>750</v>
      </c>
      <c r="L112" s="373" t="s">
        <v>111</v>
      </c>
      <c r="M112" s="384">
        <v>44851</v>
      </c>
      <c r="N112" s="377">
        <v>48503</v>
      </c>
      <c r="O112" s="378"/>
      <c r="P112" s="377">
        <v>46677</v>
      </c>
      <c r="Q112" s="378"/>
      <c r="R112" s="376">
        <v>55000</v>
      </c>
      <c r="S112" s="376">
        <f t="shared" si="20"/>
        <v>0</v>
      </c>
      <c r="T112" s="378"/>
      <c r="U112" s="376">
        <v>55000</v>
      </c>
      <c r="V112" s="376">
        <f t="shared" si="21"/>
        <v>0</v>
      </c>
      <c r="W112" s="376">
        <v>55000</v>
      </c>
      <c r="X112" s="376">
        <f t="shared" si="22"/>
        <v>0</v>
      </c>
      <c r="Y112" s="379" t="e">
        <f t="shared" si="23"/>
        <v>#VALUE!</v>
      </c>
      <c r="Z112" s="376" t="s">
        <v>69</v>
      </c>
      <c r="AA112" s="380"/>
      <c r="AB112" s="381"/>
      <c r="AC112" s="374" t="s">
        <v>40</v>
      </c>
      <c r="AD112" s="378"/>
      <c r="AE112" s="378"/>
      <c r="AF112" s="378"/>
      <c r="AG112" s="383"/>
      <c r="AH112" s="378"/>
    </row>
    <row r="113" spans="1:34" ht="24">
      <c r="A113" s="378" t="s">
        <v>471</v>
      </c>
      <c r="B113" s="371"/>
      <c r="C113" s="372" t="s">
        <v>60</v>
      </c>
      <c r="D113" s="372" t="s">
        <v>35</v>
      </c>
      <c r="E113" s="371">
        <v>550795</v>
      </c>
      <c r="F113" s="373" t="s">
        <v>103</v>
      </c>
      <c r="G113" s="373" t="s">
        <v>554</v>
      </c>
      <c r="H113" s="374" t="s">
        <v>124</v>
      </c>
      <c r="I113" s="375">
        <v>558</v>
      </c>
      <c r="J113" s="375" t="str">
        <f t="shared" si="19"/>
        <v>Offices</v>
      </c>
      <c r="K113" s="375">
        <v>500</v>
      </c>
      <c r="L113" s="373" t="s">
        <v>555</v>
      </c>
      <c r="M113" s="384">
        <v>45114</v>
      </c>
      <c r="N113" s="377">
        <v>46940</v>
      </c>
      <c r="O113" s="378"/>
      <c r="P113" s="378"/>
      <c r="Q113" s="377">
        <v>46209</v>
      </c>
      <c r="R113" s="376">
        <v>32400</v>
      </c>
      <c r="S113" s="376">
        <f t="shared" si="20"/>
        <v>46209</v>
      </c>
      <c r="T113" s="378"/>
      <c r="U113" s="376">
        <v>29300</v>
      </c>
      <c r="V113" s="376">
        <f t="shared" si="21"/>
        <v>0</v>
      </c>
      <c r="W113" s="376">
        <v>29300</v>
      </c>
      <c r="X113" s="376">
        <f t="shared" si="22"/>
        <v>0</v>
      </c>
      <c r="Y113" s="379" t="e">
        <f t="shared" si="23"/>
        <v>#VALUE!</v>
      </c>
      <c r="Z113" s="376" t="s">
        <v>39</v>
      </c>
      <c r="AA113" s="380"/>
      <c r="AB113" s="381"/>
      <c r="AC113" s="374" t="s">
        <v>40</v>
      </c>
      <c r="AD113" s="373" t="s">
        <v>130</v>
      </c>
      <c r="AE113" s="378"/>
      <c r="AF113" s="378"/>
      <c r="AG113" s="383"/>
      <c r="AH113" s="378"/>
    </row>
    <row r="114" spans="1:34" ht="24" customHeight="1">
      <c r="A114" s="378" t="s">
        <v>471</v>
      </c>
      <c r="B114" s="371"/>
      <c r="C114" s="372" t="s">
        <v>60</v>
      </c>
      <c r="D114" s="372" t="s">
        <v>35</v>
      </c>
      <c r="E114" s="371">
        <v>550795</v>
      </c>
      <c r="F114" s="373" t="s">
        <v>103</v>
      </c>
      <c r="G114" s="373" t="s">
        <v>556</v>
      </c>
      <c r="H114" s="374" t="s">
        <v>124</v>
      </c>
      <c r="I114" s="375">
        <v>310</v>
      </c>
      <c r="J114" s="375" t="str">
        <f t="shared" si="19"/>
        <v>Offices</v>
      </c>
      <c r="K114" s="375">
        <v>250</v>
      </c>
      <c r="L114" s="385" t="s">
        <v>557</v>
      </c>
      <c r="M114" s="384">
        <v>44043</v>
      </c>
      <c r="N114" s="377">
        <v>45868</v>
      </c>
      <c r="O114" s="378"/>
      <c r="P114" s="378"/>
      <c r="Q114" s="378"/>
      <c r="R114" s="376">
        <v>15500</v>
      </c>
      <c r="S114" s="376">
        <f t="shared" si="20"/>
        <v>0</v>
      </c>
      <c r="T114" s="378"/>
      <c r="U114" s="376">
        <v>15500</v>
      </c>
      <c r="V114" s="376">
        <f t="shared" si="21"/>
        <v>0</v>
      </c>
      <c r="W114" s="376">
        <v>15500</v>
      </c>
      <c r="X114" s="376">
        <f t="shared" si="22"/>
        <v>0</v>
      </c>
      <c r="Y114" s="379" t="e">
        <f t="shared" si="23"/>
        <v>#VALUE!</v>
      </c>
      <c r="Z114" s="376" t="s">
        <v>39</v>
      </c>
      <c r="AA114" s="380"/>
      <c r="AB114" s="381"/>
      <c r="AC114" s="374" t="s">
        <v>40</v>
      </c>
      <c r="AD114" s="373" t="s">
        <v>558</v>
      </c>
      <c r="AE114" s="378"/>
      <c r="AF114" s="378"/>
      <c r="AG114" s="383"/>
      <c r="AH114" s="378"/>
    </row>
    <row r="115" spans="1:34" ht="23.25" customHeight="1">
      <c r="A115" s="378" t="s">
        <v>471</v>
      </c>
      <c r="B115" s="371"/>
      <c r="C115" s="372" t="s">
        <v>60</v>
      </c>
      <c r="D115" s="372" t="s">
        <v>35</v>
      </c>
      <c r="E115" s="371">
        <v>550795</v>
      </c>
      <c r="F115" s="373" t="s">
        <v>103</v>
      </c>
      <c r="G115" s="373" t="s">
        <v>559</v>
      </c>
      <c r="H115" s="374" t="s">
        <v>124</v>
      </c>
      <c r="I115" s="375">
        <v>455</v>
      </c>
      <c r="J115" s="375" t="str">
        <f t="shared" si="19"/>
        <v>Offices</v>
      </c>
      <c r="K115" s="375">
        <v>500</v>
      </c>
      <c r="L115" s="373" t="s">
        <v>560</v>
      </c>
      <c r="M115" s="384">
        <v>44505</v>
      </c>
      <c r="N115" s="377">
        <v>45965</v>
      </c>
      <c r="O115" s="378"/>
      <c r="P115" s="378"/>
      <c r="Q115" s="378"/>
      <c r="R115" s="376">
        <v>22800</v>
      </c>
      <c r="S115" s="376">
        <f t="shared" si="20"/>
        <v>0</v>
      </c>
      <c r="T115" s="378"/>
      <c r="U115" s="376">
        <v>22800</v>
      </c>
      <c r="V115" s="376">
        <f t="shared" si="21"/>
        <v>0</v>
      </c>
      <c r="W115" s="376">
        <v>22800</v>
      </c>
      <c r="X115" s="376">
        <f t="shared" si="22"/>
        <v>0</v>
      </c>
      <c r="Y115" s="379" t="e">
        <f t="shared" si="23"/>
        <v>#VALUE!</v>
      </c>
      <c r="Z115" s="376" t="s">
        <v>76</v>
      </c>
      <c r="AA115" s="380"/>
      <c r="AB115" s="381"/>
      <c r="AC115" s="374" t="s">
        <v>40</v>
      </c>
      <c r="AD115" s="373" t="s">
        <v>561</v>
      </c>
      <c r="AE115" s="378"/>
      <c r="AF115" s="378"/>
      <c r="AG115" s="383"/>
      <c r="AH115" s="378"/>
    </row>
    <row r="116" spans="1:34" ht="48">
      <c r="A116" s="378" t="s">
        <v>471</v>
      </c>
      <c r="B116" s="371"/>
      <c r="C116" s="372" t="s">
        <v>60</v>
      </c>
      <c r="D116" s="372" t="s">
        <v>35</v>
      </c>
      <c r="E116" s="371">
        <v>550795</v>
      </c>
      <c r="F116" s="373" t="s">
        <v>103</v>
      </c>
      <c r="G116" s="373" t="s">
        <v>562</v>
      </c>
      <c r="H116" s="374" t="s">
        <v>124</v>
      </c>
      <c r="I116" s="375">
        <v>310</v>
      </c>
      <c r="J116" s="375" t="str">
        <f t="shared" si="19"/>
        <v>Offices</v>
      </c>
      <c r="K116" s="375">
        <v>250</v>
      </c>
      <c r="L116" s="373" t="s">
        <v>563</v>
      </c>
      <c r="M116" s="384">
        <v>44032</v>
      </c>
      <c r="N116" s="377">
        <v>45857</v>
      </c>
      <c r="O116" s="378"/>
      <c r="P116" s="378"/>
      <c r="Q116" s="378"/>
      <c r="R116" s="376">
        <v>15500</v>
      </c>
      <c r="S116" s="376">
        <f t="shared" si="20"/>
        <v>0</v>
      </c>
      <c r="T116" s="378"/>
      <c r="U116" s="376">
        <v>15500</v>
      </c>
      <c r="V116" s="376">
        <f t="shared" si="21"/>
        <v>0</v>
      </c>
      <c r="W116" s="376">
        <v>15500</v>
      </c>
      <c r="X116" s="376">
        <f t="shared" si="22"/>
        <v>0</v>
      </c>
      <c r="Y116" s="379" t="e">
        <f t="shared" si="23"/>
        <v>#VALUE!</v>
      </c>
      <c r="Z116" s="376" t="s">
        <v>76</v>
      </c>
      <c r="AA116" s="380"/>
      <c r="AB116" s="381"/>
      <c r="AC116" s="374" t="s">
        <v>40</v>
      </c>
      <c r="AD116" s="373" t="s">
        <v>564</v>
      </c>
      <c r="AE116" s="378"/>
      <c r="AF116" s="378"/>
      <c r="AG116" s="383"/>
      <c r="AH116" s="378"/>
    </row>
    <row r="117" spans="1:34" ht="48">
      <c r="A117" s="378" t="s">
        <v>471</v>
      </c>
      <c r="B117" s="371"/>
      <c r="C117" s="372" t="s">
        <v>60</v>
      </c>
      <c r="D117" s="372" t="s">
        <v>35</v>
      </c>
      <c r="E117" s="371">
        <v>550795</v>
      </c>
      <c r="F117" s="373" t="s">
        <v>103</v>
      </c>
      <c r="G117" s="373" t="s">
        <v>565</v>
      </c>
      <c r="H117" s="374" t="s">
        <v>124</v>
      </c>
      <c r="I117" s="375">
        <v>450</v>
      </c>
      <c r="J117" s="375" t="str">
        <f t="shared" si="19"/>
        <v>Offices</v>
      </c>
      <c r="K117" s="375">
        <v>500</v>
      </c>
      <c r="L117" s="373" t="s">
        <v>560</v>
      </c>
      <c r="M117" s="384">
        <v>45199</v>
      </c>
      <c r="N117" s="377">
        <v>47025</v>
      </c>
      <c r="O117" s="378"/>
      <c r="P117" s="378"/>
      <c r="Q117" s="377">
        <v>46294</v>
      </c>
      <c r="R117" s="376">
        <v>24750</v>
      </c>
      <c r="S117" s="376">
        <f t="shared" si="20"/>
        <v>46294</v>
      </c>
      <c r="T117" s="378"/>
      <c r="U117" s="376">
        <v>22838</v>
      </c>
      <c r="V117" s="376">
        <f t="shared" si="21"/>
        <v>0</v>
      </c>
      <c r="W117" s="376">
        <v>22500</v>
      </c>
      <c r="X117" s="376">
        <f t="shared" si="22"/>
        <v>0</v>
      </c>
      <c r="Y117" s="379" t="e">
        <f t="shared" si="23"/>
        <v>#VALUE!</v>
      </c>
      <c r="Z117" s="376" t="s">
        <v>76</v>
      </c>
      <c r="AA117" s="380"/>
      <c r="AB117" s="381"/>
      <c r="AC117" s="374" t="s">
        <v>40</v>
      </c>
      <c r="AD117" s="373" t="s">
        <v>566</v>
      </c>
      <c r="AE117" s="378"/>
      <c r="AF117" s="378"/>
      <c r="AG117" s="383"/>
      <c r="AH117" s="378"/>
    </row>
    <row r="118" spans="1:34" ht="48">
      <c r="A118" s="378" t="s">
        <v>471</v>
      </c>
      <c r="B118" s="371"/>
      <c r="C118" s="372" t="s">
        <v>60</v>
      </c>
      <c r="D118" s="372" t="s">
        <v>35</v>
      </c>
      <c r="E118" s="371">
        <v>550795</v>
      </c>
      <c r="F118" s="373" t="s">
        <v>103</v>
      </c>
      <c r="G118" s="373" t="s">
        <v>567</v>
      </c>
      <c r="H118" s="374" t="s">
        <v>124</v>
      </c>
      <c r="I118" s="375">
        <v>215</v>
      </c>
      <c r="J118" s="375" t="str">
        <f t="shared" si="19"/>
        <v>Offices</v>
      </c>
      <c r="K118" s="375">
        <v>250</v>
      </c>
      <c r="L118" s="373" t="s">
        <v>557</v>
      </c>
      <c r="M118" s="384">
        <v>44043</v>
      </c>
      <c r="N118" s="377">
        <v>45868</v>
      </c>
      <c r="O118" s="378"/>
      <c r="P118" s="378"/>
      <c r="Q118" s="378"/>
      <c r="R118" s="376">
        <v>11502</v>
      </c>
      <c r="S118" s="376">
        <f t="shared" si="20"/>
        <v>0</v>
      </c>
      <c r="T118" s="378"/>
      <c r="U118" s="376">
        <v>10200</v>
      </c>
      <c r="V118" s="376">
        <f t="shared" si="21"/>
        <v>0</v>
      </c>
      <c r="W118" s="376">
        <v>10200</v>
      </c>
      <c r="X118" s="376">
        <f t="shared" si="22"/>
        <v>0</v>
      </c>
      <c r="Y118" s="379" t="e">
        <f t="shared" si="23"/>
        <v>#VALUE!</v>
      </c>
      <c r="Z118" s="376" t="s">
        <v>76</v>
      </c>
      <c r="AA118" s="380"/>
      <c r="AB118" s="381"/>
      <c r="AC118" s="374" t="s">
        <v>40</v>
      </c>
      <c r="AD118" s="373" t="s">
        <v>568</v>
      </c>
      <c r="AE118" s="378"/>
      <c r="AF118" s="378"/>
      <c r="AG118" s="383"/>
      <c r="AH118" s="378"/>
    </row>
    <row r="119" spans="1:34" ht="60">
      <c r="A119" s="378" t="s">
        <v>471</v>
      </c>
      <c r="B119" s="371"/>
      <c r="C119" s="372" t="s">
        <v>60</v>
      </c>
      <c r="D119" s="372" t="s">
        <v>35</v>
      </c>
      <c r="E119" s="371">
        <v>550795</v>
      </c>
      <c r="F119" s="373" t="s">
        <v>103</v>
      </c>
      <c r="G119" s="373" t="s">
        <v>509</v>
      </c>
      <c r="H119" s="374" t="s">
        <v>124</v>
      </c>
      <c r="I119" s="375">
        <v>410</v>
      </c>
      <c r="J119" s="375" t="str">
        <f t="shared" si="19"/>
        <v>Offices</v>
      </c>
      <c r="K119" s="375">
        <v>500</v>
      </c>
      <c r="L119" s="373" t="s">
        <v>560</v>
      </c>
      <c r="M119" s="384">
        <v>45199</v>
      </c>
      <c r="N119" s="377">
        <v>47025</v>
      </c>
      <c r="O119" s="378"/>
      <c r="P119" s="378"/>
      <c r="Q119" s="377">
        <v>46294</v>
      </c>
      <c r="R119" s="376">
        <v>22550</v>
      </c>
      <c r="S119" s="376">
        <f t="shared" si="20"/>
        <v>46294</v>
      </c>
      <c r="T119" s="378"/>
      <c r="U119" s="376">
        <v>21100</v>
      </c>
      <c r="V119" s="376">
        <f t="shared" si="21"/>
        <v>0</v>
      </c>
      <c r="W119" s="376">
        <v>21100</v>
      </c>
      <c r="X119" s="376">
        <f t="shared" si="22"/>
        <v>0</v>
      </c>
      <c r="Y119" s="379" t="e">
        <f t="shared" si="23"/>
        <v>#VALUE!</v>
      </c>
      <c r="Z119" s="376" t="s">
        <v>69</v>
      </c>
      <c r="AA119" s="380"/>
      <c r="AB119" s="381"/>
      <c r="AC119" s="374" t="s">
        <v>40</v>
      </c>
      <c r="AD119" s="373" t="s">
        <v>569</v>
      </c>
      <c r="AE119" s="378"/>
      <c r="AF119" s="378"/>
      <c r="AG119" s="383"/>
      <c r="AH119" s="378"/>
    </row>
    <row r="120" spans="1:34" ht="14.25" customHeight="1">
      <c r="B120" s="2"/>
      <c r="C120" s="11"/>
      <c r="D120" s="11" t="s">
        <v>35</v>
      </c>
      <c r="E120" s="2"/>
      <c r="J120" s="10"/>
      <c r="K120" s="10"/>
      <c r="U120" s="10"/>
      <c r="V120" s="10"/>
      <c r="W120" s="10"/>
      <c r="X120" s="10"/>
      <c r="Y120" s="10"/>
      <c r="Z120" s="10"/>
      <c r="AA120" s="61"/>
      <c r="AC120" s="14"/>
      <c r="AG120" s="300"/>
    </row>
    <row r="121" spans="1:34" ht="14.25" customHeight="1">
      <c r="B121" s="2"/>
      <c r="C121" s="11"/>
      <c r="D121" s="11" t="s">
        <v>35</v>
      </c>
      <c r="E121" s="2"/>
      <c r="G121" s="92" t="s">
        <v>103</v>
      </c>
      <c r="I121" s="18">
        <f>SUM(H110:H119)</f>
        <v>0</v>
      </c>
      <c r="J121" s="19"/>
      <c r="K121" s="19"/>
      <c r="R121" s="19">
        <f>SUM(Q110:Q119)</f>
        <v>138797</v>
      </c>
      <c r="S121" s="19"/>
      <c r="T121" s="19">
        <f>SUM(R109:R120)</f>
        <v>218002</v>
      </c>
      <c r="U121" s="19">
        <f>SUM(T110:T119)</f>
        <v>0</v>
      </c>
      <c r="V121" s="19"/>
      <c r="W121" s="19">
        <f>SUM(V110:V119)</f>
        <v>0</v>
      </c>
      <c r="X121" s="19"/>
      <c r="Y121" s="19"/>
      <c r="Z121" s="19"/>
      <c r="AA121" s="62"/>
      <c r="AB121" s="18">
        <v>3225000</v>
      </c>
      <c r="AC121" s="14"/>
      <c r="AG121" s="300"/>
    </row>
    <row r="122" spans="1:34" ht="14.25" customHeight="1">
      <c r="B122" s="2"/>
      <c r="C122" s="11"/>
      <c r="D122" s="11" t="s">
        <v>35</v>
      </c>
      <c r="E122" s="2"/>
      <c r="I122" s="18"/>
      <c r="J122" s="19"/>
      <c r="K122" s="19"/>
      <c r="R122" s="19"/>
      <c r="S122" s="19"/>
      <c r="T122" s="19"/>
      <c r="U122" s="19"/>
      <c r="V122" s="19"/>
      <c r="W122" s="19"/>
      <c r="X122" s="19"/>
      <c r="Y122" s="19"/>
      <c r="Z122" s="19"/>
      <c r="AA122" s="62"/>
      <c r="AB122" s="54"/>
      <c r="AC122" s="14"/>
      <c r="AG122" s="300"/>
    </row>
    <row r="123" spans="1:34" ht="14.25" customHeight="1">
      <c r="A123" t="s">
        <v>928</v>
      </c>
      <c r="B123" s="2"/>
      <c r="C123" s="11"/>
      <c r="D123" s="11" t="s">
        <v>35</v>
      </c>
      <c r="E123" s="2"/>
      <c r="H123" s="6" t="s">
        <v>112</v>
      </c>
      <c r="J123" s="10"/>
      <c r="K123" s="10"/>
      <c r="L123" s="32"/>
      <c r="V123" s="10"/>
      <c r="X123" s="10"/>
      <c r="Y123" s="10"/>
      <c r="Z123" s="10"/>
      <c r="AA123" s="61"/>
      <c r="AC123" s="14"/>
      <c r="AG123" s="300"/>
    </row>
    <row r="124" spans="1:34" ht="14.25" customHeight="1">
      <c r="B124" s="2"/>
      <c r="C124" s="11"/>
      <c r="D124" s="11" t="s">
        <v>35</v>
      </c>
      <c r="E124" s="2"/>
      <c r="H124" s="6"/>
      <c r="J124" s="10"/>
      <c r="K124" s="10"/>
      <c r="U124" s="10"/>
      <c r="V124" s="10"/>
      <c r="W124" s="10"/>
      <c r="X124" s="10"/>
      <c r="Y124" s="10"/>
      <c r="Z124" s="10"/>
      <c r="AA124" s="61"/>
      <c r="AC124" s="14"/>
      <c r="AG124" s="300"/>
    </row>
    <row r="125" spans="1:34" ht="23.25" customHeight="1">
      <c r="A125" s="370" t="s">
        <v>471</v>
      </c>
      <c r="B125" s="371"/>
      <c r="C125" s="372" t="s">
        <v>60</v>
      </c>
      <c r="D125" s="372" t="s">
        <v>35</v>
      </c>
      <c r="E125" s="371">
        <v>550080</v>
      </c>
      <c r="F125" s="373" t="s">
        <v>112</v>
      </c>
      <c r="G125" s="373" t="s">
        <v>66</v>
      </c>
      <c r="H125" s="374" t="s">
        <v>83</v>
      </c>
      <c r="I125" s="375">
        <v>3626</v>
      </c>
      <c r="J125" s="375" t="str">
        <f>H125</f>
        <v>Restaurant</v>
      </c>
      <c r="K125" s="375">
        <v>3500</v>
      </c>
      <c r="L125" s="373" t="s">
        <v>113</v>
      </c>
      <c r="M125" s="384">
        <v>44635</v>
      </c>
      <c r="N125" s="377">
        <v>48287</v>
      </c>
      <c r="O125" s="378"/>
      <c r="P125" s="377">
        <v>46461</v>
      </c>
      <c r="Q125" s="377">
        <v>46460</v>
      </c>
      <c r="R125" s="376">
        <v>220000</v>
      </c>
      <c r="S125" s="376">
        <f>Q125</f>
        <v>46460</v>
      </c>
      <c r="T125" s="378"/>
      <c r="U125" s="376">
        <v>210000</v>
      </c>
      <c r="V125" s="376">
        <f>T125</f>
        <v>0</v>
      </c>
      <c r="W125" s="376">
        <v>227900</v>
      </c>
      <c r="X125" s="376">
        <f>V125</f>
        <v>0</v>
      </c>
      <c r="Y125" s="379" t="e">
        <f>T125/H125</f>
        <v>#VALUE!</v>
      </c>
      <c r="Z125" s="376" t="s">
        <v>69</v>
      </c>
      <c r="AA125" s="380"/>
      <c r="AB125" s="381"/>
      <c r="AC125" s="374" t="s">
        <v>40</v>
      </c>
      <c r="AD125" s="373" t="s">
        <v>114</v>
      </c>
      <c r="AE125" s="378"/>
      <c r="AF125" s="378"/>
      <c r="AG125" s="383"/>
      <c r="AH125" s="378"/>
    </row>
    <row r="126" spans="1:34" ht="14.25" customHeight="1">
      <c r="A126" s="378" t="s">
        <v>471</v>
      </c>
      <c r="B126" s="371"/>
      <c r="C126" s="372" t="s">
        <v>60</v>
      </c>
      <c r="D126" s="372" t="s">
        <v>35</v>
      </c>
      <c r="E126" s="371">
        <v>550080</v>
      </c>
      <c r="F126" s="373" t="s">
        <v>112</v>
      </c>
      <c r="G126" s="391" t="s">
        <v>494</v>
      </c>
      <c r="H126" s="374" t="s">
        <v>570</v>
      </c>
      <c r="I126" s="375">
        <v>1493</v>
      </c>
      <c r="J126" s="375" t="str">
        <f>H126</f>
        <v xml:space="preserve"> Office</v>
      </c>
      <c r="K126" s="375">
        <v>1500</v>
      </c>
      <c r="L126" s="373" t="s">
        <v>68</v>
      </c>
      <c r="M126" s="378"/>
      <c r="N126" s="378"/>
      <c r="O126" s="377">
        <v>43279</v>
      </c>
      <c r="P126" s="378"/>
      <c r="Q126" s="378"/>
      <c r="R126" s="376">
        <v>0</v>
      </c>
      <c r="S126" s="376">
        <f>Q126</f>
        <v>0</v>
      </c>
      <c r="T126" s="378"/>
      <c r="U126" s="376">
        <v>86600</v>
      </c>
      <c r="V126" s="376">
        <f>T126</f>
        <v>0</v>
      </c>
      <c r="W126" s="376">
        <v>93300</v>
      </c>
      <c r="X126" s="376">
        <f>V126</f>
        <v>0</v>
      </c>
      <c r="Y126" s="379" t="e">
        <f>T126/H126</f>
        <v>#VALUE!</v>
      </c>
      <c r="Z126" s="376" t="s">
        <v>69</v>
      </c>
      <c r="AA126" s="380"/>
      <c r="AB126" s="381"/>
      <c r="AC126" s="374" t="s">
        <v>40</v>
      </c>
      <c r="AD126" s="373" t="s">
        <v>202</v>
      </c>
      <c r="AE126" s="378"/>
      <c r="AF126" s="385"/>
      <c r="AG126" s="386"/>
      <c r="AH126" s="385"/>
    </row>
    <row r="127" spans="1:34" ht="14.25" customHeight="1">
      <c r="A127" s="378" t="s">
        <v>471</v>
      </c>
      <c r="B127" s="371"/>
      <c r="C127" s="372" t="s">
        <v>60</v>
      </c>
      <c r="D127" s="372" t="s">
        <v>35</v>
      </c>
      <c r="E127" s="371">
        <v>550080</v>
      </c>
      <c r="F127" s="373" t="s">
        <v>112</v>
      </c>
      <c r="G127" s="373" t="s">
        <v>497</v>
      </c>
      <c r="H127" s="374" t="s">
        <v>37</v>
      </c>
      <c r="I127" s="375">
        <v>1503</v>
      </c>
      <c r="J127" s="375" t="str">
        <f>H127</f>
        <v>Office</v>
      </c>
      <c r="K127" s="375">
        <v>1500</v>
      </c>
      <c r="L127" s="373" t="s">
        <v>68</v>
      </c>
      <c r="M127" s="378"/>
      <c r="N127" s="378"/>
      <c r="O127" s="377">
        <v>43354</v>
      </c>
      <c r="P127" s="378"/>
      <c r="Q127" s="378"/>
      <c r="R127" s="376">
        <v>0</v>
      </c>
      <c r="S127" s="376">
        <f>Q127</f>
        <v>0</v>
      </c>
      <c r="T127" s="378"/>
      <c r="U127" s="376">
        <v>88100</v>
      </c>
      <c r="V127" s="376">
        <f>T127</f>
        <v>0</v>
      </c>
      <c r="W127" s="376">
        <v>93900</v>
      </c>
      <c r="X127" s="376">
        <f>V127</f>
        <v>0</v>
      </c>
      <c r="Y127" s="379" t="e">
        <f>T127/H127</f>
        <v>#VALUE!</v>
      </c>
      <c r="Z127" s="376" t="s">
        <v>69</v>
      </c>
      <c r="AA127" s="380"/>
      <c r="AB127" s="381"/>
      <c r="AC127" s="374" t="s">
        <v>40</v>
      </c>
      <c r="AD127" s="373" t="s">
        <v>202</v>
      </c>
      <c r="AE127" s="378"/>
      <c r="AF127" s="385"/>
      <c r="AG127" s="386"/>
      <c r="AH127" s="385"/>
    </row>
    <row r="128" spans="1:34" ht="24">
      <c r="A128" s="378" t="s">
        <v>471</v>
      </c>
      <c r="B128" s="371"/>
      <c r="C128" s="372" t="s">
        <v>60</v>
      </c>
      <c r="D128" s="372" t="s">
        <v>35</v>
      </c>
      <c r="E128" s="371">
        <v>550080</v>
      </c>
      <c r="F128" s="373" t="s">
        <v>112</v>
      </c>
      <c r="G128" s="373" t="s">
        <v>498</v>
      </c>
      <c r="H128" s="374" t="s">
        <v>37</v>
      </c>
      <c r="I128" s="375">
        <v>1519</v>
      </c>
      <c r="J128" s="375" t="str">
        <f>H128</f>
        <v>Office</v>
      </c>
      <c r="K128" s="375">
        <v>1500</v>
      </c>
      <c r="L128" s="373" t="s">
        <v>68</v>
      </c>
      <c r="M128" s="378"/>
      <c r="N128" s="378"/>
      <c r="O128" s="377">
        <v>43354</v>
      </c>
      <c r="P128" s="378"/>
      <c r="Q128" s="378"/>
      <c r="R128" s="376">
        <v>0</v>
      </c>
      <c r="S128" s="376">
        <f>Q128</f>
        <v>0</v>
      </c>
      <c r="T128" s="378"/>
      <c r="U128" s="376">
        <v>83100</v>
      </c>
      <c r="V128" s="376">
        <f>T128</f>
        <v>0</v>
      </c>
      <c r="W128" s="376">
        <v>91100</v>
      </c>
      <c r="X128" s="376">
        <f>V128</f>
        <v>0</v>
      </c>
      <c r="Y128" s="379" t="e">
        <f>T128/H128</f>
        <v>#VALUE!</v>
      </c>
      <c r="Z128" s="376" t="s">
        <v>69</v>
      </c>
      <c r="AA128" s="380"/>
      <c r="AB128" s="381"/>
      <c r="AC128" s="374" t="s">
        <v>40</v>
      </c>
      <c r="AD128" s="373" t="s">
        <v>202</v>
      </c>
      <c r="AE128" s="378"/>
      <c r="AF128" s="385"/>
      <c r="AG128" s="386"/>
      <c r="AH128" s="385"/>
    </row>
    <row r="129" spans="1:34" ht="14.25" customHeight="1">
      <c r="A129" s="378" t="s">
        <v>471</v>
      </c>
      <c r="B129" s="371"/>
      <c r="C129" s="372" t="s">
        <v>60</v>
      </c>
      <c r="D129" s="372" t="s">
        <v>35</v>
      </c>
      <c r="E129" s="371">
        <v>550080</v>
      </c>
      <c r="F129" s="373" t="s">
        <v>112</v>
      </c>
      <c r="G129" s="373" t="s">
        <v>509</v>
      </c>
      <c r="H129" s="374" t="s">
        <v>37</v>
      </c>
      <c r="I129" s="375">
        <v>1505</v>
      </c>
      <c r="J129" s="375" t="str">
        <f>H129</f>
        <v>Office</v>
      </c>
      <c r="K129" s="375">
        <v>1500</v>
      </c>
      <c r="L129" s="373" t="s">
        <v>68</v>
      </c>
      <c r="M129" s="378"/>
      <c r="N129" s="378"/>
      <c r="O129" s="377">
        <v>43354</v>
      </c>
      <c r="P129" s="378"/>
      <c r="Q129" s="378"/>
      <c r="R129" s="376">
        <v>0</v>
      </c>
      <c r="S129" s="376">
        <f>Q129</f>
        <v>0</v>
      </c>
      <c r="T129" s="378"/>
      <c r="U129" s="376">
        <v>83800</v>
      </c>
      <c r="V129" s="376">
        <f>T129</f>
        <v>0</v>
      </c>
      <c r="W129" s="376">
        <v>90300</v>
      </c>
      <c r="X129" s="376">
        <f>V129</f>
        <v>0</v>
      </c>
      <c r="Y129" s="379" t="e">
        <f>T129/H129</f>
        <v>#VALUE!</v>
      </c>
      <c r="Z129" s="376" t="s">
        <v>69</v>
      </c>
      <c r="AA129" s="380"/>
      <c r="AB129" s="381"/>
      <c r="AC129" s="374" t="s">
        <v>40</v>
      </c>
      <c r="AD129" s="373" t="s">
        <v>202</v>
      </c>
      <c r="AE129" s="378"/>
      <c r="AF129" s="385"/>
      <c r="AG129" s="386"/>
      <c r="AH129" s="385"/>
    </row>
    <row r="130" spans="1:34" ht="14.25" customHeight="1">
      <c r="B130" s="2"/>
      <c r="C130" s="11"/>
      <c r="D130" s="11" t="s">
        <v>35</v>
      </c>
      <c r="E130" s="2"/>
      <c r="U130" s="10"/>
      <c r="V130" s="10"/>
      <c r="W130" s="10"/>
      <c r="X130" s="10"/>
      <c r="Y130" s="10"/>
      <c r="Z130" s="10"/>
      <c r="AA130" s="61"/>
      <c r="AC130" s="14"/>
      <c r="AG130" s="300"/>
    </row>
    <row r="131" spans="1:34" ht="14.25" customHeight="1">
      <c r="B131" s="2"/>
      <c r="C131" s="11"/>
      <c r="D131" s="11" t="s">
        <v>35</v>
      </c>
      <c r="E131" s="2"/>
      <c r="G131" s="92" t="s">
        <v>571</v>
      </c>
      <c r="I131" s="18">
        <f>SUM(H125:H129)</f>
        <v>0</v>
      </c>
      <c r="J131" s="19"/>
      <c r="K131" s="19"/>
      <c r="R131" s="19">
        <f>SUM(Q125:Q129)</f>
        <v>46460</v>
      </c>
      <c r="S131" s="19"/>
      <c r="T131" s="19">
        <f>SUM(R124:R129)</f>
        <v>220000</v>
      </c>
      <c r="U131" s="19">
        <f>SUM(T125:T129)</f>
        <v>0</v>
      </c>
      <c r="V131" s="19"/>
      <c r="W131" s="19">
        <f>SUM(V125:V129)</f>
        <v>0</v>
      </c>
      <c r="X131" s="19"/>
      <c r="Y131" s="19"/>
      <c r="Z131" s="19"/>
      <c r="AA131" s="62"/>
      <c r="AB131" s="18">
        <v>9175000</v>
      </c>
      <c r="AC131" s="14"/>
      <c r="AF131" s="29"/>
      <c r="AG131" s="301"/>
      <c r="AH131" s="29"/>
    </row>
    <row r="132" spans="1:34" ht="14.25" customHeight="1">
      <c r="B132" s="2"/>
      <c r="C132" s="11"/>
      <c r="D132" s="11" t="s">
        <v>35</v>
      </c>
      <c r="E132" s="2"/>
      <c r="I132" s="18"/>
      <c r="J132" s="19"/>
      <c r="K132" s="19"/>
      <c r="R132" s="19"/>
      <c r="S132" s="19"/>
      <c r="T132" s="19"/>
      <c r="U132" s="19"/>
      <c r="V132" s="19"/>
      <c r="W132" s="19"/>
      <c r="X132" s="19"/>
      <c r="Y132" s="19"/>
      <c r="Z132" s="19"/>
      <c r="AA132" s="62"/>
      <c r="AB132" s="54"/>
      <c r="AC132" s="14"/>
      <c r="AG132" s="300"/>
    </row>
    <row r="133" spans="1:34" ht="14.25" customHeight="1">
      <c r="A133" t="s">
        <v>928</v>
      </c>
      <c r="B133" s="2"/>
      <c r="C133" s="11"/>
      <c r="D133" s="11" t="s">
        <v>35</v>
      </c>
      <c r="E133" s="2"/>
      <c r="H133" s="6" t="s">
        <v>115</v>
      </c>
      <c r="J133" s="10"/>
      <c r="K133" s="10"/>
      <c r="L133" s="32"/>
      <c r="V133" s="10"/>
      <c r="X133" s="10"/>
      <c r="Y133" s="10"/>
      <c r="Z133" s="10"/>
      <c r="AA133" s="61"/>
      <c r="AC133" s="14"/>
      <c r="AG133" s="300"/>
    </row>
    <row r="134" spans="1:34" ht="14.25" customHeight="1">
      <c r="B134" s="2"/>
      <c r="C134" s="11"/>
      <c r="D134" s="11" t="s">
        <v>35</v>
      </c>
      <c r="E134" s="2"/>
      <c r="H134" s="12"/>
      <c r="I134" s="24"/>
      <c r="J134" s="10"/>
      <c r="K134" s="10"/>
      <c r="L134" s="20"/>
      <c r="M134" s="21"/>
      <c r="V134" s="10"/>
      <c r="X134" s="10"/>
      <c r="Y134" s="10"/>
      <c r="Z134" s="10"/>
      <c r="AA134" s="61"/>
      <c r="AC134" s="14"/>
      <c r="AG134" s="300"/>
    </row>
    <row r="135" spans="1:34" ht="28.5" customHeight="1">
      <c r="A135" s="370" t="s">
        <v>471</v>
      </c>
      <c r="B135" s="371"/>
      <c r="C135" s="372" t="s">
        <v>97</v>
      </c>
      <c r="D135" s="372" t="s">
        <v>35</v>
      </c>
      <c r="E135" s="371">
        <v>550400</v>
      </c>
      <c r="F135" s="373" t="s">
        <v>115</v>
      </c>
      <c r="G135" s="373" t="s">
        <v>66</v>
      </c>
      <c r="H135" s="374" t="s">
        <v>116</v>
      </c>
      <c r="I135" s="375">
        <v>2164</v>
      </c>
      <c r="J135" s="375" t="str">
        <f>H135</f>
        <v>Shop/Cafe</v>
      </c>
      <c r="K135" s="375">
        <v>2000</v>
      </c>
      <c r="L135" s="373" t="s">
        <v>117</v>
      </c>
      <c r="M135" s="384">
        <v>44995</v>
      </c>
      <c r="N135" s="377">
        <v>48647</v>
      </c>
      <c r="O135" s="378"/>
      <c r="P135" s="377">
        <v>46822</v>
      </c>
      <c r="Q135" s="378"/>
      <c r="R135" s="376">
        <v>165000</v>
      </c>
      <c r="S135" s="376">
        <f>Q135</f>
        <v>0</v>
      </c>
      <c r="T135" s="378"/>
      <c r="U135" s="376">
        <v>165000</v>
      </c>
      <c r="V135" s="376">
        <f>T135</f>
        <v>0</v>
      </c>
      <c r="W135" s="376">
        <v>165000</v>
      </c>
      <c r="X135" s="376">
        <f>V135</f>
        <v>0</v>
      </c>
      <c r="Y135" s="379" t="e">
        <f>T135/H135</f>
        <v>#VALUE!</v>
      </c>
      <c r="Z135" s="376" t="s">
        <v>69</v>
      </c>
      <c r="AA135" s="380"/>
      <c r="AB135" s="381"/>
      <c r="AC135" s="374" t="s">
        <v>40</v>
      </c>
      <c r="AD135" s="378"/>
      <c r="AE135" s="378"/>
      <c r="AF135" s="378"/>
      <c r="AG135" s="383"/>
      <c r="AH135" s="378"/>
    </row>
    <row r="136" spans="1:34" ht="28.5" customHeight="1">
      <c r="A136" s="378" t="s">
        <v>471</v>
      </c>
      <c r="B136" s="371"/>
      <c r="C136" s="372" t="s">
        <v>97</v>
      </c>
      <c r="D136" s="372" t="s">
        <v>35</v>
      </c>
      <c r="E136" s="371">
        <v>550400</v>
      </c>
      <c r="F136" s="373" t="s">
        <v>115</v>
      </c>
      <c r="G136" s="402" t="s">
        <v>379</v>
      </c>
      <c r="H136" s="374" t="s">
        <v>37</v>
      </c>
      <c r="I136" s="375">
        <v>3545</v>
      </c>
      <c r="J136" s="375" t="str">
        <f>H136</f>
        <v>Office</v>
      </c>
      <c r="K136" s="375">
        <v>3500</v>
      </c>
      <c r="L136" s="373" t="s">
        <v>551</v>
      </c>
      <c r="M136" s="384">
        <v>44362</v>
      </c>
      <c r="N136" s="377">
        <v>48013</v>
      </c>
      <c r="O136" s="378"/>
      <c r="P136" s="377">
        <v>46197</v>
      </c>
      <c r="Q136" s="377">
        <v>46197</v>
      </c>
      <c r="R136" s="376">
        <v>220000</v>
      </c>
      <c r="S136" s="376">
        <f>Q136</f>
        <v>46197</v>
      </c>
      <c r="T136" s="378"/>
      <c r="U136" s="376">
        <v>220000</v>
      </c>
      <c r="V136" s="376">
        <f>T136</f>
        <v>0</v>
      </c>
      <c r="W136" s="376">
        <v>220000</v>
      </c>
      <c r="X136" s="376">
        <f>V136</f>
        <v>0</v>
      </c>
      <c r="Y136" s="379" t="e">
        <f>T136/H136</f>
        <v>#VALUE!</v>
      </c>
      <c r="Z136" s="376" t="s">
        <v>39</v>
      </c>
      <c r="AA136" s="380"/>
      <c r="AB136" s="381"/>
      <c r="AC136" s="374" t="s">
        <v>40</v>
      </c>
      <c r="AD136" s="373" t="s">
        <v>130</v>
      </c>
      <c r="AE136" s="378"/>
      <c r="AF136" s="378"/>
      <c r="AG136" s="383"/>
      <c r="AH136" s="378"/>
    </row>
    <row r="137" spans="1:34" ht="14.25" customHeight="1">
      <c r="B137" s="2"/>
      <c r="C137" s="11"/>
      <c r="D137" s="11" t="s">
        <v>35</v>
      </c>
      <c r="E137" s="2"/>
      <c r="U137" s="10"/>
      <c r="V137" s="10"/>
      <c r="W137" s="10"/>
      <c r="X137" s="10"/>
      <c r="Y137" s="10"/>
      <c r="Z137" s="10"/>
      <c r="AA137" s="61"/>
      <c r="AC137" s="14"/>
      <c r="AG137" s="300"/>
    </row>
    <row r="138" spans="1:34" ht="14.25" customHeight="1">
      <c r="B138" s="2"/>
      <c r="C138" s="11"/>
      <c r="D138" s="11" t="s">
        <v>35</v>
      </c>
      <c r="E138" s="2"/>
      <c r="G138" s="92" t="s">
        <v>572</v>
      </c>
      <c r="I138" s="18">
        <f>SUM(H135:H136)</f>
        <v>0</v>
      </c>
      <c r="J138" s="19"/>
      <c r="K138" s="19"/>
      <c r="R138" s="19">
        <f>SUM(Q135:Q136)</f>
        <v>46197</v>
      </c>
      <c r="S138" s="19"/>
      <c r="T138" s="19">
        <f>SUM(R134:R137)</f>
        <v>385000</v>
      </c>
      <c r="U138" s="19">
        <f>SUM(T135:T136)</f>
        <v>0</v>
      </c>
      <c r="V138" s="19"/>
      <c r="W138" s="19">
        <f>SUM(V135:V136)</f>
        <v>0</v>
      </c>
      <c r="X138" s="19"/>
      <c r="Y138" s="19"/>
      <c r="Z138" s="19"/>
      <c r="AA138" s="62"/>
      <c r="AB138" s="18">
        <v>6875000</v>
      </c>
      <c r="AC138" s="14"/>
      <c r="AG138" s="300"/>
    </row>
    <row r="139" spans="1:34" ht="14.25" customHeight="1">
      <c r="B139" s="2"/>
      <c r="C139" s="11"/>
      <c r="D139" s="11" t="s">
        <v>35</v>
      </c>
      <c r="E139" s="2"/>
      <c r="G139" s="92"/>
      <c r="I139" s="18"/>
      <c r="J139" s="19"/>
      <c r="K139" s="19"/>
      <c r="R139" s="19"/>
      <c r="S139" s="19"/>
      <c r="T139" s="19"/>
      <c r="U139" s="19"/>
      <c r="V139" s="19"/>
      <c r="W139" s="19"/>
      <c r="X139" s="19"/>
      <c r="Y139" s="19"/>
      <c r="Z139" s="19"/>
      <c r="AA139" s="62"/>
      <c r="AB139" s="54"/>
      <c r="AC139" s="14"/>
      <c r="AG139" s="300"/>
    </row>
    <row r="140" spans="1:34" ht="14.25" customHeight="1">
      <c r="A140" t="s">
        <v>928</v>
      </c>
      <c r="B140" s="2"/>
      <c r="C140" s="11"/>
      <c r="D140" s="11" t="s">
        <v>35</v>
      </c>
      <c r="E140" s="2"/>
      <c r="H140" s="6" t="s">
        <v>118</v>
      </c>
      <c r="J140" s="10"/>
      <c r="K140" s="10"/>
      <c r="L140" s="32"/>
      <c r="V140" s="10"/>
      <c r="X140" s="10"/>
      <c r="Y140" s="10"/>
      <c r="Z140" s="10"/>
      <c r="AA140" s="61"/>
      <c r="AC140" s="14"/>
      <c r="AG140" s="300"/>
    </row>
    <row r="141" spans="1:34" ht="14.25" customHeight="1">
      <c r="B141" s="2"/>
      <c r="C141" s="11"/>
      <c r="D141" s="11" t="s">
        <v>35</v>
      </c>
      <c r="E141" s="2"/>
      <c r="H141" s="15"/>
      <c r="I141" s="24"/>
      <c r="J141" s="10"/>
      <c r="K141" s="10"/>
      <c r="N141" s="21"/>
      <c r="O141" s="21"/>
      <c r="U141" s="10"/>
      <c r="V141" s="10"/>
      <c r="W141" s="10"/>
      <c r="X141" s="10"/>
      <c r="Y141" s="10"/>
      <c r="Z141" s="10"/>
      <c r="AA141" s="61"/>
      <c r="AC141" s="14"/>
      <c r="AG141" s="300"/>
    </row>
    <row r="142" spans="1:34" ht="17.25" customHeight="1">
      <c r="A142" s="370" t="s">
        <v>471</v>
      </c>
      <c r="B142" s="371"/>
      <c r="C142" s="372" t="s">
        <v>119</v>
      </c>
      <c r="D142" s="372" t="s">
        <v>35</v>
      </c>
      <c r="E142" s="371">
        <v>550740</v>
      </c>
      <c r="F142" s="373" t="s">
        <v>118</v>
      </c>
      <c r="G142" s="373" t="s">
        <v>66</v>
      </c>
      <c r="H142" s="374" t="s">
        <v>120</v>
      </c>
      <c r="I142" s="375">
        <v>1524</v>
      </c>
      <c r="J142" s="375" t="str">
        <f>H142</f>
        <v>Showroom</v>
      </c>
      <c r="K142" s="375">
        <v>1500</v>
      </c>
      <c r="L142" s="391" t="s">
        <v>121</v>
      </c>
      <c r="M142" s="384">
        <v>44833</v>
      </c>
      <c r="N142" s="377">
        <v>45928</v>
      </c>
      <c r="O142" s="378"/>
      <c r="P142" s="378"/>
      <c r="Q142" s="378"/>
      <c r="R142" s="376">
        <v>72000</v>
      </c>
      <c r="S142" s="376">
        <f>Q142</f>
        <v>0</v>
      </c>
      <c r="T142" s="378"/>
      <c r="U142" s="376">
        <v>72000</v>
      </c>
      <c r="V142" s="376">
        <f>T142</f>
        <v>0</v>
      </c>
      <c r="W142" s="376">
        <v>72038</v>
      </c>
      <c r="X142" s="376">
        <f>V142</f>
        <v>0</v>
      </c>
      <c r="Y142" s="379" t="e">
        <f>T142/H142</f>
        <v>#VALUE!</v>
      </c>
      <c r="Z142" s="376" t="s">
        <v>69</v>
      </c>
      <c r="AA142" s="380"/>
      <c r="AB142" s="381"/>
      <c r="AC142" s="374" t="s">
        <v>40</v>
      </c>
      <c r="AD142" s="391"/>
      <c r="AE142" s="392"/>
      <c r="AF142" s="391"/>
      <c r="AG142" s="393"/>
      <c r="AH142" s="391"/>
    </row>
    <row r="143" spans="1:34" ht="14.25" customHeight="1">
      <c r="A143" s="378" t="s">
        <v>471</v>
      </c>
      <c r="B143" s="371"/>
      <c r="C143" s="372" t="s">
        <v>119</v>
      </c>
      <c r="D143" s="372" t="s">
        <v>35</v>
      </c>
      <c r="E143" s="371">
        <v>550740</v>
      </c>
      <c r="F143" s="373" t="s">
        <v>118</v>
      </c>
      <c r="G143" s="391" t="s">
        <v>494</v>
      </c>
      <c r="H143" s="396" t="s">
        <v>37</v>
      </c>
      <c r="I143" s="375">
        <v>730</v>
      </c>
      <c r="J143" s="375" t="str">
        <f>H143</f>
        <v>Office</v>
      </c>
      <c r="K143" s="375">
        <v>750</v>
      </c>
      <c r="L143" s="373" t="s">
        <v>573</v>
      </c>
      <c r="M143" s="384">
        <v>45271</v>
      </c>
      <c r="N143" s="377">
        <v>46561</v>
      </c>
      <c r="O143" s="378"/>
      <c r="P143" s="378"/>
      <c r="Q143" s="377">
        <v>45831</v>
      </c>
      <c r="R143" s="376">
        <v>42705</v>
      </c>
      <c r="S143" s="376">
        <f>Q143</f>
        <v>45831</v>
      </c>
      <c r="T143" s="378"/>
      <c r="U143" s="376">
        <v>42000</v>
      </c>
      <c r="V143" s="376">
        <f>T143</f>
        <v>0</v>
      </c>
      <c r="W143" s="376">
        <v>41975</v>
      </c>
      <c r="X143" s="376">
        <f>V143</f>
        <v>0</v>
      </c>
      <c r="Y143" s="379" t="e">
        <f>T143/H143</f>
        <v>#VALUE!</v>
      </c>
      <c r="Z143" s="376" t="s">
        <v>69</v>
      </c>
      <c r="AA143" s="380"/>
      <c r="AB143" s="381"/>
      <c r="AC143" s="374" t="s">
        <v>40</v>
      </c>
      <c r="AD143" s="391" t="s">
        <v>574</v>
      </c>
      <c r="AE143" s="392"/>
      <c r="AF143" s="391"/>
      <c r="AG143" s="393"/>
      <c r="AH143" s="391"/>
    </row>
    <row r="144" spans="1:34" ht="24">
      <c r="A144" s="378" t="s">
        <v>471</v>
      </c>
      <c r="B144" s="371"/>
      <c r="C144" s="372" t="s">
        <v>119</v>
      </c>
      <c r="D144" s="372" t="s">
        <v>35</v>
      </c>
      <c r="E144" s="371">
        <v>550740</v>
      </c>
      <c r="F144" s="373" t="s">
        <v>118</v>
      </c>
      <c r="G144" s="373" t="s">
        <v>497</v>
      </c>
      <c r="H144" s="396" t="s">
        <v>37</v>
      </c>
      <c r="I144" s="375">
        <v>730</v>
      </c>
      <c r="J144" s="375" t="str">
        <f>H144</f>
        <v>Office</v>
      </c>
      <c r="K144" s="375">
        <v>750</v>
      </c>
      <c r="L144" s="373" t="s">
        <v>575</v>
      </c>
      <c r="M144" s="384">
        <v>44833</v>
      </c>
      <c r="N144" s="377">
        <v>46658</v>
      </c>
      <c r="O144" s="378"/>
      <c r="P144" s="378"/>
      <c r="Q144" s="378"/>
      <c r="R144" s="376">
        <v>42000</v>
      </c>
      <c r="S144" s="376">
        <f>Q144</f>
        <v>0</v>
      </c>
      <c r="T144" s="378"/>
      <c r="U144" s="376">
        <v>42000</v>
      </c>
      <c r="V144" s="376">
        <f>T144</f>
        <v>0</v>
      </c>
      <c r="W144" s="376">
        <v>41975</v>
      </c>
      <c r="X144" s="376">
        <f>V144</f>
        <v>0</v>
      </c>
      <c r="Y144" s="379" t="e">
        <f>T144/H144</f>
        <v>#VALUE!</v>
      </c>
      <c r="Z144" s="376" t="s">
        <v>69</v>
      </c>
      <c r="AA144" s="380"/>
      <c r="AB144" s="381"/>
      <c r="AC144" s="374" t="s">
        <v>40</v>
      </c>
      <c r="AD144" s="378"/>
      <c r="AE144" s="378"/>
      <c r="AF144" s="378"/>
      <c r="AG144" s="383"/>
      <c r="AH144" s="378"/>
    </row>
    <row r="145" spans="1:34" ht="19.5" customHeight="1">
      <c r="A145" s="378" t="s">
        <v>471</v>
      </c>
      <c r="B145" s="371"/>
      <c r="C145" s="372" t="s">
        <v>119</v>
      </c>
      <c r="D145" s="372" t="s">
        <v>35</v>
      </c>
      <c r="E145" s="371">
        <v>550740</v>
      </c>
      <c r="F145" s="373" t="s">
        <v>118</v>
      </c>
      <c r="G145" s="373" t="s">
        <v>498</v>
      </c>
      <c r="H145" s="396" t="s">
        <v>37</v>
      </c>
      <c r="I145" s="375">
        <v>730</v>
      </c>
      <c r="J145" s="375" t="str">
        <f>H145</f>
        <v>Office</v>
      </c>
      <c r="K145" s="375">
        <v>750</v>
      </c>
      <c r="L145" s="373" t="s">
        <v>573</v>
      </c>
      <c r="M145" s="384">
        <v>45271</v>
      </c>
      <c r="N145" s="377">
        <v>46561</v>
      </c>
      <c r="O145" s="378"/>
      <c r="P145" s="378"/>
      <c r="Q145" s="377">
        <v>45831</v>
      </c>
      <c r="R145" s="376">
        <v>42705</v>
      </c>
      <c r="S145" s="376">
        <f>Q145</f>
        <v>45831</v>
      </c>
      <c r="T145" s="378"/>
      <c r="U145" s="376">
        <v>42000</v>
      </c>
      <c r="V145" s="376">
        <f>T145</f>
        <v>0</v>
      </c>
      <c r="W145" s="376">
        <v>41975</v>
      </c>
      <c r="X145" s="376">
        <f>V145</f>
        <v>0</v>
      </c>
      <c r="Y145" s="379" t="e">
        <f>T145/H145</f>
        <v>#VALUE!</v>
      </c>
      <c r="Z145" s="376" t="s">
        <v>69</v>
      </c>
      <c r="AA145" s="380"/>
      <c r="AB145" s="381"/>
      <c r="AC145" s="374" t="s">
        <v>40</v>
      </c>
      <c r="AD145" s="373" t="s">
        <v>576</v>
      </c>
      <c r="AE145" s="378"/>
      <c r="AF145" s="378"/>
      <c r="AG145" s="383"/>
      <c r="AH145" s="378"/>
    </row>
    <row r="146" spans="1:34" ht="36">
      <c r="A146" s="378" t="s">
        <v>471</v>
      </c>
      <c r="B146" s="371"/>
      <c r="C146" s="372" t="s">
        <v>119</v>
      </c>
      <c r="D146" s="372" t="s">
        <v>35</v>
      </c>
      <c r="E146" s="371">
        <v>550740</v>
      </c>
      <c r="F146" s="373" t="s">
        <v>118</v>
      </c>
      <c r="G146" s="373" t="s">
        <v>577</v>
      </c>
      <c r="H146" s="374" t="s">
        <v>210</v>
      </c>
      <c r="I146" s="375">
        <v>1180</v>
      </c>
      <c r="J146" s="375" t="str">
        <f>H146</f>
        <v>Residential</v>
      </c>
      <c r="K146" s="375">
        <v>1000</v>
      </c>
      <c r="L146" s="373" t="s">
        <v>578</v>
      </c>
      <c r="M146" s="384">
        <v>45480</v>
      </c>
      <c r="N146" s="377">
        <v>45844</v>
      </c>
      <c r="O146" s="378"/>
      <c r="P146" s="378"/>
      <c r="Q146" s="378"/>
      <c r="R146" s="376">
        <v>65000</v>
      </c>
      <c r="S146" s="376">
        <f>Q146</f>
        <v>0</v>
      </c>
      <c r="T146" s="378"/>
      <c r="U146" s="376">
        <v>61360</v>
      </c>
      <c r="V146" s="376">
        <f>T146</f>
        <v>0</v>
      </c>
      <c r="W146" s="376">
        <v>63177</v>
      </c>
      <c r="X146" s="376">
        <f>V146</f>
        <v>0</v>
      </c>
      <c r="Y146" s="379" t="e">
        <f>T146/H146</f>
        <v>#VALUE!</v>
      </c>
      <c r="Z146" s="376" t="s">
        <v>39</v>
      </c>
      <c r="AA146" s="380"/>
      <c r="AB146" s="381"/>
      <c r="AC146" s="374" t="s">
        <v>40</v>
      </c>
      <c r="AD146" s="373" t="s">
        <v>579</v>
      </c>
      <c r="AE146" s="378"/>
      <c r="AF146" s="378"/>
      <c r="AG146" s="383"/>
      <c r="AH146" s="378"/>
    </row>
    <row r="147" spans="1:34" ht="14.25" customHeight="1">
      <c r="B147" s="2"/>
      <c r="C147" s="11"/>
      <c r="D147" s="11" t="s">
        <v>35</v>
      </c>
      <c r="E147" s="2"/>
      <c r="U147" s="10"/>
      <c r="V147" s="10"/>
      <c r="W147" s="10"/>
      <c r="X147" s="10"/>
      <c r="Y147" s="10"/>
      <c r="Z147" s="10"/>
      <c r="AA147" s="61"/>
      <c r="AC147" s="14"/>
      <c r="AG147" s="300"/>
    </row>
    <row r="148" spans="1:34" ht="14.25" customHeight="1">
      <c r="B148" s="2"/>
      <c r="C148" s="11"/>
      <c r="D148" s="11" t="s">
        <v>35</v>
      </c>
      <c r="E148" s="2"/>
      <c r="G148" s="92" t="s">
        <v>580</v>
      </c>
      <c r="I148" s="18">
        <f>SUM(H142:H146)</f>
        <v>0</v>
      </c>
      <c r="J148" s="19"/>
      <c r="K148" s="19"/>
      <c r="R148" s="19">
        <f>SUM(Q142:Q146)</f>
        <v>91662</v>
      </c>
      <c r="S148" s="19"/>
      <c r="T148" s="19">
        <f>SUM(R141:R147)</f>
        <v>264410</v>
      </c>
      <c r="U148" s="19">
        <f>SUM(T142:T146)</f>
        <v>0</v>
      </c>
      <c r="V148" s="19"/>
      <c r="W148" s="19">
        <f>SUM(V142:V146)</f>
        <v>0</v>
      </c>
      <c r="X148" s="19"/>
      <c r="Y148" s="19"/>
      <c r="Z148" s="19"/>
      <c r="AA148" s="62"/>
      <c r="AB148" s="18">
        <v>4300000</v>
      </c>
      <c r="AC148" s="14"/>
      <c r="AG148" s="300"/>
    </row>
    <row r="149" spans="1:34" ht="14.25" customHeight="1">
      <c r="B149" s="2"/>
      <c r="C149" s="11"/>
      <c r="D149" s="11" t="s">
        <v>35</v>
      </c>
      <c r="E149" s="2"/>
      <c r="I149" s="18"/>
      <c r="J149" s="19"/>
      <c r="K149" s="19"/>
      <c r="R149" s="19"/>
      <c r="S149" s="19"/>
      <c r="T149" s="19"/>
      <c r="U149" s="19"/>
      <c r="V149" s="19"/>
      <c r="W149" s="19"/>
      <c r="X149" s="19"/>
      <c r="Y149" s="19"/>
      <c r="Z149" s="19"/>
      <c r="AA149" s="62"/>
      <c r="AB149" s="54"/>
      <c r="AC149" s="14"/>
      <c r="AG149" s="300"/>
    </row>
    <row r="150" spans="1:34" ht="14.25" customHeight="1">
      <c r="A150" t="s">
        <v>928</v>
      </c>
      <c r="B150" s="2"/>
      <c r="C150" s="11"/>
      <c r="D150" s="11" t="s">
        <v>35</v>
      </c>
      <c r="E150" s="2"/>
      <c r="H150" s="6" t="s">
        <v>122</v>
      </c>
      <c r="J150" s="10"/>
      <c r="K150" s="10"/>
      <c r="L150" s="32"/>
      <c r="V150" s="10"/>
      <c r="X150" s="10"/>
      <c r="Y150" s="10"/>
      <c r="Z150" s="10"/>
      <c r="AA150" s="61"/>
      <c r="AC150" s="14"/>
      <c r="AG150" s="300"/>
    </row>
    <row r="151" spans="1:34" ht="14.25" customHeight="1">
      <c r="B151" s="2"/>
      <c r="C151" s="11"/>
      <c r="D151" s="11" t="s">
        <v>35</v>
      </c>
      <c r="E151" s="2"/>
      <c r="G151" s="94"/>
      <c r="H151" s="15"/>
      <c r="I151" s="125"/>
      <c r="J151" s="17"/>
      <c r="K151" s="17"/>
      <c r="L151" s="26"/>
      <c r="M151" s="21"/>
      <c r="N151" s="16"/>
      <c r="O151" s="16"/>
      <c r="P151" s="16"/>
      <c r="Q151" s="16"/>
      <c r="R151" s="17"/>
      <c r="S151" s="17"/>
      <c r="T151" s="17"/>
      <c r="U151" s="232"/>
      <c r="V151" s="17"/>
      <c r="W151" s="232"/>
      <c r="X151" s="17"/>
      <c r="Y151" s="17"/>
      <c r="Z151" s="17"/>
      <c r="AA151" s="66"/>
      <c r="AB151" s="261"/>
      <c r="AC151" s="14"/>
      <c r="AD151" s="122"/>
      <c r="AE151" s="326"/>
      <c r="AF151" s="122"/>
      <c r="AG151" s="303"/>
      <c r="AH151" s="122"/>
    </row>
    <row r="152" spans="1:34" ht="24" customHeight="1">
      <c r="A152" t="s">
        <v>471</v>
      </c>
      <c r="B152" s="2"/>
      <c r="C152" s="11" t="s">
        <v>97</v>
      </c>
      <c r="D152" s="11" t="s">
        <v>35</v>
      </c>
      <c r="E152" s="2">
        <v>550840</v>
      </c>
      <c r="F152" s="4" t="s">
        <v>122</v>
      </c>
      <c r="G152" s="4" t="s">
        <v>123</v>
      </c>
      <c r="H152" s="14" t="s">
        <v>124</v>
      </c>
      <c r="I152" s="18">
        <v>2313</v>
      </c>
      <c r="J152" s="10" t="str">
        <f>H152</f>
        <v>Offices</v>
      </c>
      <c r="K152" s="10">
        <v>2250</v>
      </c>
      <c r="L152" s="4" t="s">
        <v>125</v>
      </c>
      <c r="M152" s="8">
        <v>42339</v>
      </c>
      <c r="N152" s="9">
        <v>45991</v>
      </c>
      <c r="P152" s="9">
        <v>44166</v>
      </c>
      <c r="R152" s="19">
        <v>112000</v>
      </c>
      <c r="S152" s="10">
        <f>Q152</f>
        <v>0</v>
      </c>
      <c r="T152" s="19">
        <f>R152</f>
        <v>112000</v>
      </c>
      <c r="U152" s="18">
        <v>106600</v>
      </c>
      <c r="V152" s="10">
        <f>T152</f>
        <v>112000</v>
      </c>
      <c r="W152" s="18">
        <v>102100</v>
      </c>
      <c r="X152" s="10">
        <f>V152</f>
        <v>112000</v>
      </c>
      <c r="Y152" s="299" t="e">
        <f>T152/H152</f>
        <v>#VALUE!</v>
      </c>
      <c r="Z152" s="10" t="s">
        <v>76</v>
      </c>
      <c r="AA152" s="61"/>
      <c r="AB152" s="18">
        <v>1750000</v>
      </c>
      <c r="AC152" s="14" t="s">
        <v>40</v>
      </c>
      <c r="AG152" s="300"/>
    </row>
    <row r="153" spans="1:34" ht="14.25" customHeight="1">
      <c r="B153" s="2"/>
      <c r="C153" s="11"/>
      <c r="D153" s="11" t="s">
        <v>35</v>
      </c>
      <c r="E153" s="2"/>
      <c r="H153" s="28"/>
      <c r="I153" s="18"/>
      <c r="J153" s="19"/>
      <c r="K153" s="19"/>
      <c r="R153" s="19"/>
      <c r="S153" s="19"/>
      <c r="T153" s="19"/>
      <c r="U153" s="18"/>
      <c r="V153" s="19"/>
      <c r="W153" s="18"/>
      <c r="X153" s="19"/>
      <c r="Y153" s="19"/>
      <c r="Z153" s="19"/>
      <c r="AA153" s="62"/>
      <c r="AB153" s="54"/>
      <c r="AC153" s="14"/>
      <c r="AG153" s="300"/>
    </row>
    <row r="154" spans="1:34" ht="14.25" customHeight="1">
      <c r="A154" t="s">
        <v>928</v>
      </c>
      <c r="B154" s="2"/>
      <c r="C154" s="11"/>
      <c r="D154" s="11" t="s">
        <v>35</v>
      </c>
      <c r="E154" s="2"/>
      <c r="H154" s="6" t="s">
        <v>126</v>
      </c>
      <c r="J154" s="10"/>
      <c r="K154" s="10"/>
      <c r="L154" s="32"/>
      <c r="V154" s="10"/>
      <c r="X154" s="10"/>
      <c r="Y154" s="10"/>
      <c r="Z154" s="10"/>
      <c r="AA154" s="61"/>
      <c r="AC154" s="14"/>
      <c r="AG154" s="300"/>
    </row>
    <row r="155" spans="1:34" ht="14.25" customHeight="1">
      <c r="B155" s="2"/>
      <c r="C155" s="11"/>
      <c r="D155" s="11" t="s">
        <v>35</v>
      </c>
      <c r="E155" s="2"/>
      <c r="H155" s="6"/>
      <c r="J155" s="10"/>
      <c r="K155" s="10"/>
      <c r="L155" s="32"/>
      <c r="V155" s="10"/>
      <c r="X155" s="10"/>
      <c r="Y155" s="10"/>
      <c r="Z155" s="10"/>
      <c r="AA155" s="61"/>
      <c r="AC155" s="14"/>
      <c r="AG155" s="300"/>
    </row>
    <row r="156" spans="1:34" ht="24">
      <c r="A156" s="370" t="s">
        <v>471</v>
      </c>
      <c r="B156" s="371"/>
      <c r="C156" s="372" t="s">
        <v>119</v>
      </c>
      <c r="D156" s="372" t="s">
        <v>35</v>
      </c>
      <c r="E156" s="371">
        <v>550830</v>
      </c>
      <c r="F156" s="373" t="s">
        <v>126</v>
      </c>
      <c r="G156" s="373" t="s">
        <v>127</v>
      </c>
      <c r="H156" s="372" t="s">
        <v>128</v>
      </c>
      <c r="I156" s="375">
        <v>4259</v>
      </c>
      <c r="J156" s="375" t="str">
        <f t="shared" ref="J156:J161" si="24">H156</f>
        <v>Shop</v>
      </c>
      <c r="K156" s="375">
        <v>4250</v>
      </c>
      <c r="L156" s="373" t="s">
        <v>129</v>
      </c>
      <c r="M156" s="384">
        <v>44967</v>
      </c>
      <c r="N156" s="377">
        <v>48619</v>
      </c>
      <c r="O156" s="378"/>
      <c r="P156" s="377">
        <v>46793</v>
      </c>
      <c r="Q156" s="377">
        <v>46792</v>
      </c>
      <c r="R156" s="376">
        <v>215000</v>
      </c>
      <c r="S156" s="376">
        <f t="shared" ref="S156:S161" si="25">Q156</f>
        <v>46792</v>
      </c>
      <c r="T156" s="378"/>
      <c r="U156" s="375">
        <v>215000</v>
      </c>
      <c r="V156" s="376">
        <f t="shared" ref="V156:V161" si="26">T156</f>
        <v>0</v>
      </c>
      <c r="W156" s="375">
        <v>215000</v>
      </c>
      <c r="X156" s="376">
        <f t="shared" ref="X156:X161" si="27">V156</f>
        <v>0</v>
      </c>
      <c r="Y156" s="379" t="e">
        <f t="shared" ref="Y156:Y161" si="28">T156/H156</f>
        <v>#VALUE!</v>
      </c>
      <c r="Z156" s="376" t="s">
        <v>39</v>
      </c>
      <c r="AA156" s="403"/>
      <c r="AB156" s="381"/>
      <c r="AC156" s="374" t="s">
        <v>40</v>
      </c>
      <c r="AD156" s="373" t="s">
        <v>130</v>
      </c>
      <c r="AE156" s="378"/>
      <c r="AF156" s="378"/>
      <c r="AG156" s="383"/>
      <c r="AH156" s="378"/>
    </row>
    <row r="157" spans="1:34" ht="24">
      <c r="A157" s="378" t="s">
        <v>471</v>
      </c>
      <c r="B157" s="371"/>
      <c r="C157" s="372" t="s">
        <v>119</v>
      </c>
      <c r="D157" s="372" t="s">
        <v>35</v>
      </c>
      <c r="E157" s="371">
        <v>550830</v>
      </c>
      <c r="F157" s="373" t="s">
        <v>126</v>
      </c>
      <c r="G157" s="373" t="s">
        <v>494</v>
      </c>
      <c r="H157" s="372" t="s">
        <v>37</v>
      </c>
      <c r="I157" s="375">
        <v>1902</v>
      </c>
      <c r="J157" s="375" t="str">
        <f t="shared" si="24"/>
        <v>Office</v>
      </c>
      <c r="K157" s="375">
        <v>2000</v>
      </c>
      <c r="L157" s="373" t="s">
        <v>129</v>
      </c>
      <c r="M157" s="384">
        <v>44967</v>
      </c>
      <c r="N157" s="377">
        <v>48619</v>
      </c>
      <c r="O157" s="378"/>
      <c r="P157" s="377">
        <v>46793</v>
      </c>
      <c r="Q157" s="377">
        <v>46792</v>
      </c>
      <c r="R157" s="376">
        <v>109620</v>
      </c>
      <c r="S157" s="376">
        <f t="shared" si="25"/>
        <v>46792</v>
      </c>
      <c r="T157" s="378"/>
      <c r="U157" s="375">
        <v>109620</v>
      </c>
      <c r="V157" s="376">
        <f t="shared" si="26"/>
        <v>0</v>
      </c>
      <c r="W157" s="375">
        <v>123600</v>
      </c>
      <c r="X157" s="376">
        <f t="shared" si="27"/>
        <v>0</v>
      </c>
      <c r="Y157" s="379" t="e">
        <f t="shared" si="28"/>
        <v>#VALUE!</v>
      </c>
      <c r="Z157" s="376" t="s">
        <v>39</v>
      </c>
      <c r="AA157" s="380"/>
      <c r="AB157" s="381"/>
      <c r="AC157" s="374" t="s">
        <v>40</v>
      </c>
      <c r="AD157" s="373" t="s">
        <v>130</v>
      </c>
      <c r="AE157" s="378"/>
      <c r="AF157" s="378"/>
      <c r="AG157" s="383"/>
      <c r="AH157" s="378"/>
    </row>
    <row r="158" spans="1:34" ht="14.25" customHeight="1">
      <c r="A158" s="378" t="s">
        <v>471</v>
      </c>
      <c r="B158" s="371"/>
      <c r="C158" s="372" t="s">
        <v>119</v>
      </c>
      <c r="D158" s="372" t="s">
        <v>35</v>
      </c>
      <c r="E158" s="371">
        <v>550830</v>
      </c>
      <c r="F158" s="373" t="s">
        <v>126</v>
      </c>
      <c r="G158" s="373" t="s">
        <v>497</v>
      </c>
      <c r="H158" s="372" t="s">
        <v>37</v>
      </c>
      <c r="I158" s="375">
        <v>1440</v>
      </c>
      <c r="J158" s="375" t="str">
        <f t="shared" si="24"/>
        <v>Office</v>
      </c>
      <c r="K158" s="375">
        <v>1500</v>
      </c>
      <c r="L158" s="373" t="s">
        <v>68</v>
      </c>
      <c r="M158" s="378"/>
      <c r="N158" s="378"/>
      <c r="O158" s="377">
        <v>44593</v>
      </c>
      <c r="P158" s="378"/>
      <c r="Q158" s="378"/>
      <c r="R158" s="376">
        <v>0</v>
      </c>
      <c r="S158" s="376">
        <f t="shared" si="25"/>
        <v>0</v>
      </c>
      <c r="T158" s="378"/>
      <c r="U158" s="375">
        <v>79800</v>
      </c>
      <c r="V158" s="376">
        <f t="shared" si="26"/>
        <v>0</v>
      </c>
      <c r="W158" s="375">
        <v>93600</v>
      </c>
      <c r="X158" s="376">
        <f t="shared" si="27"/>
        <v>0</v>
      </c>
      <c r="Y158" s="379" t="e">
        <f t="shared" si="28"/>
        <v>#VALUE!</v>
      </c>
      <c r="Z158" s="376" t="s">
        <v>69</v>
      </c>
      <c r="AA158" s="380"/>
      <c r="AB158" s="381"/>
      <c r="AC158" s="374" t="s">
        <v>40</v>
      </c>
      <c r="AD158" s="373" t="s">
        <v>510</v>
      </c>
      <c r="AE158" s="378"/>
      <c r="AF158" s="378"/>
      <c r="AG158" s="383"/>
      <c r="AH158" s="378"/>
    </row>
    <row r="159" spans="1:34" ht="14.25" customHeight="1">
      <c r="A159" s="378" t="s">
        <v>471</v>
      </c>
      <c r="B159" s="371"/>
      <c r="C159" s="372" t="s">
        <v>119</v>
      </c>
      <c r="D159" s="372" t="s">
        <v>35</v>
      </c>
      <c r="E159" s="371">
        <v>550830</v>
      </c>
      <c r="F159" s="373" t="s">
        <v>126</v>
      </c>
      <c r="G159" s="373" t="s">
        <v>498</v>
      </c>
      <c r="H159" s="372" t="s">
        <v>37</v>
      </c>
      <c r="I159" s="375">
        <v>1433</v>
      </c>
      <c r="J159" s="375" t="str">
        <f t="shared" si="24"/>
        <v>Office</v>
      </c>
      <c r="K159" s="375">
        <v>1500</v>
      </c>
      <c r="L159" s="373" t="s">
        <v>68</v>
      </c>
      <c r="M159" s="378"/>
      <c r="N159" s="378"/>
      <c r="O159" s="377">
        <v>43313</v>
      </c>
      <c r="P159" s="378"/>
      <c r="Q159" s="378"/>
      <c r="R159" s="376">
        <v>0</v>
      </c>
      <c r="S159" s="376">
        <f t="shared" si="25"/>
        <v>0</v>
      </c>
      <c r="T159" s="378"/>
      <c r="U159" s="375">
        <v>79750</v>
      </c>
      <c r="V159" s="376">
        <f t="shared" si="26"/>
        <v>0</v>
      </c>
      <c r="W159" s="375">
        <v>93100</v>
      </c>
      <c r="X159" s="376">
        <f t="shared" si="27"/>
        <v>0</v>
      </c>
      <c r="Y159" s="379" t="e">
        <f t="shared" si="28"/>
        <v>#VALUE!</v>
      </c>
      <c r="Z159" s="376" t="s">
        <v>69</v>
      </c>
      <c r="AA159" s="380"/>
      <c r="AB159" s="381"/>
      <c r="AC159" s="374" t="s">
        <v>40</v>
      </c>
      <c r="AD159" s="373" t="s">
        <v>510</v>
      </c>
      <c r="AE159" s="378"/>
      <c r="AF159" s="378"/>
      <c r="AG159" s="383"/>
      <c r="AH159" s="378"/>
    </row>
    <row r="160" spans="1:34" ht="14.25" customHeight="1">
      <c r="A160" s="378" t="s">
        <v>471</v>
      </c>
      <c r="B160" s="371"/>
      <c r="C160" s="372" t="s">
        <v>119</v>
      </c>
      <c r="D160" s="372" t="s">
        <v>35</v>
      </c>
      <c r="E160" s="371">
        <v>550830</v>
      </c>
      <c r="F160" s="373" t="s">
        <v>126</v>
      </c>
      <c r="G160" s="373" t="s">
        <v>509</v>
      </c>
      <c r="H160" s="372" t="s">
        <v>37</v>
      </c>
      <c r="I160" s="375">
        <v>1480</v>
      </c>
      <c r="J160" s="375" t="str">
        <f t="shared" si="24"/>
        <v>Office</v>
      </c>
      <c r="K160" s="375">
        <v>1500</v>
      </c>
      <c r="L160" s="373" t="s">
        <v>68</v>
      </c>
      <c r="M160" s="378"/>
      <c r="N160" s="378"/>
      <c r="O160" s="377">
        <v>44409</v>
      </c>
      <c r="P160" s="378"/>
      <c r="Q160" s="378"/>
      <c r="R160" s="376">
        <v>0</v>
      </c>
      <c r="S160" s="376">
        <f t="shared" si="25"/>
        <v>0</v>
      </c>
      <c r="T160" s="378"/>
      <c r="U160" s="375">
        <v>79800</v>
      </c>
      <c r="V160" s="376">
        <f t="shared" si="26"/>
        <v>0</v>
      </c>
      <c r="W160" s="375">
        <v>96200</v>
      </c>
      <c r="X160" s="376">
        <f t="shared" si="27"/>
        <v>0</v>
      </c>
      <c r="Y160" s="379" t="e">
        <f t="shared" si="28"/>
        <v>#VALUE!</v>
      </c>
      <c r="Z160" s="376" t="s">
        <v>76</v>
      </c>
      <c r="AA160" s="380"/>
      <c r="AB160" s="381"/>
      <c r="AC160" s="374" t="s">
        <v>40</v>
      </c>
      <c r="AD160" s="373" t="s">
        <v>510</v>
      </c>
      <c r="AE160" s="378"/>
      <c r="AF160" s="378"/>
      <c r="AG160" s="383"/>
      <c r="AH160" s="378"/>
    </row>
    <row r="161" spans="1:34">
      <c r="A161" s="378" t="s">
        <v>471</v>
      </c>
      <c r="B161" s="371"/>
      <c r="C161" s="372" t="s">
        <v>119</v>
      </c>
      <c r="D161" s="372" t="s">
        <v>35</v>
      </c>
      <c r="E161" s="371">
        <v>550830</v>
      </c>
      <c r="F161" s="373" t="s">
        <v>126</v>
      </c>
      <c r="G161" s="373" t="s">
        <v>546</v>
      </c>
      <c r="H161" s="372" t="s">
        <v>37</v>
      </c>
      <c r="I161" s="375">
        <v>784</v>
      </c>
      <c r="J161" s="375" t="str">
        <f t="shared" si="24"/>
        <v>Office</v>
      </c>
      <c r="K161" s="375">
        <v>750</v>
      </c>
      <c r="L161" s="373" t="s">
        <v>68</v>
      </c>
      <c r="M161" s="378"/>
      <c r="N161" s="378"/>
      <c r="O161" s="377">
        <v>44734</v>
      </c>
      <c r="P161" s="378"/>
      <c r="Q161" s="378"/>
      <c r="R161" s="376">
        <v>0</v>
      </c>
      <c r="S161" s="376">
        <f t="shared" si="25"/>
        <v>0</v>
      </c>
      <c r="T161" s="378"/>
      <c r="U161" s="375">
        <v>39030</v>
      </c>
      <c r="V161" s="376">
        <f t="shared" si="26"/>
        <v>0</v>
      </c>
      <c r="W161" s="375">
        <v>49000</v>
      </c>
      <c r="X161" s="376">
        <f t="shared" si="27"/>
        <v>0</v>
      </c>
      <c r="Y161" s="379" t="e">
        <f t="shared" si="28"/>
        <v>#VALUE!</v>
      </c>
      <c r="Z161" s="376" t="s">
        <v>69</v>
      </c>
      <c r="AA161" s="380"/>
      <c r="AB161" s="381"/>
      <c r="AC161" s="374" t="s">
        <v>40</v>
      </c>
      <c r="AD161" s="373" t="s">
        <v>510</v>
      </c>
      <c r="AE161" s="378"/>
      <c r="AF161" s="378"/>
      <c r="AG161" s="383"/>
      <c r="AH161" s="378"/>
    </row>
    <row r="162" spans="1:34" ht="14.25" customHeight="1">
      <c r="B162" s="2"/>
      <c r="C162" s="11"/>
      <c r="D162" s="11" t="s">
        <v>35</v>
      </c>
      <c r="E162" s="2"/>
      <c r="H162" s="11"/>
      <c r="U162" s="7"/>
      <c r="V162" s="10"/>
      <c r="W162" s="7"/>
      <c r="X162" s="10"/>
      <c r="Y162" s="10"/>
      <c r="Z162" s="10"/>
      <c r="AA162" s="61"/>
      <c r="AC162" s="14"/>
      <c r="AG162" s="300"/>
    </row>
    <row r="163" spans="1:34" ht="14.25" customHeight="1">
      <c r="B163" s="2"/>
      <c r="C163" s="11"/>
      <c r="D163" s="11" t="s">
        <v>35</v>
      </c>
      <c r="E163" s="2"/>
      <c r="G163" s="92" t="s">
        <v>126</v>
      </c>
      <c r="H163" s="11"/>
      <c r="I163" s="18">
        <f>SUM(H156:H161)</f>
        <v>0</v>
      </c>
      <c r="J163" s="19"/>
      <c r="K163" s="19"/>
      <c r="L163" s="87"/>
      <c r="M163" s="43"/>
      <c r="R163" s="18">
        <f>SUM(Q156:Q161)</f>
        <v>93584</v>
      </c>
      <c r="S163" s="18"/>
      <c r="T163" s="19">
        <f>SUM(R156:R162)</f>
        <v>324620</v>
      </c>
      <c r="U163" s="18">
        <f>SUM(T156:T161)</f>
        <v>0</v>
      </c>
      <c r="V163" s="19"/>
      <c r="W163" s="18">
        <f>SUM(V156:V161)</f>
        <v>0</v>
      </c>
      <c r="X163" s="19"/>
      <c r="Y163" s="19"/>
      <c r="Z163" s="19"/>
      <c r="AA163" s="62"/>
      <c r="AB163" s="18">
        <v>9750000</v>
      </c>
      <c r="AC163" s="14"/>
      <c r="AF163" s="29"/>
      <c r="AG163" s="301"/>
      <c r="AH163" s="29"/>
    </row>
    <row r="164" spans="1:34" ht="14.25" customHeight="1">
      <c r="B164" s="2"/>
      <c r="C164" s="11"/>
      <c r="D164" s="11" t="s">
        <v>35</v>
      </c>
      <c r="E164" s="2"/>
      <c r="J164" s="10"/>
      <c r="K164" s="10"/>
      <c r="V164" s="10"/>
      <c r="X164" s="10"/>
      <c r="Y164" s="10"/>
      <c r="Z164" s="10"/>
      <c r="AA164" s="61"/>
      <c r="AC164" s="14"/>
      <c r="AG164" s="300"/>
    </row>
    <row r="165" spans="1:34" ht="14.25" customHeight="1">
      <c r="A165" t="s">
        <v>928</v>
      </c>
      <c r="B165" s="2"/>
      <c r="C165" s="11"/>
      <c r="D165" s="11" t="s">
        <v>35</v>
      </c>
      <c r="E165" s="2"/>
      <c r="H165" s="6" t="s">
        <v>131</v>
      </c>
      <c r="J165" s="10"/>
      <c r="K165" s="10"/>
      <c r="L165" s="32"/>
      <c r="V165" s="10"/>
      <c r="X165" s="10"/>
      <c r="Y165" s="10"/>
      <c r="Z165" s="10"/>
      <c r="AA165" s="61"/>
      <c r="AC165" s="14"/>
      <c r="AG165" s="300"/>
    </row>
    <row r="166" spans="1:34" ht="14.25" customHeight="1">
      <c r="B166" s="2"/>
      <c r="C166" s="11"/>
      <c r="D166" s="11" t="s">
        <v>35</v>
      </c>
      <c r="E166" s="2"/>
      <c r="H166" s="6"/>
      <c r="I166" s="24"/>
      <c r="J166" s="10"/>
      <c r="K166" s="10"/>
      <c r="U166" s="10"/>
      <c r="V166" s="10"/>
      <c r="W166" s="10"/>
      <c r="X166" s="10"/>
      <c r="Y166" s="10"/>
      <c r="Z166" s="10"/>
      <c r="AA166" s="61"/>
      <c r="AC166" s="14"/>
      <c r="AG166" s="300"/>
    </row>
    <row r="167" spans="1:34" ht="24" customHeight="1">
      <c r="A167" s="370" t="s">
        <v>471</v>
      </c>
      <c r="B167" s="371"/>
      <c r="C167" s="372" t="s">
        <v>44</v>
      </c>
      <c r="D167" s="372" t="s">
        <v>35</v>
      </c>
      <c r="E167" s="371">
        <v>550600</v>
      </c>
      <c r="F167" s="373" t="s">
        <v>131</v>
      </c>
      <c r="G167" s="373" t="s">
        <v>132</v>
      </c>
      <c r="H167" s="374" t="s">
        <v>120</v>
      </c>
      <c r="I167" s="375">
        <v>1449</v>
      </c>
      <c r="J167" s="375" t="str">
        <f>H167</f>
        <v>Showroom</v>
      </c>
      <c r="K167" s="375">
        <v>1500</v>
      </c>
      <c r="L167" s="373" t="s">
        <v>133</v>
      </c>
      <c r="M167" s="384">
        <v>45624</v>
      </c>
      <c r="N167" s="377">
        <v>49275</v>
      </c>
      <c r="O167" s="378"/>
      <c r="P167" s="378"/>
      <c r="Q167" s="378"/>
      <c r="R167" s="376">
        <v>70000</v>
      </c>
      <c r="S167" s="376">
        <f>Q167</f>
        <v>0</v>
      </c>
      <c r="T167" s="378"/>
      <c r="U167" s="376">
        <v>76500</v>
      </c>
      <c r="V167" s="376">
        <f>T167</f>
        <v>0</v>
      </c>
      <c r="W167" s="376">
        <v>76800</v>
      </c>
      <c r="X167" s="376">
        <f>V167</f>
        <v>0</v>
      </c>
      <c r="Y167" s="379" t="e">
        <f>T167/H167</f>
        <v>#VALUE!</v>
      </c>
      <c r="Z167" s="376" t="s">
        <v>39</v>
      </c>
      <c r="AA167" s="380"/>
      <c r="AB167" s="381"/>
      <c r="AC167" s="374" t="s">
        <v>40</v>
      </c>
      <c r="AD167" s="373" t="s">
        <v>134</v>
      </c>
      <c r="AE167" s="382"/>
      <c r="AF167" s="378"/>
      <c r="AG167" s="383"/>
      <c r="AH167" s="378"/>
    </row>
    <row r="168" spans="1:34" ht="28.5" customHeight="1">
      <c r="A168" s="378" t="s">
        <v>471</v>
      </c>
      <c r="B168" s="371"/>
      <c r="C168" s="372" t="s">
        <v>44</v>
      </c>
      <c r="D168" s="372" t="s">
        <v>35</v>
      </c>
      <c r="E168" s="371">
        <v>550600</v>
      </c>
      <c r="F168" s="373" t="s">
        <v>131</v>
      </c>
      <c r="G168" s="391" t="s">
        <v>135</v>
      </c>
      <c r="H168" s="374" t="s">
        <v>136</v>
      </c>
      <c r="I168" s="375">
        <v>1550</v>
      </c>
      <c r="J168" s="375" t="str">
        <f>H168</f>
        <v>A1/D1</v>
      </c>
      <c r="K168" s="375">
        <v>1500</v>
      </c>
      <c r="L168" s="373" t="s">
        <v>137</v>
      </c>
      <c r="M168" s="384">
        <v>43293</v>
      </c>
      <c r="N168" s="377">
        <v>46214</v>
      </c>
      <c r="O168" s="378"/>
      <c r="P168" s="378"/>
      <c r="Q168" s="378"/>
      <c r="R168" s="376">
        <v>120000</v>
      </c>
      <c r="S168" s="376">
        <f>Q168</f>
        <v>0</v>
      </c>
      <c r="T168" s="378"/>
      <c r="U168" s="376">
        <v>81000</v>
      </c>
      <c r="V168" s="376">
        <f>T168</f>
        <v>0</v>
      </c>
      <c r="W168" s="376">
        <v>97300</v>
      </c>
      <c r="X168" s="376">
        <f>V168</f>
        <v>0</v>
      </c>
      <c r="Y168" s="379" t="e">
        <f>T168/H168</f>
        <v>#VALUE!</v>
      </c>
      <c r="Z168" s="376" t="s">
        <v>39</v>
      </c>
      <c r="AA168" s="380"/>
      <c r="AB168" s="381"/>
      <c r="AC168" s="374" t="s">
        <v>40</v>
      </c>
      <c r="AD168" s="378"/>
      <c r="AE168" s="378"/>
      <c r="AF168" s="378"/>
      <c r="AG168" s="383"/>
      <c r="AH168" s="378"/>
    </row>
    <row r="169" spans="1:34" ht="48">
      <c r="A169" s="378" t="s">
        <v>471</v>
      </c>
      <c r="B169" s="371"/>
      <c r="C169" s="372" t="s">
        <v>44</v>
      </c>
      <c r="D169" s="372" t="s">
        <v>35</v>
      </c>
      <c r="E169" s="371">
        <v>550600</v>
      </c>
      <c r="F169" s="373" t="s">
        <v>131</v>
      </c>
      <c r="G169" s="373" t="s">
        <v>197</v>
      </c>
      <c r="H169" s="374" t="s">
        <v>37</v>
      </c>
      <c r="I169" s="375">
        <v>3441</v>
      </c>
      <c r="J169" s="375" t="str">
        <f>H169</f>
        <v>Office</v>
      </c>
      <c r="K169" s="375">
        <v>3500</v>
      </c>
      <c r="L169" s="373" t="s">
        <v>257</v>
      </c>
      <c r="M169" s="384">
        <v>44358</v>
      </c>
      <c r="N169" s="377">
        <v>48009</v>
      </c>
      <c r="O169" s="378"/>
      <c r="P169" s="377">
        <v>46184</v>
      </c>
      <c r="Q169" s="377">
        <v>46183</v>
      </c>
      <c r="R169" s="376">
        <v>189000</v>
      </c>
      <c r="S169" s="376">
        <f>Q169</f>
        <v>46183</v>
      </c>
      <c r="T169" s="378"/>
      <c r="U169" s="376">
        <v>189300</v>
      </c>
      <c r="V169" s="376">
        <f>T169</f>
        <v>0</v>
      </c>
      <c r="W169" s="376">
        <v>189300</v>
      </c>
      <c r="X169" s="376">
        <f>V169</f>
        <v>0</v>
      </c>
      <c r="Y169" s="379" t="e">
        <f>T169/H169</f>
        <v>#VALUE!</v>
      </c>
      <c r="Z169" s="376" t="s">
        <v>76</v>
      </c>
      <c r="AA169" s="380"/>
      <c r="AB169" s="381"/>
      <c r="AC169" s="374" t="s">
        <v>40</v>
      </c>
      <c r="AD169" s="373" t="s">
        <v>581</v>
      </c>
      <c r="AE169" s="378"/>
      <c r="AF169" s="378"/>
      <c r="AG169" s="383"/>
      <c r="AH169" s="378"/>
    </row>
    <row r="170" spans="1:34" ht="14.25" customHeight="1">
      <c r="B170" s="2"/>
      <c r="C170" s="11"/>
      <c r="D170" s="11" t="s">
        <v>35</v>
      </c>
      <c r="E170" s="2"/>
      <c r="J170" s="10"/>
      <c r="K170" s="10"/>
      <c r="U170" s="10"/>
      <c r="V170" s="10"/>
      <c r="W170" s="10"/>
      <c r="X170" s="10"/>
      <c r="Y170" s="10"/>
      <c r="Z170" s="10"/>
      <c r="AA170" s="61"/>
      <c r="AC170" s="14"/>
      <c r="AG170" s="300"/>
    </row>
    <row r="171" spans="1:34" ht="14.25" customHeight="1">
      <c r="B171" s="2"/>
      <c r="C171" s="11"/>
      <c r="D171" s="11" t="s">
        <v>35</v>
      </c>
      <c r="E171" s="2"/>
      <c r="G171" s="92" t="s">
        <v>131</v>
      </c>
      <c r="I171" s="18">
        <f>SUM(H167:H169)</f>
        <v>0</v>
      </c>
      <c r="J171" s="19"/>
      <c r="K171" s="19"/>
      <c r="R171" s="19">
        <f>SUM(Q167:Q169)</f>
        <v>46183</v>
      </c>
      <c r="S171" s="19"/>
      <c r="T171" s="19">
        <f>SUM(R166:R169)</f>
        <v>379000</v>
      </c>
      <c r="U171" s="19">
        <f>SUM(T167:T169)</f>
        <v>0</v>
      </c>
      <c r="V171" s="19"/>
      <c r="W171" s="19">
        <f>SUM(V167:V169)</f>
        <v>0</v>
      </c>
      <c r="X171" s="19"/>
      <c r="Y171" s="19"/>
      <c r="Z171" s="19"/>
      <c r="AA171" s="62"/>
      <c r="AB171" s="18">
        <v>5950000</v>
      </c>
      <c r="AC171" s="14"/>
      <c r="AF171" s="29"/>
      <c r="AG171" s="301"/>
      <c r="AH171" s="29"/>
    </row>
    <row r="172" spans="1:34" ht="14.25" customHeight="1">
      <c r="B172" s="2"/>
      <c r="C172" s="11"/>
      <c r="D172" s="11" t="s">
        <v>35</v>
      </c>
      <c r="E172" s="2"/>
      <c r="G172" s="92"/>
      <c r="I172" s="18"/>
      <c r="J172" s="19"/>
      <c r="K172" s="19"/>
      <c r="R172" s="19"/>
      <c r="S172" s="19"/>
      <c r="T172" s="19"/>
      <c r="U172" s="19"/>
      <c r="V172" s="19"/>
      <c r="W172" s="19"/>
      <c r="X172" s="19"/>
      <c r="Y172" s="19"/>
      <c r="Z172" s="19"/>
      <c r="AA172" s="62"/>
      <c r="AB172" s="54"/>
      <c r="AC172" s="14"/>
      <c r="AG172" s="300"/>
    </row>
    <row r="173" spans="1:34" ht="14.25" customHeight="1">
      <c r="A173" t="s">
        <v>928</v>
      </c>
      <c r="B173" s="2"/>
      <c r="C173" s="11"/>
      <c r="D173" s="11" t="s">
        <v>35</v>
      </c>
      <c r="E173" s="2"/>
      <c r="H173" s="6" t="s">
        <v>138</v>
      </c>
      <c r="J173" s="10"/>
      <c r="K173" s="10"/>
      <c r="L173" s="32"/>
      <c r="V173" s="10"/>
      <c r="X173" s="10"/>
      <c r="Y173" s="10"/>
      <c r="Z173" s="10"/>
      <c r="AA173" s="61"/>
      <c r="AC173" s="14"/>
      <c r="AG173" s="300"/>
    </row>
    <row r="174" spans="1:34" ht="14.25" customHeight="1">
      <c r="B174" s="2"/>
      <c r="C174" s="11"/>
      <c r="D174" s="11" t="s">
        <v>35</v>
      </c>
      <c r="E174" s="2"/>
      <c r="J174" s="10"/>
      <c r="K174" s="10"/>
      <c r="U174" s="10"/>
      <c r="V174" s="10"/>
      <c r="W174" s="10"/>
      <c r="X174" s="10"/>
      <c r="Y174" s="10"/>
      <c r="Z174" s="10"/>
      <c r="AA174" s="61"/>
      <c r="AC174" s="14"/>
      <c r="AG174" s="300"/>
    </row>
    <row r="175" spans="1:34" ht="72">
      <c r="A175" s="370" t="s">
        <v>471</v>
      </c>
      <c r="B175" s="371"/>
      <c r="C175" s="372" t="s">
        <v>97</v>
      </c>
      <c r="D175" s="372" t="s">
        <v>35</v>
      </c>
      <c r="E175" s="371">
        <v>550990</v>
      </c>
      <c r="F175" s="373" t="s">
        <v>138</v>
      </c>
      <c r="G175" s="373" t="s">
        <v>139</v>
      </c>
      <c r="H175" s="374" t="s">
        <v>46</v>
      </c>
      <c r="I175" s="375">
        <v>1361</v>
      </c>
      <c r="J175" s="375" t="str">
        <f t="shared" ref="J175:J180" si="29">H175</f>
        <v>Retail</v>
      </c>
      <c r="K175" s="378"/>
      <c r="L175" s="373" t="s">
        <v>140</v>
      </c>
      <c r="M175" s="384">
        <v>45352</v>
      </c>
      <c r="N175" s="377">
        <v>49003</v>
      </c>
      <c r="O175" s="378"/>
      <c r="P175" s="377">
        <v>47178</v>
      </c>
      <c r="Q175" s="377">
        <v>47177</v>
      </c>
      <c r="R175" s="376">
        <v>60000</v>
      </c>
      <c r="S175" s="376">
        <f t="shared" ref="S175:S180" si="30">Q175</f>
        <v>47177</v>
      </c>
      <c r="T175" s="378"/>
      <c r="U175" s="376">
        <v>55600</v>
      </c>
      <c r="V175" s="376">
        <f t="shared" ref="V175:V180" si="31">T175</f>
        <v>0</v>
      </c>
      <c r="W175" s="376">
        <v>59000</v>
      </c>
      <c r="X175" s="376">
        <f t="shared" ref="X175:X180" si="32">V175</f>
        <v>0</v>
      </c>
      <c r="Y175" s="379" t="e">
        <f t="shared" ref="Y175:Y180" si="33">T175/H175</f>
        <v>#VALUE!</v>
      </c>
      <c r="Z175" s="376" t="s">
        <v>58</v>
      </c>
      <c r="AA175" s="380"/>
      <c r="AB175" s="381"/>
      <c r="AC175" s="374" t="s">
        <v>40</v>
      </c>
      <c r="AD175" s="373" t="s">
        <v>141</v>
      </c>
      <c r="AE175" s="378"/>
      <c r="AF175" s="378"/>
      <c r="AG175" s="383"/>
      <c r="AH175" s="378"/>
    </row>
    <row r="176" spans="1:34" ht="14.25" customHeight="1">
      <c r="A176" s="378" t="s">
        <v>471</v>
      </c>
      <c r="B176" s="371"/>
      <c r="C176" s="372" t="s">
        <v>97</v>
      </c>
      <c r="D176" s="372" t="s">
        <v>35</v>
      </c>
      <c r="E176" s="371">
        <v>550990</v>
      </c>
      <c r="F176" s="373" t="s">
        <v>138</v>
      </c>
      <c r="G176" s="373" t="s">
        <v>494</v>
      </c>
      <c r="H176" s="374" t="s">
        <v>37</v>
      </c>
      <c r="I176" s="375">
        <v>552</v>
      </c>
      <c r="J176" s="375" t="str">
        <f t="shared" si="29"/>
        <v>Office</v>
      </c>
      <c r="K176" s="378"/>
      <c r="L176" s="373" t="s">
        <v>582</v>
      </c>
      <c r="M176" s="384">
        <v>45579</v>
      </c>
      <c r="N176" s="377">
        <v>47404</v>
      </c>
      <c r="O176" s="378"/>
      <c r="P176" s="378"/>
      <c r="Q176" s="377">
        <v>46673</v>
      </c>
      <c r="R176" s="376">
        <v>33000</v>
      </c>
      <c r="S176" s="376">
        <f t="shared" si="30"/>
        <v>46673</v>
      </c>
      <c r="T176" s="378"/>
      <c r="U176" s="376">
        <v>29700</v>
      </c>
      <c r="V176" s="376">
        <f t="shared" si="31"/>
        <v>0</v>
      </c>
      <c r="W176" s="376">
        <v>30400</v>
      </c>
      <c r="X176" s="376">
        <f t="shared" si="32"/>
        <v>0</v>
      </c>
      <c r="Y176" s="379" t="e">
        <f t="shared" si="33"/>
        <v>#VALUE!</v>
      </c>
      <c r="Z176" s="376" t="s">
        <v>69</v>
      </c>
      <c r="AA176" s="380"/>
      <c r="AB176" s="381"/>
      <c r="AC176" s="374" t="s">
        <v>40</v>
      </c>
      <c r="AD176" s="373" t="s">
        <v>130</v>
      </c>
      <c r="AE176" s="382"/>
      <c r="AF176" s="378"/>
      <c r="AG176" s="383"/>
      <c r="AH176" s="378"/>
    </row>
    <row r="177" spans="1:34" ht="14.25" customHeight="1">
      <c r="A177" s="378" t="s">
        <v>471</v>
      </c>
      <c r="B177" s="371"/>
      <c r="C177" s="372" t="s">
        <v>97</v>
      </c>
      <c r="D177" s="372" t="s">
        <v>35</v>
      </c>
      <c r="E177" s="371">
        <v>550990</v>
      </c>
      <c r="F177" s="373" t="s">
        <v>138</v>
      </c>
      <c r="G177" s="373" t="s">
        <v>497</v>
      </c>
      <c r="H177" s="374" t="s">
        <v>37</v>
      </c>
      <c r="I177" s="375">
        <v>304</v>
      </c>
      <c r="J177" s="375" t="str">
        <f t="shared" si="29"/>
        <v>Office</v>
      </c>
      <c r="K177" s="375">
        <v>250</v>
      </c>
      <c r="L177" s="373" t="s">
        <v>68</v>
      </c>
      <c r="M177" s="378"/>
      <c r="N177" s="378"/>
      <c r="O177" s="377">
        <v>43256</v>
      </c>
      <c r="P177" s="378"/>
      <c r="Q177" s="378"/>
      <c r="R177" s="376">
        <v>0</v>
      </c>
      <c r="S177" s="376">
        <f t="shared" si="30"/>
        <v>0</v>
      </c>
      <c r="T177" s="378"/>
      <c r="U177" s="376">
        <v>15800</v>
      </c>
      <c r="V177" s="376">
        <f t="shared" si="31"/>
        <v>0</v>
      </c>
      <c r="W177" s="376">
        <v>16700</v>
      </c>
      <c r="X177" s="376">
        <f t="shared" si="32"/>
        <v>0</v>
      </c>
      <c r="Y177" s="379" t="e">
        <f t="shared" si="33"/>
        <v>#VALUE!</v>
      </c>
      <c r="Z177" s="376"/>
      <c r="AA177" s="380"/>
      <c r="AB177" s="381"/>
      <c r="AC177" s="374" t="s">
        <v>40</v>
      </c>
      <c r="AD177" s="373" t="s">
        <v>510</v>
      </c>
      <c r="AE177" s="378"/>
      <c r="AF177" s="378"/>
      <c r="AG177" s="383"/>
      <c r="AH177" s="378"/>
    </row>
    <row r="178" spans="1:34" ht="24">
      <c r="A178" s="378" t="s">
        <v>471</v>
      </c>
      <c r="B178" s="371"/>
      <c r="C178" s="372" t="s">
        <v>97</v>
      </c>
      <c r="D178" s="372" t="s">
        <v>35</v>
      </c>
      <c r="E178" s="371">
        <v>550990</v>
      </c>
      <c r="F178" s="373" t="s">
        <v>138</v>
      </c>
      <c r="G178" s="373" t="s">
        <v>498</v>
      </c>
      <c r="H178" s="374" t="s">
        <v>37</v>
      </c>
      <c r="I178" s="375">
        <v>314</v>
      </c>
      <c r="J178" s="375" t="str">
        <f t="shared" si="29"/>
        <v>Office</v>
      </c>
      <c r="K178" s="378"/>
      <c r="L178" s="373" t="s">
        <v>583</v>
      </c>
      <c r="M178" s="384">
        <v>45476</v>
      </c>
      <c r="N178" s="377">
        <v>47301</v>
      </c>
      <c r="O178" s="378"/>
      <c r="P178" s="378"/>
      <c r="Q178" s="377">
        <v>46570</v>
      </c>
      <c r="R178" s="376">
        <v>17500</v>
      </c>
      <c r="S178" s="376">
        <f t="shared" si="30"/>
        <v>46570</v>
      </c>
      <c r="T178" s="378"/>
      <c r="U178" s="376">
        <v>15000</v>
      </c>
      <c r="V178" s="376">
        <f t="shared" si="31"/>
        <v>0</v>
      </c>
      <c r="W178" s="376">
        <v>18100</v>
      </c>
      <c r="X178" s="376">
        <f t="shared" si="32"/>
        <v>0</v>
      </c>
      <c r="Y178" s="379" t="e">
        <f t="shared" si="33"/>
        <v>#VALUE!</v>
      </c>
      <c r="Z178" s="376" t="s">
        <v>39</v>
      </c>
      <c r="AA178" s="380"/>
      <c r="AB178" s="381"/>
      <c r="AC178" s="374" t="s">
        <v>40</v>
      </c>
      <c r="AD178" s="373" t="s">
        <v>584</v>
      </c>
      <c r="AE178" s="378"/>
      <c r="AF178" s="385"/>
      <c r="AG178" s="386"/>
      <c r="AH178" s="385"/>
    </row>
    <row r="179" spans="1:34" ht="18" customHeight="1">
      <c r="A179" s="378" t="s">
        <v>471</v>
      </c>
      <c r="B179" s="371"/>
      <c r="C179" s="372" t="s">
        <v>97</v>
      </c>
      <c r="D179" s="372" t="s">
        <v>35</v>
      </c>
      <c r="E179" s="371">
        <v>550990</v>
      </c>
      <c r="F179" s="373" t="s">
        <v>138</v>
      </c>
      <c r="G179" s="373" t="s">
        <v>509</v>
      </c>
      <c r="H179" s="374" t="s">
        <v>37</v>
      </c>
      <c r="I179" s="375">
        <v>314</v>
      </c>
      <c r="J179" s="375" t="str">
        <f t="shared" si="29"/>
        <v>Office</v>
      </c>
      <c r="K179" s="378"/>
      <c r="L179" s="373" t="s">
        <v>585</v>
      </c>
      <c r="M179" s="389">
        <v>45754</v>
      </c>
      <c r="N179" s="387">
        <v>46849</v>
      </c>
      <c r="O179" s="378"/>
      <c r="P179" s="378"/>
      <c r="Q179" s="378"/>
      <c r="R179" s="390">
        <v>17500</v>
      </c>
      <c r="S179" s="376">
        <f t="shared" si="30"/>
        <v>0</v>
      </c>
      <c r="T179" s="378"/>
      <c r="U179" s="376">
        <v>15500</v>
      </c>
      <c r="V179" s="376">
        <f t="shared" si="31"/>
        <v>0</v>
      </c>
      <c r="W179" s="376">
        <v>17300</v>
      </c>
      <c r="X179" s="376">
        <f t="shared" si="32"/>
        <v>0</v>
      </c>
      <c r="Y179" s="379" t="e">
        <f t="shared" si="33"/>
        <v>#VALUE!</v>
      </c>
      <c r="Z179" s="376" t="s">
        <v>39</v>
      </c>
      <c r="AA179" s="380"/>
      <c r="AB179" s="381"/>
      <c r="AC179" s="374" t="s">
        <v>40</v>
      </c>
      <c r="AD179" s="385" t="s">
        <v>586</v>
      </c>
      <c r="AE179" s="378"/>
      <c r="AF179" s="378"/>
      <c r="AG179" s="383"/>
      <c r="AH179" s="378"/>
    </row>
    <row r="180" spans="1:34" ht="24">
      <c r="A180" s="378" t="s">
        <v>471</v>
      </c>
      <c r="B180" s="371"/>
      <c r="C180" s="372" t="s">
        <v>97</v>
      </c>
      <c r="D180" s="372" t="s">
        <v>35</v>
      </c>
      <c r="E180" s="371">
        <v>550990</v>
      </c>
      <c r="F180" s="373" t="s">
        <v>138</v>
      </c>
      <c r="G180" s="373" t="s">
        <v>546</v>
      </c>
      <c r="H180" s="374" t="s">
        <v>37</v>
      </c>
      <c r="I180" s="375">
        <v>309</v>
      </c>
      <c r="J180" s="375" t="str">
        <f t="shared" si="29"/>
        <v>Office</v>
      </c>
      <c r="K180" s="378"/>
      <c r="L180" s="373" t="s">
        <v>587</v>
      </c>
      <c r="M180" s="384">
        <v>44767</v>
      </c>
      <c r="N180" s="377">
        <v>45862</v>
      </c>
      <c r="O180" s="378"/>
      <c r="P180" s="378"/>
      <c r="Q180" s="378"/>
      <c r="R180" s="376">
        <v>16000</v>
      </c>
      <c r="S180" s="376">
        <f t="shared" si="30"/>
        <v>0</v>
      </c>
      <c r="T180" s="378"/>
      <c r="U180" s="376">
        <v>15000</v>
      </c>
      <c r="V180" s="376">
        <f t="shared" si="31"/>
        <v>0</v>
      </c>
      <c r="W180" s="376">
        <v>15500</v>
      </c>
      <c r="X180" s="376">
        <f t="shared" si="32"/>
        <v>0</v>
      </c>
      <c r="Y180" s="379" t="e">
        <f t="shared" si="33"/>
        <v>#VALUE!</v>
      </c>
      <c r="Z180" s="376" t="s">
        <v>39</v>
      </c>
      <c r="AA180" s="380"/>
      <c r="AB180" s="381"/>
      <c r="AC180" s="374" t="s">
        <v>40</v>
      </c>
      <c r="AD180" s="385" t="s">
        <v>154</v>
      </c>
      <c r="AE180" s="378"/>
      <c r="AF180" s="378"/>
      <c r="AG180" s="383"/>
      <c r="AH180" s="378"/>
    </row>
    <row r="181" spans="1:34" ht="14.25" customHeight="1">
      <c r="B181" s="2"/>
      <c r="C181" s="11"/>
      <c r="D181" s="11" t="s">
        <v>35</v>
      </c>
      <c r="E181" s="2"/>
      <c r="J181" s="10"/>
      <c r="K181" s="10"/>
      <c r="U181" s="10"/>
      <c r="V181" s="10"/>
      <c r="W181" s="10"/>
      <c r="X181" s="10"/>
      <c r="Y181" s="10"/>
      <c r="Z181" s="10"/>
      <c r="AA181" s="61"/>
      <c r="AB181" s="18"/>
      <c r="AC181" s="14"/>
      <c r="AG181" s="300"/>
    </row>
    <row r="182" spans="1:34" ht="14.25" customHeight="1">
      <c r="B182" s="2"/>
      <c r="C182" s="11"/>
      <c r="D182" s="11" t="s">
        <v>35</v>
      </c>
      <c r="E182" s="2"/>
      <c r="G182" s="92" t="s">
        <v>142</v>
      </c>
      <c r="I182" s="18">
        <f>SUM(H175:H180)</f>
        <v>0</v>
      </c>
      <c r="J182" s="19"/>
      <c r="K182" s="19"/>
      <c r="R182" s="19">
        <f>SUM(Q175:Q180)</f>
        <v>140420</v>
      </c>
      <c r="S182" s="19"/>
      <c r="T182" s="19">
        <f>SUM(R174:R181)</f>
        <v>144000</v>
      </c>
      <c r="U182" s="19">
        <f>SUM(T175:T180)</f>
        <v>0</v>
      </c>
      <c r="V182" s="19"/>
      <c r="W182" s="19">
        <f>SUM(V175:V180)</f>
        <v>0</v>
      </c>
      <c r="X182" s="19"/>
      <c r="Y182" s="19"/>
      <c r="Z182" s="19"/>
      <c r="AA182" s="62"/>
      <c r="AB182" s="18">
        <v>2325000</v>
      </c>
      <c r="AC182" s="14"/>
      <c r="AF182" s="29"/>
      <c r="AG182" s="301"/>
      <c r="AH182" s="29"/>
    </row>
    <row r="183" spans="1:34" ht="14.25" customHeight="1">
      <c r="B183" s="2"/>
      <c r="C183" s="11"/>
      <c r="D183" s="11" t="s">
        <v>35</v>
      </c>
      <c r="E183" s="2"/>
      <c r="G183" s="92"/>
      <c r="I183" s="18"/>
      <c r="J183" s="19"/>
      <c r="K183" s="19"/>
      <c r="R183" s="19"/>
      <c r="S183" s="19"/>
      <c r="T183" s="19"/>
      <c r="U183" s="19"/>
      <c r="V183" s="19"/>
      <c r="W183" s="19"/>
      <c r="X183" s="19"/>
      <c r="Y183" s="19"/>
      <c r="Z183" s="19"/>
      <c r="AA183" s="62"/>
      <c r="AB183" s="54"/>
      <c r="AC183" s="14"/>
      <c r="AG183" s="300"/>
    </row>
    <row r="184" spans="1:34" ht="14.25" customHeight="1">
      <c r="A184" t="s">
        <v>928</v>
      </c>
      <c r="B184" s="2"/>
      <c r="C184" s="11"/>
      <c r="D184" s="11" t="s">
        <v>35</v>
      </c>
      <c r="E184" s="2"/>
      <c r="H184" s="6" t="s">
        <v>142</v>
      </c>
      <c r="J184" s="10"/>
      <c r="K184" s="10"/>
      <c r="L184" s="32"/>
      <c r="V184" s="10"/>
      <c r="X184" s="10"/>
      <c r="Y184" s="10"/>
      <c r="Z184" s="10"/>
      <c r="AA184" s="61"/>
      <c r="AC184" s="14"/>
      <c r="AG184" s="300"/>
    </row>
    <row r="185" spans="1:34" ht="14.25" customHeight="1">
      <c r="B185" s="2"/>
      <c r="C185" s="11"/>
      <c r="D185" s="11" t="s">
        <v>35</v>
      </c>
      <c r="E185" s="2"/>
      <c r="J185" s="10"/>
      <c r="K185" s="10"/>
      <c r="U185" s="10"/>
      <c r="V185" s="10"/>
      <c r="W185" s="10"/>
      <c r="X185" s="10"/>
      <c r="Y185" s="10"/>
      <c r="Z185" s="10"/>
      <c r="AA185" s="61"/>
      <c r="AC185" s="14"/>
      <c r="AG185" s="300"/>
    </row>
    <row r="186" spans="1:34" ht="36">
      <c r="A186" s="370" t="s">
        <v>471</v>
      </c>
      <c r="B186" s="371"/>
      <c r="C186" s="372" t="s">
        <v>60</v>
      </c>
      <c r="D186" s="372" t="s">
        <v>35</v>
      </c>
      <c r="E186" s="371">
        <v>550700</v>
      </c>
      <c r="F186" s="373" t="s">
        <v>142</v>
      </c>
      <c r="G186" s="373" t="s">
        <v>139</v>
      </c>
      <c r="H186" s="374" t="s">
        <v>46</v>
      </c>
      <c r="I186" s="375">
        <v>750</v>
      </c>
      <c r="J186" s="375" t="str">
        <f>H186</f>
        <v>Retail</v>
      </c>
      <c r="K186" s="378"/>
      <c r="L186" s="373" t="s">
        <v>143</v>
      </c>
      <c r="M186" s="384">
        <v>45377</v>
      </c>
      <c r="N186" s="377">
        <v>49028</v>
      </c>
      <c r="O186" s="378"/>
      <c r="P186" s="377">
        <v>47203</v>
      </c>
      <c r="Q186" s="378"/>
      <c r="R186" s="376">
        <v>45000</v>
      </c>
      <c r="S186" s="376">
        <f>Q186</f>
        <v>0</v>
      </c>
      <c r="T186" s="378"/>
      <c r="U186" s="376">
        <v>39000</v>
      </c>
      <c r="V186" s="376">
        <f>T186</f>
        <v>0</v>
      </c>
      <c r="W186" s="376">
        <v>39000</v>
      </c>
      <c r="X186" s="376">
        <f>V186</f>
        <v>0</v>
      </c>
      <c r="Y186" s="379" t="e">
        <f>T186/H186</f>
        <v>#VALUE!</v>
      </c>
      <c r="Z186" s="376" t="s">
        <v>69</v>
      </c>
      <c r="AA186" s="380"/>
      <c r="AB186" s="381"/>
      <c r="AC186" s="374" t="s">
        <v>40</v>
      </c>
      <c r="AD186" s="378"/>
      <c r="AE186" s="378"/>
      <c r="AF186" s="378"/>
      <c r="AG186" s="378"/>
      <c r="AH186" s="378"/>
    </row>
    <row r="187" spans="1:34" ht="14.25" customHeight="1">
      <c r="A187" s="378" t="s">
        <v>471</v>
      </c>
      <c r="B187" s="371"/>
      <c r="C187" s="372" t="s">
        <v>60</v>
      </c>
      <c r="D187" s="372" t="s">
        <v>35</v>
      </c>
      <c r="E187" s="371">
        <v>550700</v>
      </c>
      <c r="F187" s="373" t="s">
        <v>142</v>
      </c>
      <c r="G187" s="373" t="s">
        <v>494</v>
      </c>
      <c r="H187" s="374" t="s">
        <v>37</v>
      </c>
      <c r="I187" s="375">
        <v>325</v>
      </c>
      <c r="J187" s="375" t="str">
        <f>H187</f>
        <v>Office</v>
      </c>
      <c r="K187" s="375">
        <v>500</v>
      </c>
      <c r="L187" s="373" t="s">
        <v>68</v>
      </c>
      <c r="M187" s="378"/>
      <c r="N187" s="378"/>
      <c r="O187" s="377">
        <v>45282</v>
      </c>
      <c r="P187" s="378"/>
      <c r="Q187" s="378"/>
      <c r="R187" s="376">
        <v>0</v>
      </c>
      <c r="S187" s="376">
        <f>Q187</f>
        <v>0</v>
      </c>
      <c r="T187" s="378"/>
      <c r="U187" s="376">
        <v>17100</v>
      </c>
      <c r="V187" s="376">
        <f>T187</f>
        <v>0</v>
      </c>
      <c r="W187" s="376">
        <v>17100</v>
      </c>
      <c r="X187" s="376">
        <f>V187</f>
        <v>0</v>
      </c>
      <c r="Y187" s="379" t="e">
        <f>T187/H187</f>
        <v>#VALUE!</v>
      </c>
      <c r="Z187" s="376" t="s">
        <v>76</v>
      </c>
      <c r="AA187" s="380"/>
      <c r="AB187" s="381"/>
      <c r="AC187" s="374" t="s">
        <v>40</v>
      </c>
      <c r="AD187" s="373" t="s">
        <v>510</v>
      </c>
      <c r="AE187" s="388">
        <v>58</v>
      </c>
      <c r="AF187" s="378"/>
      <c r="AG187" s="383">
        <v>1</v>
      </c>
      <c r="AH187" s="378"/>
    </row>
    <row r="188" spans="1:34" ht="36">
      <c r="A188" s="378" t="s">
        <v>471</v>
      </c>
      <c r="B188" s="371"/>
      <c r="C188" s="372" t="s">
        <v>60</v>
      </c>
      <c r="D188" s="372" t="s">
        <v>35</v>
      </c>
      <c r="E188" s="371">
        <v>550700</v>
      </c>
      <c r="F188" s="373" t="s">
        <v>142</v>
      </c>
      <c r="G188" s="373" t="s">
        <v>497</v>
      </c>
      <c r="H188" s="374" t="s">
        <v>37</v>
      </c>
      <c r="I188" s="375">
        <v>325</v>
      </c>
      <c r="J188" s="375" t="str">
        <f>H188</f>
        <v>Office</v>
      </c>
      <c r="K188" s="375">
        <v>500</v>
      </c>
      <c r="L188" s="373" t="s">
        <v>588</v>
      </c>
      <c r="M188" s="384">
        <v>45698</v>
      </c>
      <c r="N188" s="377">
        <v>46427</v>
      </c>
      <c r="O188" s="378"/>
      <c r="P188" s="378"/>
      <c r="Q188" s="378"/>
      <c r="R188" s="376">
        <v>22069</v>
      </c>
      <c r="S188" s="376">
        <f>Q188</f>
        <v>0</v>
      </c>
      <c r="T188" s="378"/>
      <c r="U188" s="376">
        <v>17100</v>
      </c>
      <c r="V188" s="376">
        <f>T188</f>
        <v>0</v>
      </c>
      <c r="W188" s="376">
        <v>17100</v>
      </c>
      <c r="X188" s="376">
        <f>V188</f>
        <v>0</v>
      </c>
      <c r="Y188" s="379" t="e">
        <f>T188/H188</f>
        <v>#VALUE!</v>
      </c>
      <c r="Z188" s="376" t="s">
        <v>69</v>
      </c>
      <c r="AA188" s="380"/>
      <c r="AB188" s="381"/>
      <c r="AC188" s="374" t="s">
        <v>40</v>
      </c>
      <c r="AD188" s="373" t="s">
        <v>589</v>
      </c>
      <c r="AE188" s="378"/>
      <c r="AF188" s="378"/>
      <c r="AG188" s="383">
        <v>1</v>
      </c>
      <c r="AH188" s="378"/>
    </row>
    <row r="189" spans="1:34">
      <c r="A189" s="378" t="s">
        <v>471</v>
      </c>
      <c r="B189" s="371"/>
      <c r="C189" s="372" t="s">
        <v>60</v>
      </c>
      <c r="D189" s="372" t="s">
        <v>35</v>
      </c>
      <c r="E189" s="371">
        <v>550700</v>
      </c>
      <c r="F189" s="373" t="s">
        <v>142</v>
      </c>
      <c r="G189" s="373" t="s">
        <v>498</v>
      </c>
      <c r="H189" s="374" t="s">
        <v>37</v>
      </c>
      <c r="I189" s="375">
        <v>325</v>
      </c>
      <c r="J189" s="375" t="str">
        <f>H189</f>
        <v>Office</v>
      </c>
      <c r="K189" s="375">
        <v>500</v>
      </c>
      <c r="L189" s="373" t="s">
        <v>68</v>
      </c>
      <c r="M189" s="378"/>
      <c r="N189" s="378"/>
      <c r="O189" s="377">
        <v>44714</v>
      </c>
      <c r="P189" s="378"/>
      <c r="Q189" s="378"/>
      <c r="R189" s="376">
        <v>0</v>
      </c>
      <c r="S189" s="376">
        <f>Q189</f>
        <v>0</v>
      </c>
      <c r="T189" s="378"/>
      <c r="U189" s="376">
        <v>16300</v>
      </c>
      <c r="V189" s="376">
        <f>T189</f>
        <v>0</v>
      </c>
      <c r="W189" s="376">
        <v>16300</v>
      </c>
      <c r="X189" s="376">
        <f>V189</f>
        <v>0</v>
      </c>
      <c r="Y189" s="379" t="e">
        <f>T189/H189</f>
        <v>#VALUE!</v>
      </c>
      <c r="Z189" s="376" t="s">
        <v>39</v>
      </c>
      <c r="AA189" s="380"/>
      <c r="AB189" s="381"/>
      <c r="AC189" s="374" t="s">
        <v>40</v>
      </c>
      <c r="AD189" s="373" t="s">
        <v>510</v>
      </c>
      <c r="AE189" s="388">
        <v>52.5</v>
      </c>
      <c r="AF189" s="378"/>
      <c r="AG189" s="383"/>
      <c r="AH189" s="378"/>
    </row>
    <row r="190" spans="1:34" ht="14.25" customHeight="1">
      <c r="B190" s="2"/>
      <c r="C190" s="11"/>
      <c r="D190" s="11" t="s">
        <v>35</v>
      </c>
      <c r="E190" s="2"/>
      <c r="J190" s="10"/>
      <c r="K190" s="10"/>
      <c r="U190" s="10"/>
      <c r="V190" s="10"/>
      <c r="W190" s="10"/>
      <c r="X190" s="10"/>
      <c r="Y190" s="10"/>
      <c r="Z190" s="10"/>
      <c r="AA190" s="61"/>
      <c r="AC190" s="14"/>
      <c r="AG190" s="300"/>
    </row>
    <row r="191" spans="1:34" ht="14.25" customHeight="1">
      <c r="B191" s="2"/>
      <c r="C191" s="11"/>
      <c r="D191" s="11" t="s">
        <v>35</v>
      </c>
      <c r="E191" s="2"/>
      <c r="G191" s="92" t="s">
        <v>142</v>
      </c>
      <c r="I191" s="18">
        <f>SUM(H186:H189)</f>
        <v>0</v>
      </c>
      <c r="J191" s="19"/>
      <c r="K191" s="19"/>
      <c r="R191" s="19">
        <f>SUM(Q186:Q189)</f>
        <v>0</v>
      </c>
      <c r="S191" s="19"/>
      <c r="T191" s="19">
        <f>SUM(R185:R190)</f>
        <v>67069</v>
      </c>
      <c r="U191" s="19">
        <f>SUM(T186:T189)</f>
        <v>0</v>
      </c>
      <c r="V191" s="19"/>
      <c r="W191" s="19">
        <f>SUM(V186:V189)</f>
        <v>0</v>
      </c>
      <c r="X191" s="19"/>
      <c r="Y191" s="19"/>
      <c r="Z191" s="19"/>
      <c r="AA191" s="62"/>
      <c r="AB191" s="18">
        <v>1300000</v>
      </c>
      <c r="AC191" s="14"/>
      <c r="AG191" s="300"/>
    </row>
    <row r="192" spans="1:34" ht="14.25" customHeight="1">
      <c r="B192" s="2"/>
      <c r="C192" s="11"/>
      <c r="D192" s="11" t="s">
        <v>35</v>
      </c>
      <c r="E192" s="2"/>
      <c r="J192" s="10"/>
      <c r="K192" s="10"/>
      <c r="U192" s="10"/>
      <c r="V192" s="10"/>
      <c r="W192" s="10"/>
      <c r="X192" s="10"/>
      <c r="Y192" s="10"/>
      <c r="Z192" s="10"/>
      <c r="AA192" s="61"/>
      <c r="AC192" s="14"/>
      <c r="AG192" s="300"/>
    </row>
    <row r="193" spans="1:34" ht="14.25" customHeight="1">
      <c r="A193" t="s">
        <v>928</v>
      </c>
      <c r="B193" s="2"/>
      <c r="C193" s="11"/>
      <c r="D193" s="11" t="s">
        <v>35</v>
      </c>
      <c r="E193" s="2"/>
      <c r="H193" s="6" t="s">
        <v>144</v>
      </c>
      <c r="J193" s="10"/>
      <c r="K193" s="10"/>
      <c r="L193" s="32"/>
      <c r="V193" s="10"/>
      <c r="X193" s="10"/>
      <c r="Y193" s="10"/>
      <c r="Z193" s="10"/>
      <c r="AA193" s="61"/>
      <c r="AC193" s="14"/>
      <c r="AG193" s="300"/>
    </row>
    <row r="194" spans="1:34" ht="14.25" customHeight="1">
      <c r="B194" s="2"/>
      <c r="C194" s="11"/>
      <c r="D194" s="11" t="s">
        <v>35</v>
      </c>
      <c r="E194" s="2"/>
      <c r="J194" s="10"/>
      <c r="K194" s="10"/>
      <c r="U194" s="10"/>
      <c r="V194" s="10"/>
      <c r="W194" s="10"/>
      <c r="X194" s="10"/>
      <c r="Y194" s="10"/>
      <c r="Z194" s="10"/>
      <c r="AA194" s="61"/>
      <c r="AC194" s="14"/>
      <c r="AD194" s="29"/>
      <c r="AG194" s="300"/>
    </row>
    <row r="195" spans="1:34" ht="20.25" customHeight="1">
      <c r="A195" s="370" t="s">
        <v>471</v>
      </c>
      <c r="B195" s="371"/>
      <c r="C195" s="372" t="s">
        <v>60</v>
      </c>
      <c r="D195" s="372" t="s">
        <v>35</v>
      </c>
      <c r="E195" s="371">
        <v>550710</v>
      </c>
      <c r="F195" s="373" t="s">
        <v>144</v>
      </c>
      <c r="G195" s="373" t="s">
        <v>139</v>
      </c>
      <c r="H195" s="374" t="s">
        <v>145</v>
      </c>
      <c r="I195" s="375">
        <v>807</v>
      </c>
      <c r="J195" s="375" t="str">
        <f>H195</f>
        <v>Café</v>
      </c>
      <c r="K195" s="375">
        <v>1000</v>
      </c>
      <c r="L195" s="373" t="s">
        <v>146</v>
      </c>
      <c r="M195" s="384">
        <v>42179</v>
      </c>
      <c r="N195" s="377">
        <v>45831</v>
      </c>
      <c r="O195" s="378"/>
      <c r="P195" s="378"/>
      <c r="Q195" s="378"/>
      <c r="R195" s="376">
        <v>34320</v>
      </c>
      <c r="S195" s="376">
        <f>Q195</f>
        <v>0</v>
      </c>
      <c r="T195" s="378"/>
      <c r="U195" s="376">
        <v>34320</v>
      </c>
      <c r="V195" s="376">
        <f>T195</f>
        <v>0</v>
      </c>
      <c r="W195" s="376">
        <v>34481</v>
      </c>
      <c r="X195" s="376">
        <f>V195</f>
        <v>0</v>
      </c>
      <c r="Y195" s="379" t="e">
        <f>T195/H195</f>
        <v>#VALUE!</v>
      </c>
      <c r="Z195" s="376" t="s">
        <v>76</v>
      </c>
      <c r="AA195" s="380"/>
      <c r="AB195" s="381"/>
      <c r="AC195" s="374" t="s">
        <v>40</v>
      </c>
      <c r="AD195" s="385" t="s">
        <v>147</v>
      </c>
      <c r="AE195" s="378"/>
      <c r="AF195" s="378"/>
      <c r="AG195" s="383"/>
      <c r="AH195" s="378"/>
    </row>
    <row r="196" spans="1:34" ht="14.25" customHeight="1">
      <c r="A196" s="378" t="s">
        <v>471</v>
      </c>
      <c r="B196" s="371"/>
      <c r="C196" s="372" t="s">
        <v>60</v>
      </c>
      <c r="D196" s="372" t="s">
        <v>35</v>
      </c>
      <c r="E196" s="371">
        <v>550710</v>
      </c>
      <c r="F196" s="373" t="s">
        <v>144</v>
      </c>
      <c r="G196" s="391" t="s">
        <v>78</v>
      </c>
      <c r="H196" s="374" t="s">
        <v>148</v>
      </c>
      <c r="I196" s="375">
        <v>60</v>
      </c>
      <c r="J196" s="375" t="str">
        <f>H196</f>
        <v>Kiosk</v>
      </c>
      <c r="K196" s="378"/>
      <c r="L196" s="373" t="s">
        <v>149</v>
      </c>
      <c r="M196" s="384">
        <v>44075</v>
      </c>
      <c r="N196" s="377">
        <v>45900</v>
      </c>
      <c r="O196" s="378"/>
      <c r="P196" s="378"/>
      <c r="Q196" s="378"/>
      <c r="R196" s="376">
        <v>12500</v>
      </c>
      <c r="S196" s="376">
        <f>Q196</f>
        <v>0</v>
      </c>
      <c r="T196" s="378"/>
      <c r="U196" s="376">
        <v>12000</v>
      </c>
      <c r="V196" s="376">
        <f>T196</f>
        <v>0</v>
      </c>
      <c r="W196" s="376">
        <v>12000</v>
      </c>
      <c r="X196" s="376">
        <f>V196</f>
        <v>0</v>
      </c>
      <c r="Y196" s="379" t="e">
        <f>T196/H196</f>
        <v>#VALUE!</v>
      </c>
      <c r="Z196" s="376" t="s">
        <v>76</v>
      </c>
      <c r="AA196" s="380"/>
      <c r="AB196" s="381"/>
      <c r="AC196" s="374" t="s">
        <v>40</v>
      </c>
      <c r="AD196" s="373" t="s">
        <v>150</v>
      </c>
      <c r="AE196" s="378"/>
      <c r="AF196" s="378"/>
      <c r="AG196" s="383"/>
      <c r="AH196" s="378"/>
    </row>
    <row r="197" spans="1:34" ht="16.5" customHeight="1">
      <c r="A197" s="378" t="s">
        <v>471</v>
      </c>
      <c r="B197" s="371"/>
      <c r="C197" s="372" t="s">
        <v>60</v>
      </c>
      <c r="D197" s="372" t="s">
        <v>35</v>
      </c>
      <c r="E197" s="371">
        <v>550710</v>
      </c>
      <c r="F197" s="373" t="s">
        <v>144</v>
      </c>
      <c r="G197" s="373" t="s">
        <v>494</v>
      </c>
      <c r="H197" s="374" t="s">
        <v>37</v>
      </c>
      <c r="I197" s="375">
        <v>370</v>
      </c>
      <c r="J197" s="375" t="str">
        <f>H197</f>
        <v>Office</v>
      </c>
      <c r="K197" s="375">
        <v>500</v>
      </c>
      <c r="L197" s="373" t="s">
        <v>68</v>
      </c>
      <c r="M197" s="378"/>
      <c r="N197" s="378"/>
      <c r="O197" s="377">
        <v>43738</v>
      </c>
      <c r="P197" s="378"/>
      <c r="Q197" s="378"/>
      <c r="R197" s="376">
        <v>0</v>
      </c>
      <c r="S197" s="376">
        <f>Q197</f>
        <v>0</v>
      </c>
      <c r="T197" s="378"/>
      <c r="U197" s="376">
        <v>18500</v>
      </c>
      <c r="V197" s="376">
        <f>T197</f>
        <v>0</v>
      </c>
      <c r="W197" s="376">
        <v>18500</v>
      </c>
      <c r="X197" s="376">
        <f>V197</f>
        <v>0</v>
      </c>
      <c r="Y197" s="379" t="e">
        <f>T197/H197</f>
        <v>#VALUE!</v>
      </c>
      <c r="Z197" s="376" t="s">
        <v>76</v>
      </c>
      <c r="AA197" s="380"/>
      <c r="AB197" s="381"/>
      <c r="AC197" s="374" t="s">
        <v>40</v>
      </c>
      <c r="AD197" s="373" t="s">
        <v>510</v>
      </c>
      <c r="AE197" s="388">
        <v>52.5</v>
      </c>
      <c r="AF197" s="378"/>
      <c r="AG197" s="383">
        <v>1</v>
      </c>
      <c r="AH197" s="378"/>
    </row>
    <row r="198" spans="1:34">
      <c r="A198" s="378" t="s">
        <v>471</v>
      </c>
      <c r="B198" s="371"/>
      <c r="C198" s="372" t="s">
        <v>60</v>
      </c>
      <c r="D198" s="372" t="s">
        <v>35</v>
      </c>
      <c r="E198" s="371">
        <v>550710</v>
      </c>
      <c r="F198" s="373" t="s">
        <v>144</v>
      </c>
      <c r="G198" s="391" t="s">
        <v>497</v>
      </c>
      <c r="H198" s="374" t="s">
        <v>37</v>
      </c>
      <c r="I198" s="375">
        <v>325</v>
      </c>
      <c r="J198" s="375" t="str">
        <f>H198</f>
        <v>Office</v>
      </c>
      <c r="K198" s="375">
        <v>500</v>
      </c>
      <c r="L198" s="373" t="s">
        <v>68</v>
      </c>
      <c r="M198" s="378"/>
      <c r="N198" s="378"/>
      <c r="O198" s="377">
        <v>45379</v>
      </c>
      <c r="P198" s="378"/>
      <c r="Q198" s="378"/>
      <c r="R198" s="376">
        <v>0</v>
      </c>
      <c r="S198" s="376">
        <f>Q198</f>
        <v>0</v>
      </c>
      <c r="T198" s="378"/>
      <c r="U198" s="376">
        <v>17000</v>
      </c>
      <c r="V198" s="376">
        <f>T198</f>
        <v>0</v>
      </c>
      <c r="W198" s="376">
        <v>17062</v>
      </c>
      <c r="X198" s="376">
        <f>V198</f>
        <v>0</v>
      </c>
      <c r="Y198" s="379" t="e">
        <f>T198/H198</f>
        <v>#VALUE!</v>
      </c>
      <c r="Z198" s="376" t="s">
        <v>76</v>
      </c>
      <c r="AA198" s="380"/>
      <c r="AB198" s="381"/>
      <c r="AC198" s="374" t="s">
        <v>40</v>
      </c>
      <c r="AD198" s="373" t="s">
        <v>510</v>
      </c>
      <c r="AE198" s="388">
        <v>53</v>
      </c>
      <c r="AF198" s="378"/>
      <c r="AG198" s="383"/>
      <c r="AH198" s="378"/>
    </row>
    <row r="199" spans="1:34">
      <c r="A199" s="378" t="s">
        <v>471</v>
      </c>
      <c r="B199" s="371"/>
      <c r="C199" s="372" t="s">
        <v>60</v>
      </c>
      <c r="D199" s="372" t="s">
        <v>35</v>
      </c>
      <c r="E199" s="371">
        <v>550710</v>
      </c>
      <c r="F199" s="373" t="s">
        <v>144</v>
      </c>
      <c r="G199" s="391" t="s">
        <v>498</v>
      </c>
      <c r="H199" s="374" t="s">
        <v>37</v>
      </c>
      <c r="I199" s="375">
        <v>321</v>
      </c>
      <c r="J199" s="375" t="str">
        <f>H199</f>
        <v>Office</v>
      </c>
      <c r="K199" s="375">
        <v>500</v>
      </c>
      <c r="L199" s="373" t="s">
        <v>68</v>
      </c>
      <c r="M199" s="378"/>
      <c r="N199" s="378"/>
      <c r="O199" s="377">
        <v>45170</v>
      </c>
      <c r="P199" s="378"/>
      <c r="Q199" s="378"/>
      <c r="R199" s="376">
        <v>0</v>
      </c>
      <c r="S199" s="376">
        <f>Q199</f>
        <v>0</v>
      </c>
      <c r="T199" s="378"/>
      <c r="U199" s="376">
        <v>17000</v>
      </c>
      <c r="V199" s="376">
        <f>T199</f>
        <v>0</v>
      </c>
      <c r="W199" s="376">
        <v>16852</v>
      </c>
      <c r="X199" s="376">
        <f>V199</f>
        <v>0</v>
      </c>
      <c r="Y199" s="379" t="e">
        <f>T199/H199</f>
        <v>#VALUE!</v>
      </c>
      <c r="Z199" s="376" t="s">
        <v>76</v>
      </c>
      <c r="AA199" s="380"/>
      <c r="AB199" s="381"/>
      <c r="AC199" s="374" t="s">
        <v>40</v>
      </c>
      <c r="AD199" s="373" t="s">
        <v>510</v>
      </c>
      <c r="AE199" s="388">
        <v>53</v>
      </c>
      <c r="AF199" s="378"/>
      <c r="AG199" s="383"/>
      <c r="AH199" s="378"/>
    </row>
    <row r="200" spans="1:34" ht="14.25" customHeight="1">
      <c r="B200" s="2"/>
      <c r="C200" s="11"/>
      <c r="D200" s="11" t="s">
        <v>35</v>
      </c>
      <c r="E200" s="2"/>
      <c r="G200" s="37"/>
      <c r="J200" s="10"/>
      <c r="K200" s="10"/>
      <c r="U200" s="10"/>
      <c r="V200" s="10"/>
      <c r="W200" s="10"/>
      <c r="X200" s="10"/>
      <c r="Y200" s="10"/>
      <c r="Z200" s="10"/>
      <c r="AA200" s="61"/>
      <c r="AC200" s="14"/>
      <c r="AG200" s="300"/>
    </row>
    <row r="201" spans="1:34" ht="14.25" customHeight="1">
      <c r="B201" s="2"/>
      <c r="C201" s="11"/>
      <c r="D201" s="11" t="s">
        <v>35</v>
      </c>
      <c r="E201" s="2"/>
      <c r="G201" s="92" t="s">
        <v>144</v>
      </c>
      <c r="I201" s="18">
        <f>SUM(H195:H199)</f>
        <v>0</v>
      </c>
      <c r="J201" s="19"/>
      <c r="K201" s="19"/>
      <c r="R201" s="19">
        <f>SUM(Q195:Q199)</f>
        <v>0</v>
      </c>
      <c r="S201" s="19"/>
      <c r="T201" s="19">
        <f>SUM(R194:R200)</f>
        <v>46820</v>
      </c>
      <c r="U201" s="19">
        <f>SUM(T195:T199)</f>
        <v>0</v>
      </c>
      <c r="V201" s="19"/>
      <c r="W201" s="19">
        <f>SUM(V195:V199)</f>
        <v>0</v>
      </c>
      <c r="X201" s="19"/>
      <c r="Y201" s="19"/>
      <c r="Z201" s="19"/>
      <c r="AA201" s="62"/>
      <c r="AB201" s="18">
        <v>1400000</v>
      </c>
      <c r="AC201" s="14"/>
      <c r="AG201" s="300"/>
    </row>
    <row r="202" spans="1:34" ht="14.25" customHeight="1">
      <c r="B202" s="2"/>
      <c r="C202" s="11"/>
      <c r="D202" s="11" t="s">
        <v>35</v>
      </c>
      <c r="E202" s="2"/>
      <c r="G202" s="92"/>
      <c r="I202" s="18"/>
      <c r="J202" s="19"/>
      <c r="K202" s="19"/>
      <c r="R202" s="19"/>
      <c r="S202" s="19"/>
      <c r="T202" s="19"/>
      <c r="U202" s="19"/>
      <c r="V202" s="19"/>
      <c r="W202" s="19"/>
      <c r="X202" s="19"/>
      <c r="Y202" s="19"/>
      <c r="Z202" s="19"/>
      <c r="AA202" s="62"/>
      <c r="AB202" s="54"/>
      <c r="AC202" s="14"/>
      <c r="AG202" s="300"/>
    </row>
    <row r="203" spans="1:34" ht="14.25" customHeight="1">
      <c r="A203" t="s">
        <v>928</v>
      </c>
      <c r="B203" s="2"/>
      <c r="C203" s="11"/>
      <c r="D203" s="11" t="s">
        <v>35</v>
      </c>
      <c r="E203" s="2"/>
      <c r="H203" s="6" t="s">
        <v>151</v>
      </c>
      <c r="J203" s="10"/>
      <c r="K203" s="10"/>
      <c r="L203" s="32"/>
      <c r="V203" s="10"/>
      <c r="X203" s="10"/>
      <c r="Y203" s="10"/>
      <c r="Z203" s="10"/>
      <c r="AA203" s="61"/>
      <c r="AC203" s="14"/>
      <c r="AG203" s="300"/>
    </row>
    <row r="204" spans="1:34" ht="14.25" customHeight="1">
      <c r="B204" s="2"/>
      <c r="C204" s="11"/>
      <c r="D204" s="11" t="s">
        <v>35</v>
      </c>
      <c r="E204" s="2"/>
      <c r="H204" s="6"/>
      <c r="J204" s="10"/>
      <c r="K204" s="10"/>
      <c r="U204" s="10"/>
      <c r="V204" s="10"/>
      <c r="W204" s="10"/>
      <c r="X204" s="10"/>
      <c r="Y204" s="10"/>
      <c r="Z204" s="10"/>
      <c r="AA204" s="61"/>
      <c r="AC204" s="14"/>
      <c r="AG204" s="300"/>
    </row>
    <row r="205" spans="1:34" ht="24">
      <c r="A205" s="370" t="s">
        <v>471</v>
      </c>
      <c r="B205" s="371"/>
      <c r="C205" s="372" t="s">
        <v>119</v>
      </c>
      <c r="D205" s="372" t="s">
        <v>35</v>
      </c>
      <c r="E205" s="371">
        <v>550090</v>
      </c>
      <c r="F205" s="373" t="s">
        <v>151</v>
      </c>
      <c r="G205" s="373" t="s">
        <v>152</v>
      </c>
      <c r="H205" s="374" t="s">
        <v>120</v>
      </c>
      <c r="I205" s="375">
        <v>607</v>
      </c>
      <c r="J205" s="375" t="str">
        <f>H205</f>
        <v>Showroom</v>
      </c>
      <c r="K205" s="375">
        <v>500</v>
      </c>
      <c r="L205" s="373" t="s">
        <v>146</v>
      </c>
      <c r="M205" s="384">
        <v>44340</v>
      </c>
      <c r="N205" s="377">
        <v>47991</v>
      </c>
      <c r="O205" s="378"/>
      <c r="P205" s="377">
        <v>46166</v>
      </c>
      <c r="Q205" s="378"/>
      <c r="R205" s="376">
        <v>25000</v>
      </c>
      <c r="S205" s="376">
        <f>Q205</f>
        <v>0</v>
      </c>
      <c r="T205" s="378"/>
      <c r="U205" s="376">
        <v>25000</v>
      </c>
      <c r="V205" s="376">
        <f>T205</f>
        <v>0</v>
      </c>
      <c r="W205" s="376">
        <v>25000</v>
      </c>
      <c r="X205" s="376">
        <f>V205</f>
        <v>0</v>
      </c>
      <c r="Y205" s="379" t="e">
        <f>T205/H205</f>
        <v>#VALUE!</v>
      </c>
      <c r="Z205" s="376" t="s">
        <v>58</v>
      </c>
      <c r="AA205" s="380"/>
      <c r="AB205" s="381"/>
      <c r="AC205" s="374" t="s">
        <v>40</v>
      </c>
      <c r="AD205" s="378"/>
      <c r="AE205" s="378"/>
      <c r="AF205" s="378"/>
      <c r="AG205" s="383"/>
      <c r="AH205" s="378"/>
    </row>
    <row r="206" spans="1:34" ht="24">
      <c r="A206" s="378" t="s">
        <v>471</v>
      </c>
      <c r="B206" s="371"/>
      <c r="C206" s="372" t="s">
        <v>119</v>
      </c>
      <c r="D206" s="372" t="s">
        <v>35</v>
      </c>
      <c r="E206" s="371">
        <v>550090</v>
      </c>
      <c r="F206" s="373" t="s">
        <v>151</v>
      </c>
      <c r="G206" s="391" t="s">
        <v>153</v>
      </c>
      <c r="H206" s="374" t="s">
        <v>83</v>
      </c>
      <c r="I206" s="375">
        <v>662</v>
      </c>
      <c r="J206" s="375" t="str">
        <f>H206</f>
        <v>Restaurant</v>
      </c>
      <c r="K206" s="375">
        <v>500</v>
      </c>
      <c r="L206" s="373" t="s">
        <v>146</v>
      </c>
      <c r="M206" s="384">
        <v>43879</v>
      </c>
      <c r="N206" s="377">
        <v>45705</v>
      </c>
      <c r="O206" s="378"/>
      <c r="P206" s="378"/>
      <c r="Q206" s="378"/>
      <c r="R206" s="376">
        <v>20500</v>
      </c>
      <c r="S206" s="376">
        <f>Q206</f>
        <v>0</v>
      </c>
      <c r="T206" s="378"/>
      <c r="U206" s="376">
        <v>20000</v>
      </c>
      <c r="V206" s="376">
        <f>T206</f>
        <v>0</v>
      </c>
      <c r="W206" s="376">
        <v>20000</v>
      </c>
      <c r="X206" s="376">
        <f>V206</f>
        <v>0</v>
      </c>
      <c r="Y206" s="379" t="e">
        <f>T206/H206</f>
        <v>#VALUE!</v>
      </c>
      <c r="Z206" s="376" t="s">
        <v>58</v>
      </c>
      <c r="AA206" s="380"/>
      <c r="AB206" s="381"/>
      <c r="AC206" s="374" t="s">
        <v>40</v>
      </c>
      <c r="AD206" s="373" t="s">
        <v>154</v>
      </c>
      <c r="AE206" s="378"/>
      <c r="AF206" s="378"/>
      <c r="AG206" s="383"/>
      <c r="AH206" s="378"/>
    </row>
    <row r="207" spans="1:34" ht="14.25" customHeight="1">
      <c r="A207" s="378" t="s">
        <v>471</v>
      </c>
      <c r="B207" s="371"/>
      <c r="C207" s="372" t="s">
        <v>119</v>
      </c>
      <c r="D207" s="372" t="s">
        <v>35</v>
      </c>
      <c r="E207" s="371">
        <v>550090</v>
      </c>
      <c r="F207" s="373" t="s">
        <v>151</v>
      </c>
      <c r="G207" s="391" t="s">
        <v>590</v>
      </c>
      <c r="H207" s="374" t="s">
        <v>37</v>
      </c>
      <c r="I207" s="375">
        <v>1765</v>
      </c>
      <c r="J207" s="375" t="str">
        <f>H207</f>
        <v>Office</v>
      </c>
      <c r="K207" s="375">
        <v>1750</v>
      </c>
      <c r="L207" s="373" t="s">
        <v>68</v>
      </c>
      <c r="M207" s="378"/>
      <c r="N207" s="378"/>
      <c r="O207" s="377">
        <v>43256</v>
      </c>
      <c r="P207" s="378"/>
      <c r="Q207" s="378"/>
      <c r="R207" s="376">
        <v>0</v>
      </c>
      <c r="S207" s="376">
        <f>Q207</f>
        <v>0</v>
      </c>
      <c r="T207" s="378"/>
      <c r="U207" s="376">
        <v>90000</v>
      </c>
      <c r="V207" s="376">
        <f>T207</f>
        <v>0</v>
      </c>
      <c r="W207" s="376">
        <v>85000</v>
      </c>
      <c r="X207" s="376">
        <f>V207</f>
        <v>0</v>
      </c>
      <c r="Y207" s="379" t="e">
        <f>T207/H207</f>
        <v>#VALUE!</v>
      </c>
      <c r="Z207" s="376"/>
      <c r="AA207" s="380"/>
      <c r="AB207" s="381"/>
      <c r="AC207" s="374" t="s">
        <v>40</v>
      </c>
      <c r="AD207" s="373" t="s">
        <v>202</v>
      </c>
      <c r="AE207" s="378"/>
      <c r="AF207" s="385"/>
      <c r="AG207" s="386"/>
      <c r="AH207" s="385"/>
    </row>
    <row r="208" spans="1:34" ht="14.25" customHeight="1">
      <c r="B208" s="2"/>
      <c r="C208" s="11"/>
      <c r="D208" s="11" t="s">
        <v>35</v>
      </c>
      <c r="E208" s="2"/>
      <c r="G208" s="37"/>
      <c r="J208" s="10"/>
      <c r="K208" s="10"/>
      <c r="U208" s="10"/>
      <c r="V208" s="10"/>
      <c r="W208" s="10"/>
      <c r="X208" s="10"/>
      <c r="Y208" s="10"/>
      <c r="Z208" s="10"/>
      <c r="AA208" s="61"/>
      <c r="AC208" s="14"/>
      <c r="AG208" s="300"/>
    </row>
    <row r="209" spans="1:34" ht="14.25" customHeight="1">
      <c r="B209" s="2"/>
      <c r="C209" s="11"/>
      <c r="D209" s="11" t="s">
        <v>35</v>
      </c>
      <c r="E209" s="2"/>
      <c r="G209" s="92" t="s">
        <v>151</v>
      </c>
      <c r="I209" s="18">
        <f>SUM(H205:H207)</f>
        <v>0</v>
      </c>
      <c r="J209" s="19"/>
      <c r="K209" s="19"/>
      <c r="R209" s="19">
        <f>SUM(Q205:Q207)</f>
        <v>0</v>
      </c>
      <c r="S209" s="19"/>
      <c r="T209" s="19">
        <f>SUM(R205:R208)</f>
        <v>45500</v>
      </c>
      <c r="U209" s="19">
        <f>SUM(T205:T207)</f>
        <v>0</v>
      </c>
      <c r="V209" s="19"/>
      <c r="W209" s="19">
        <f>SUM(V205:V207)</f>
        <v>0</v>
      </c>
      <c r="X209" s="19"/>
      <c r="Y209" s="19"/>
      <c r="Z209" s="19"/>
      <c r="AA209" s="62"/>
      <c r="AB209" s="18">
        <v>1400000</v>
      </c>
      <c r="AC209" s="14"/>
      <c r="AG209" s="300"/>
    </row>
    <row r="210" spans="1:34" ht="14.25" customHeight="1">
      <c r="B210" s="2"/>
      <c r="C210" s="11"/>
      <c r="D210" s="11" t="s">
        <v>35</v>
      </c>
      <c r="E210" s="2"/>
      <c r="J210" s="10"/>
      <c r="K210" s="10"/>
      <c r="U210" s="10"/>
      <c r="V210" s="10"/>
      <c r="W210" s="10"/>
      <c r="X210" s="10"/>
      <c r="Y210" s="10"/>
      <c r="Z210" s="10"/>
      <c r="AA210" s="61"/>
      <c r="AC210" s="14"/>
      <c r="AG210" s="300"/>
    </row>
    <row r="211" spans="1:34" ht="14.25" customHeight="1">
      <c r="A211" t="s">
        <v>928</v>
      </c>
      <c r="B211" s="2"/>
      <c r="C211" s="11"/>
      <c r="D211" s="11" t="s">
        <v>35</v>
      </c>
      <c r="E211" s="2"/>
      <c r="H211" s="6" t="s">
        <v>155</v>
      </c>
      <c r="J211" s="10"/>
      <c r="K211" s="10"/>
      <c r="L211" s="32"/>
      <c r="V211" s="10"/>
      <c r="X211" s="10"/>
      <c r="Y211" s="10"/>
      <c r="Z211" s="10"/>
      <c r="AA211" s="61"/>
      <c r="AC211" s="14"/>
      <c r="AG211" s="300"/>
    </row>
    <row r="212" spans="1:34" ht="14.25" customHeight="1">
      <c r="B212" s="2"/>
      <c r="C212" s="11"/>
      <c r="D212" s="11" t="s">
        <v>35</v>
      </c>
      <c r="E212" s="2"/>
      <c r="H212" s="6"/>
      <c r="I212" s="24"/>
      <c r="J212" s="10"/>
      <c r="K212" s="10"/>
      <c r="L212" s="20"/>
      <c r="M212" s="21"/>
      <c r="U212" s="10"/>
      <c r="V212" s="10"/>
      <c r="W212" s="10"/>
      <c r="X212" s="10"/>
      <c r="Y212" s="10"/>
      <c r="Z212" s="10"/>
      <c r="AA212" s="61"/>
      <c r="AC212" s="14"/>
      <c r="AG212" s="300"/>
    </row>
    <row r="213" spans="1:34" ht="24" customHeight="1">
      <c r="A213" t="s">
        <v>471</v>
      </c>
      <c r="B213" s="2"/>
      <c r="C213" s="11" t="s">
        <v>60</v>
      </c>
      <c r="D213" s="11" t="s">
        <v>35</v>
      </c>
      <c r="E213" s="2">
        <v>550750</v>
      </c>
      <c r="F213" s="4" t="s">
        <v>155</v>
      </c>
      <c r="G213" s="37" t="s">
        <v>156</v>
      </c>
      <c r="H213" s="14" t="s">
        <v>157</v>
      </c>
      <c r="I213" s="18">
        <v>1305</v>
      </c>
      <c r="J213" s="10" t="str">
        <f>H213</f>
        <v>Shop/Snack Bar</v>
      </c>
      <c r="K213" s="10">
        <v>1250</v>
      </c>
      <c r="L213" s="29" t="s">
        <v>158</v>
      </c>
      <c r="M213" s="30">
        <v>45748</v>
      </c>
      <c r="N213" s="31">
        <v>49399</v>
      </c>
      <c r="O213" s="31"/>
      <c r="P213" s="31">
        <v>47574</v>
      </c>
      <c r="Q213" s="31">
        <v>47573</v>
      </c>
      <c r="R213" s="27">
        <v>0</v>
      </c>
      <c r="S213" s="10">
        <f>Q213</f>
        <v>47573</v>
      </c>
      <c r="T213" s="19">
        <f>R213</f>
        <v>0</v>
      </c>
      <c r="U213" s="19">
        <v>90000</v>
      </c>
      <c r="V213" s="10">
        <f>T213</f>
        <v>0</v>
      </c>
      <c r="W213" s="19">
        <v>90000</v>
      </c>
      <c r="X213" s="10">
        <f>V213</f>
        <v>0</v>
      </c>
      <c r="Y213" s="299" t="e">
        <f>T213/H213</f>
        <v>#VALUE!</v>
      </c>
      <c r="Z213" s="10" t="s">
        <v>69</v>
      </c>
      <c r="AA213" s="61"/>
      <c r="AB213" s="19">
        <v>1630000</v>
      </c>
      <c r="AC213" s="14" t="s">
        <v>40</v>
      </c>
      <c r="AD213" s="29" t="s">
        <v>159</v>
      </c>
      <c r="AE213" s="322">
        <v>69</v>
      </c>
      <c r="AG213" s="300">
        <v>10</v>
      </c>
      <c r="AH213" s="4" t="s">
        <v>160</v>
      </c>
    </row>
    <row r="214" spans="1:34" ht="14.25" customHeight="1">
      <c r="B214" s="2"/>
      <c r="C214" s="11"/>
      <c r="D214" s="11" t="s">
        <v>35</v>
      </c>
      <c r="E214" s="2"/>
      <c r="G214" s="92" t="s">
        <v>155</v>
      </c>
      <c r="I214" s="33">
        <f>SUM(H213:H213)</f>
        <v>0</v>
      </c>
      <c r="J214" s="18"/>
      <c r="K214" s="18"/>
      <c r="L214" s="34"/>
      <c r="M214" s="35"/>
      <c r="N214" s="36"/>
      <c r="O214" s="36"/>
      <c r="P214" s="36"/>
      <c r="Q214" s="36"/>
      <c r="R214" s="33"/>
      <c r="S214" s="33"/>
      <c r="T214" s="33"/>
      <c r="U214" s="33">
        <f>SUM(T213:T213)</f>
        <v>0</v>
      </c>
      <c r="V214" s="33"/>
      <c r="W214" s="33">
        <f>SUM(V213:V213)</f>
        <v>0</v>
      </c>
      <c r="X214" s="33"/>
      <c r="Y214" s="33"/>
      <c r="Z214" s="33"/>
      <c r="AA214" s="63"/>
      <c r="AB214" s="260"/>
      <c r="AC214" s="14"/>
      <c r="AG214" s="300"/>
    </row>
    <row r="215" spans="1:34" ht="14.25" customHeight="1">
      <c r="B215" s="2"/>
      <c r="C215" s="11"/>
      <c r="D215" s="11" t="s">
        <v>35</v>
      </c>
      <c r="E215" s="2"/>
      <c r="J215" s="10"/>
      <c r="K215" s="10"/>
      <c r="U215" s="10"/>
      <c r="V215" s="10"/>
      <c r="W215" s="10"/>
      <c r="X215" s="10"/>
      <c r="Y215" s="10"/>
      <c r="Z215" s="10"/>
      <c r="AA215" s="61"/>
      <c r="AC215" s="14"/>
      <c r="AG215" s="300"/>
    </row>
    <row r="216" spans="1:34" ht="14.25" customHeight="1">
      <c r="A216" t="s">
        <v>928</v>
      </c>
      <c r="B216" s="2"/>
      <c r="C216" s="11"/>
      <c r="D216" s="11" t="s">
        <v>35</v>
      </c>
      <c r="E216" s="2"/>
      <c r="H216" s="6" t="s">
        <v>161</v>
      </c>
      <c r="J216" s="10"/>
      <c r="K216" s="10"/>
      <c r="L216" s="32"/>
      <c r="V216" s="10"/>
      <c r="X216" s="10"/>
      <c r="Y216" s="10"/>
      <c r="Z216" s="10"/>
      <c r="AA216" s="61"/>
      <c r="AC216" s="14"/>
      <c r="AG216" s="300"/>
    </row>
    <row r="217" spans="1:34" ht="14.25" customHeight="1">
      <c r="B217" s="2"/>
      <c r="C217" s="11"/>
      <c r="D217" s="11" t="s">
        <v>35</v>
      </c>
      <c r="E217" s="2"/>
      <c r="H217" s="6"/>
      <c r="I217" s="131"/>
      <c r="J217" s="10"/>
      <c r="K217" s="10"/>
      <c r="L217" s="13"/>
      <c r="U217" s="10"/>
      <c r="V217" s="10"/>
      <c r="W217" s="10"/>
      <c r="X217" s="10"/>
      <c r="Y217" s="10"/>
      <c r="Z217" s="10"/>
      <c r="AA217" s="61"/>
      <c r="AC217" s="14"/>
      <c r="AG217" s="300"/>
    </row>
    <row r="218" spans="1:34" ht="48">
      <c r="A218" s="370" t="s">
        <v>471</v>
      </c>
      <c r="B218" s="371"/>
      <c r="C218" s="372" t="s">
        <v>119</v>
      </c>
      <c r="D218" s="372" t="s">
        <v>35</v>
      </c>
      <c r="E218" s="371">
        <v>550880</v>
      </c>
      <c r="F218" s="373" t="s">
        <v>161</v>
      </c>
      <c r="G218" s="373" t="s">
        <v>87</v>
      </c>
      <c r="H218" s="374" t="s">
        <v>83</v>
      </c>
      <c r="I218" s="404">
        <v>1440</v>
      </c>
      <c r="J218" s="376" t="str">
        <f>H218</f>
        <v>Restaurant</v>
      </c>
      <c r="K218" s="376">
        <v>1500</v>
      </c>
      <c r="L218" s="373" t="s">
        <v>162</v>
      </c>
      <c r="M218" s="377">
        <v>43430</v>
      </c>
      <c r="N218" s="377">
        <v>47082</v>
      </c>
      <c r="O218" s="378"/>
      <c r="P218" s="377">
        <v>45256</v>
      </c>
      <c r="Q218" s="378"/>
      <c r="R218" s="376">
        <v>100000</v>
      </c>
      <c r="S218" s="376">
        <f>Q218</f>
        <v>0</v>
      </c>
      <c r="T218" s="378"/>
      <c r="U218" s="376">
        <v>100000</v>
      </c>
      <c r="V218" s="376">
        <f>T218</f>
        <v>0</v>
      </c>
      <c r="W218" s="376">
        <v>100000</v>
      </c>
      <c r="X218" s="376">
        <f>V218</f>
        <v>0</v>
      </c>
      <c r="Y218" s="379" t="e">
        <f>T218/H218</f>
        <v>#VALUE!</v>
      </c>
      <c r="Z218" s="376" t="s">
        <v>39</v>
      </c>
      <c r="AA218" s="380"/>
      <c r="AB218" s="381"/>
      <c r="AC218" s="374" t="s">
        <v>40</v>
      </c>
      <c r="AD218" s="373" t="s">
        <v>163</v>
      </c>
      <c r="AE218" s="378"/>
      <c r="AF218" s="378"/>
      <c r="AG218" s="383"/>
      <c r="AH218" s="378"/>
    </row>
    <row r="219" spans="1:34">
      <c r="A219" s="378" t="s">
        <v>471</v>
      </c>
      <c r="B219" s="371"/>
      <c r="C219" s="372" t="s">
        <v>119</v>
      </c>
      <c r="D219" s="372" t="s">
        <v>35</v>
      </c>
      <c r="E219" s="371">
        <v>550880</v>
      </c>
      <c r="F219" s="373" t="s">
        <v>161</v>
      </c>
      <c r="G219" s="373" t="s">
        <v>591</v>
      </c>
      <c r="H219" s="372" t="s">
        <v>592</v>
      </c>
      <c r="I219" s="375">
        <v>1082</v>
      </c>
      <c r="J219" s="376" t="str">
        <f>H219</f>
        <v>Flat</v>
      </c>
      <c r="K219" s="376">
        <v>1000</v>
      </c>
      <c r="L219" s="405" t="s">
        <v>593</v>
      </c>
      <c r="M219" s="377">
        <v>45065</v>
      </c>
      <c r="N219" s="377">
        <v>46160</v>
      </c>
      <c r="O219" s="378"/>
      <c r="P219" s="378"/>
      <c r="Q219" s="378"/>
      <c r="R219" s="376">
        <v>88400</v>
      </c>
      <c r="S219" s="376">
        <f>Q219</f>
        <v>0</v>
      </c>
      <c r="T219" s="378"/>
      <c r="U219" s="376">
        <v>58968</v>
      </c>
      <c r="V219" s="376">
        <f>T219</f>
        <v>0</v>
      </c>
      <c r="W219" s="376">
        <v>58968</v>
      </c>
      <c r="X219" s="376">
        <f>V219</f>
        <v>0</v>
      </c>
      <c r="Y219" s="376"/>
      <c r="Z219" s="376" t="s">
        <v>69</v>
      </c>
      <c r="AA219" s="380"/>
      <c r="AB219" s="381"/>
      <c r="AC219" s="374" t="s">
        <v>40</v>
      </c>
      <c r="AD219" s="378"/>
      <c r="AE219" s="378"/>
      <c r="AF219" s="378"/>
      <c r="AG219" s="383"/>
      <c r="AH219" s="378"/>
    </row>
    <row r="220" spans="1:34" ht="14.25" customHeight="1">
      <c r="B220" s="2"/>
      <c r="C220" s="11"/>
      <c r="D220" s="11" t="s">
        <v>35</v>
      </c>
      <c r="E220" s="2"/>
      <c r="H220" s="45"/>
      <c r="J220" s="10"/>
      <c r="K220" s="10"/>
      <c r="U220" s="10"/>
      <c r="V220" s="10"/>
      <c r="W220" s="10"/>
      <c r="X220" s="10"/>
      <c r="Y220" s="10"/>
      <c r="Z220" s="10"/>
      <c r="AA220" s="61"/>
      <c r="AC220" s="14"/>
      <c r="AG220" s="300"/>
    </row>
    <row r="221" spans="1:34" ht="14.25" customHeight="1">
      <c r="B221" s="2"/>
      <c r="C221" s="11"/>
      <c r="D221" s="11" t="s">
        <v>35</v>
      </c>
      <c r="E221" s="2"/>
      <c r="G221" s="92" t="s">
        <v>161</v>
      </c>
      <c r="H221" s="2"/>
      <c r="I221" s="18">
        <f>SUM(H218:H219)</f>
        <v>0</v>
      </c>
      <c r="J221" s="18"/>
      <c r="K221" s="18"/>
      <c r="R221" s="18">
        <f>SUM(Q218:Q219)</f>
        <v>0</v>
      </c>
      <c r="S221" s="18"/>
      <c r="T221" s="19">
        <f>SUM(R216:R220)</f>
        <v>188400</v>
      </c>
      <c r="U221" s="18">
        <f>SUM(T218:T219)</f>
        <v>0</v>
      </c>
      <c r="V221" s="18"/>
      <c r="W221" s="18">
        <f>SUM(V218:V219)</f>
        <v>0</v>
      </c>
      <c r="X221" s="18"/>
      <c r="Y221" s="18"/>
      <c r="Z221" s="18"/>
      <c r="AA221" s="64"/>
      <c r="AB221" s="19">
        <v>3725000</v>
      </c>
      <c r="AC221" s="14"/>
      <c r="AD221" s="37"/>
      <c r="AE221" s="325"/>
      <c r="AF221" s="37"/>
      <c r="AG221" s="302"/>
      <c r="AH221" s="37"/>
    </row>
    <row r="222" spans="1:34" ht="14.25" customHeight="1">
      <c r="B222" s="2"/>
      <c r="C222" s="11"/>
      <c r="D222" s="11" t="s">
        <v>35</v>
      </c>
      <c r="E222" s="2"/>
      <c r="J222" s="10"/>
      <c r="K222" s="10"/>
      <c r="U222" s="10"/>
      <c r="V222" s="10"/>
      <c r="W222" s="10"/>
      <c r="X222" s="10"/>
      <c r="Y222" s="10"/>
      <c r="Z222" s="10"/>
      <c r="AA222" s="61"/>
      <c r="AC222" s="14"/>
      <c r="AG222" s="300"/>
    </row>
    <row r="223" spans="1:34" ht="14.25" customHeight="1">
      <c r="A223" t="s">
        <v>928</v>
      </c>
      <c r="B223" s="2"/>
      <c r="C223" s="11"/>
      <c r="D223" s="11" t="s">
        <v>35</v>
      </c>
      <c r="E223" s="2"/>
      <c r="H223" s="6" t="s">
        <v>164</v>
      </c>
      <c r="J223" s="10"/>
      <c r="K223" s="10"/>
      <c r="L223" s="32"/>
      <c r="V223" s="10"/>
      <c r="X223" s="10"/>
      <c r="Y223" s="10"/>
      <c r="Z223" s="10"/>
      <c r="AA223" s="61"/>
      <c r="AC223" s="14"/>
      <c r="AG223" s="300"/>
    </row>
    <row r="224" spans="1:34" ht="14.25" customHeight="1">
      <c r="B224" s="2"/>
      <c r="C224" s="11"/>
      <c r="D224" s="11" t="s">
        <v>35</v>
      </c>
      <c r="E224" s="2"/>
      <c r="H224" s="12"/>
      <c r="I224" s="24"/>
      <c r="J224" s="10"/>
      <c r="K224" s="10"/>
      <c r="L224" s="132"/>
      <c r="M224" s="21"/>
      <c r="N224" s="21"/>
      <c r="O224" s="21"/>
      <c r="U224" s="10"/>
      <c r="V224" s="10"/>
      <c r="W224" s="10"/>
      <c r="X224" s="10"/>
      <c r="Y224" s="10"/>
      <c r="Z224" s="10"/>
      <c r="AA224" s="61"/>
      <c r="AC224" s="14"/>
      <c r="AG224" s="300"/>
    </row>
    <row r="225" spans="1:34" ht="24" customHeight="1">
      <c r="A225" s="370" t="s">
        <v>471</v>
      </c>
      <c r="B225" s="371"/>
      <c r="C225" s="372" t="s">
        <v>60</v>
      </c>
      <c r="D225" s="372" t="s">
        <v>35</v>
      </c>
      <c r="E225" s="371">
        <v>550180</v>
      </c>
      <c r="F225" s="373" t="s">
        <v>164</v>
      </c>
      <c r="G225" s="373" t="s">
        <v>165</v>
      </c>
      <c r="H225" s="374" t="s">
        <v>120</v>
      </c>
      <c r="I225" s="375">
        <v>2026</v>
      </c>
      <c r="J225" s="375" t="str">
        <f t="shared" ref="J225:J231" si="34">H225</f>
        <v>Showroom</v>
      </c>
      <c r="K225" s="375">
        <v>2000</v>
      </c>
      <c r="L225" s="373" t="s">
        <v>166</v>
      </c>
      <c r="M225" s="384">
        <v>45247</v>
      </c>
      <c r="N225" s="377">
        <v>48899</v>
      </c>
      <c r="O225" s="378"/>
      <c r="P225" s="377">
        <v>47074</v>
      </c>
      <c r="Q225" s="377">
        <v>47073</v>
      </c>
      <c r="R225" s="376">
        <v>100000</v>
      </c>
      <c r="S225" s="376">
        <f t="shared" ref="S225:S231" si="35">Q225</f>
        <v>47073</v>
      </c>
      <c r="T225" s="378"/>
      <c r="U225" s="376">
        <v>71800</v>
      </c>
      <c r="V225" s="376">
        <f t="shared" ref="V225:V231" si="36">T225</f>
        <v>0</v>
      </c>
      <c r="W225" s="376">
        <v>100000</v>
      </c>
      <c r="X225" s="376">
        <f t="shared" ref="X225:X231" si="37">V225</f>
        <v>0</v>
      </c>
      <c r="Y225" s="379" t="e">
        <f t="shared" ref="Y225:Y231" si="38">T225/H225</f>
        <v>#VALUE!</v>
      </c>
      <c r="Z225" s="376" t="s">
        <v>39</v>
      </c>
      <c r="AA225" s="380"/>
      <c r="AB225" s="381"/>
      <c r="AC225" s="374" t="s">
        <v>40</v>
      </c>
      <c r="AD225" s="373" t="s">
        <v>167</v>
      </c>
      <c r="AE225" s="378"/>
      <c r="AF225" s="378"/>
      <c r="AG225" s="383"/>
      <c r="AH225" s="378"/>
    </row>
    <row r="226" spans="1:34" ht="28.5" customHeight="1">
      <c r="A226" s="378" t="s">
        <v>471</v>
      </c>
      <c r="B226" s="371"/>
      <c r="C226" s="372" t="s">
        <v>60</v>
      </c>
      <c r="D226" s="372" t="s">
        <v>35</v>
      </c>
      <c r="E226" s="371">
        <v>550180</v>
      </c>
      <c r="F226" s="373" t="s">
        <v>164</v>
      </c>
      <c r="G226" s="373" t="s">
        <v>132</v>
      </c>
      <c r="H226" s="374" t="s">
        <v>120</v>
      </c>
      <c r="I226" s="375">
        <v>2202</v>
      </c>
      <c r="J226" s="375" t="str">
        <f t="shared" si="34"/>
        <v>Showroom</v>
      </c>
      <c r="K226" s="375">
        <v>2000</v>
      </c>
      <c r="L226" s="373" t="s">
        <v>168</v>
      </c>
      <c r="M226" s="384">
        <v>44497</v>
      </c>
      <c r="N226" s="377">
        <v>46322</v>
      </c>
      <c r="O226" s="378"/>
      <c r="P226" s="378"/>
      <c r="Q226" s="378"/>
      <c r="R226" s="376">
        <v>96000</v>
      </c>
      <c r="S226" s="376">
        <f t="shared" si="35"/>
        <v>0</v>
      </c>
      <c r="T226" s="378"/>
      <c r="U226" s="376">
        <v>78600</v>
      </c>
      <c r="V226" s="376">
        <f t="shared" si="36"/>
        <v>0</v>
      </c>
      <c r="W226" s="376">
        <v>96000</v>
      </c>
      <c r="X226" s="376">
        <f t="shared" si="37"/>
        <v>0</v>
      </c>
      <c r="Y226" s="379" t="e">
        <f t="shared" si="38"/>
        <v>#VALUE!</v>
      </c>
      <c r="Z226" s="376" t="s">
        <v>39</v>
      </c>
      <c r="AA226" s="380"/>
      <c r="AB226" s="381"/>
      <c r="AC226" s="374" t="s">
        <v>40</v>
      </c>
      <c r="AD226" s="378"/>
      <c r="AE226" s="378"/>
      <c r="AF226" s="378"/>
      <c r="AG226" s="383"/>
      <c r="AH226" s="378"/>
    </row>
    <row r="227" spans="1:34" ht="21.75" customHeight="1">
      <c r="A227" s="378" t="s">
        <v>471</v>
      </c>
      <c r="B227" s="371"/>
      <c r="C227" s="372" t="s">
        <v>60</v>
      </c>
      <c r="D227" s="372" t="s">
        <v>35</v>
      </c>
      <c r="E227" s="371">
        <v>550180</v>
      </c>
      <c r="F227" s="373" t="s">
        <v>164</v>
      </c>
      <c r="G227" s="373" t="s">
        <v>494</v>
      </c>
      <c r="H227" s="374" t="s">
        <v>594</v>
      </c>
      <c r="I227" s="375">
        <v>1977</v>
      </c>
      <c r="J227" s="375" t="str">
        <f t="shared" si="34"/>
        <v>Recording Studio /Office</v>
      </c>
      <c r="K227" s="375">
        <v>2000</v>
      </c>
      <c r="L227" s="373" t="s">
        <v>166</v>
      </c>
      <c r="M227" s="384">
        <v>45441</v>
      </c>
      <c r="N227" s="378"/>
      <c r="O227" s="378"/>
      <c r="P227" s="378"/>
      <c r="Q227" s="378"/>
      <c r="R227" s="376">
        <v>96000</v>
      </c>
      <c r="S227" s="376">
        <f t="shared" si="35"/>
        <v>0</v>
      </c>
      <c r="T227" s="378"/>
      <c r="U227" s="376">
        <v>121900</v>
      </c>
      <c r="V227" s="376">
        <f t="shared" si="36"/>
        <v>0</v>
      </c>
      <c r="W227" s="376">
        <v>133400</v>
      </c>
      <c r="X227" s="376">
        <f t="shared" si="37"/>
        <v>0</v>
      </c>
      <c r="Y227" s="379" t="e">
        <f t="shared" si="38"/>
        <v>#VALUE!</v>
      </c>
      <c r="Z227" s="376" t="s">
        <v>69</v>
      </c>
      <c r="AA227" s="380"/>
      <c r="AB227" s="381"/>
      <c r="AC227" s="374" t="s">
        <v>40</v>
      </c>
      <c r="AD227" s="373" t="s">
        <v>595</v>
      </c>
      <c r="AE227" s="378"/>
      <c r="AF227" s="385"/>
      <c r="AG227" s="386"/>
      <c r="AH227" s="385"/>
    </row>
    <row r="228" spans="1:34" ht="24" customHeight="1">
      <c r="A228" s="378" t="s">
        <v>471</v>
      </c>
      <c r="B228" s="371"/>
      <c r="C228" s="372" t="s">
        <v>60</v>
      </c>
      <c r="D228" s="372" t="s">
        <v>35</v>
      </c>
      <c r="E228" s="371">
        <v>550180</v>
      </c>
      <c r="F228" s="373" t="s">
        <v>164</v>
      </c>
      <c r="G228" s="391" t="s">
        <v>497</v>
      </c>
      <c r="H228" s="374" t="s">
        <v>37</v>
      </c>
      <c r="I228" s="375">
        <v>1938</v>
      </c>
      <c r="J228" s="375" t="str">
        <f t="shared" si="34"/>
        <v>Office</v>
      </c>
      <c r="K228" s="375">
        <v>2000</v>
      </c>
      <c r="L228" s="373" t="s">
        <v>596</v>
      </c>
      <c r="M228" s="384">
        <v>44768</v>
      </c>
      <c r="N228" s="377">
        <v>45863</v>
      </c>
      <c r="O228" s="378"/>
      <c r="P228" s="378"/>
      <c r="Q228" s="378"/>
      <c r="R228" s="376">
        <v>152250</v>
      </c>
      <c r="S228" s="376">
        <f t="shared" si="35"/>
        <v>0</v>
      </c>
      <c r="T228" s="378"/>
      <c r="U228" s="376">
        <v>121800</v>
      </c>
      <c r="V228" s="376">
        <f t="shared" si="36"/>
        <v>0</v>
      </c>
      <c r="W228" s="376">
        <v>130800</v>
      </c>
      <c r="X228" s="376">
        <f t="shared" si="37"/>
        <v>0</v>
      </c>
      <c r="Y228" s="379" t="e">
        <f t="shared" si="38"/>
        <v>#VALUE!</v>
      </c>
      <c r="Z228" s="376" t="s">
        <v>69</v>
      </c>
      <c r="AA228" s="380"/>
      <c r="AB228" s="381"/>
      <c r="AC228" s="374" t="s">
        <v>40</v>
      </c>
      <c r="AD228" s="378"/>
      <c r="AE228" s="378"/>
      <c r="AF228" s="378"/>
      <c r="AG228" s="383"/>
      <c r="AH228" s="378"/>
    </row>
    <row r="229" spans="1:34" ht="21.75" customHeight="1">
      <c r="A229" s="378" t="s">
        <v>471</v>
      </c>
      <c r="B229" s="371"/>
      <c r="C229" s="372" t="s">
        <v>60</v>
      </c>
      <c r="D229" s="372" t="s">
        <v>35</v>
      </c>
      <c r="E229" s="371">
        <v>550180</v>
      </c>
      <c r="F229" s="373" t="s">
        <v>164</v>
      </c>
      <c r="G229" s="373" t="s">
        <v>498</v>
      </c>
      <c r="H229" s="374" t="s">
        <v>175</v>
      </c>
      <c r="I229" s="375">
        <v>1961</v>
      </c>
      <c r="J229" s="375" t="str">
        <f t="shared" si="34"/>
        <v>Showroom/ Office</v>
      </c>
      <c r="K229" s="375">
        <v>2000</v>
      </c>
      <c r="L229" s="373" t="s">
        <v>597</v>
      </c>
      <c r="M229" s="384">
        <v>45357</v>
      </c>
      <c r="N229" s="377">
        <v>47182</v>
      </c>
      <c r="O229" s="378"/>
      <c r="P229" s="378"/>
      <c r="Q229" s="378"/>
      <c r="R229" s="376">
        <v>137025</v>
      </c>
      <c r="S229" s="376">
        <f t="shared" si="35"/>
        <v>0</v>
      </c>
      <c r="T229" s="378"/>
      <c r="U229" s="376">
        <v>121800</v>
      </c>
      <c r="V229" s="376">
        <f t="shared" si="36"/>
        <v>0</v>
      </c>
      <c r="W229" s="376">
        <v>137035</v>
      </c>
      <c r="X229" s="376">
        <f t="shared" si="37"/>
        <v>0</v>
      </c>
      <c r="Y229" s="379" t="e">
        <f t="shared" si="38"/>
        <v>#VALUE!</v>
      </c>
      <c r="Z229" s="376" t="s">
        <v>58</v>
      </c>
      <c r="AA229" s="380"/>
      <c r="AB229" s="381"/>
      <c r="AC229" s="374" t="s">
        <v>40</v>
      </c>
      <c r="AD229" s="385" t="s">
        <v>598</v>
      </c>
      <c r="AE229" s="378"/>
      <c r="AF229" s="378"/>
      <c r="AG229" s="383"/>
      <c r="AH229" s="378"/>
    </row>
    <row r="230" spans="1:34" ht="21.75" customHeight="1">
      <c r="A230" s="378" t="s">
        <v>471</v>
      </c>
      <c r="B230" s="371"/>
      <c r="C230" s="372" t="s">
        <v>60</v>
      </c>
      <c r="D230" s="372" t="s">
        <v>35</v>
      </c>
      <c r="E230" s="371">
        <v>550180</v>
      </c>
      <c r="F230" s="373" t="s">
        <v>164</v>
      </c>
      <c r="G230" s="373" t="s">
        <v>509</v>
      </c>
      <c r="H230" s="374" t="s">
        <v>175</v>
      </c>
      <c r="I230" s="375">
        <v>1992</v>
      </c>
      <c r="J230" s="375" t="str">
        <f t="shared" si="34"/>
        <v>Showroom/ Office</v>
      </c>
      <c r="K230" s="375">
        <v>2000</v>
      </c>
      <c r="L230" s="373" t="s">
        <v>68</v>
      </c>
      <c r="M230" s="377"/>
      <c r="N230" s="378"/>
      <c r="O230" s="377">
        <v>45596</v>
      </c>
      <c r="P230" s="378"/>
      <c r="Q230" s="378"/>
      <c r="R230" s="376">
        <v>0</v>
      </c>
      <c r="S230" s="376">
        <f t="shared" si="35"/>
        <v>0</v>
      </c>
      <c r="T230" s="378"/>
      <c r="U230" s="376">
        <v>117300</v>
      </c>
      <c r="V230" s="376">
        <f t="shared" si="36"/>
        <v>0</v>
      </c>
      <c r="W230" s="376">
        <v>130325</v>
      </c>
      <c r="X230" s="376">
        <f t="shared" si="37"/>
        <v>0</v>
      </c>
      <c r="Y230" s="379" t="e">
        <f t="shared" si="38"/>
        <v>#VALUE!</v>
      </c>
      <c r="Z230" s="376" t="s">
        <v>69</v>
      </c>
      <c r="AA230" s="380"/>
      <c r="AB230" s="381"/>
      <c r="AC230" s="374" t="s">
        <v>40</v>
      </c>
      <c r="AD230" s="373" t="s">
        <v>599</v>
      </c>
      <c r="AE230" s="388">
        <v>72.5</v>
      </c>
      <c r="AF230" s="378"/>
      <c r="AG230" s="383">
        <v>2</v>
      </c>
      <c r="AH230" s="373" t="s">
        <v>160</v>
      </c>
    </row>
    <row r="231" spans="1:34" ht="31.5" customHeight="1">
      <c r="A231" s="378" t="s">
        <v>471</v>
      </c>
      <c r="B231" s="371"/>
      <c r="C231" s="372" t="s">
        <v>60</v>
      </c>
      <c r="D231" s="372" t="s">
        <v>35</v>
      </c>
      <c r="E231" s="371">
        <v>550180</v>
      </c>
      <c r="F231" s="373" t="s">
        <v>164</v>
      </c>
      <c r="G231" s="391" t="s">
        <v>546</v>
      </c>
      <c r="H231" s="374" t="s">
        <v>600</v>
      </c>
      <c r="I231" s="375">
        <v>1468</v>
      </c>
      <c r="J231" s="375" t="str">
        <f t="shared" si="34"/>
        <v>Recording Studio/ Office</v>
      </c>
      <c r="K231" s="375">
        <v>1500</v>
      </c>
      <c r="L231" s="373" t="s">
        <v>601</v>
      </c>
      <c r="M231" s="384">
        <v>44805</v>
      </c>
      <c r="N231" s="377">
        <v>46630</v>
      </c>
      <c r="O231" s="378"/>
      <c r="P231" s="378"/>
      <c r="Q231" s="377">
        <v>45900</v>
      </c>
      <c r="R231" s="376">
        <v>98280</v>
      </c>
      <c r="S231" s="376">
        <f t="shared" si="35"/>
        <v>45900</v>
      </c>
      <c r="T231" s="378"/>
      <c r="U231" s="376">
        <v>100400</v>
      </c>
      <c r="V231" s="376">
        <f t="shared" si="36"/>
        <v>0</v>
      </c>
      <c r="W231" s="376">
        <v>99100</v>
      </c>
      <c r="X231" s="376">
        <f t="shared" si="37"/>
        <v>0</v>
      </c>
      <c r="Y231" s="379" t="e">
        <f t="shared" si="38"/>
        <v>#VALUE!</v>
      </c>
      <c r="Z231" s="376" t="s">
        <v>69</v>
      </c>
      <c r="AA231" s="380"/>
      <c r="AB231" s="381"/>
      <c r="AC231" s="374" t="s">
        <v>40</v>
      </c>
      <c r="AD231" s="373" t="s">
        <v>602</v>
      </c>
      <c r="AE231" s="378"/>
      <c r="AF231" s="378"/>
      <c r="AG231" s="383"/>
      <c r="AH231" s="378"/>
    </row>
    <row r="232" spans="1:34" ht="14.25" customHeight="1">
      <c r="B232" s="2"/>
      <c r="C232" s="11"/>
      <c r="D232" s="11" t="s">
        <v>35</v>
      </c>
      <c r="E232" s="2"/>
      <c r="G232" s="37"/>
      <c r="U232" s="10"/>
      <c r="V232" s="10"/>
      <c r="W232" s="10"/>
      <c r="X232" s="10"/>
      <c r="Y232" s="10"/>
      <c r="Z232" s="10"/>
      <c r="AA232" s="61"/>
      <c r="AC232" s="14"/>
      <c r="AG232" s="300"/>
    </row>
    <row r="233" spans="1:34" ht="14.25" customHeight="1">
      <c r="B233" s="2"/>
      <c r="C233" s="11"/>
      <c r="D233" s="11" t="s">
        <v>35</v>
      </c>
      <c r="E233" s="2"/>
      <c r="G233" s="92" t="s">
        <v>603</v>
      </c>
      <c r="I233" s="18">
        <f>SUM(H225:H231)</f>
        <v>0</v>
      </c>
      <c r="J233" s="19"/>
      <c r="K233" s="19"/>
      <c r="R233" s="19">
        <f>SUM(Q225:Q231)</f>
        <v>92973</v>
      </c>
      <c r="S233" s="19"/>
      <c r="T233" s="19">
        <f>SUM(R223:R232)</f>
        <v>679555</v>
      </c>
      <c r="U233" s="18">
        <f>SUM(T225:T231)</f>
        <v>0</v>
      </c>
      <c r="V233" s="19"/>
      <c r="W233" s="18">
        <f>SUM(V225:V231)</f>
        <v>0</v>
      </c>
      <c r="X233" s="19"/>
      <c r="Y233" s="19"/>
      <c r="Z233" s="19"/>
      <c r="AA233" s="62"/>
      <c r="AB233" s="19">
        <v>11300000</v>
      </c>
      <c r="AC233" s="14"/>
      <c r="AF233" s="29"/>
      <c r="AG233" s="301"/>
      <c r="AH233" s="29"/>
    </row>
    <row r="234" spans="1:34" ht="14.25" customHeight="1">
      <c r="B234" s="2"/>
      <c r="C234" s="11"/>
      <c r="D234" s="11" t="s">
        <v>35</v>
      </c>
      <c r="E234" s="2"/>
      <c r="I234" s="18"/>
      <c r="J234" s="19"/>
      <c r="K234" s="19"/>
      <c r="R234" s="19"/>
      <c r="S234" s="19"/>
      <c r="T234" s="19"/>
      <c r="U234" s="19"/>
      <c r="V234" s="19"/>
      <c r="W234" s="19"/>
      <c r="X234" s="19"/>
      <c r="Y234" s="19"/>
      <c r="Z234" s="19"/>
      <c r="AA234" s="62"/>
      <c r="AB234" s="54"/>
      <c r="AC234" s="14"/>
      <c r="AG234" s="300"/>
    </row>
    <row r="235" spans="1:34" ht="14.25" customHeight="1">
      <c r="A235" t="s">
        <v>928</v>
      </c>
      <c r="B235" s="2"/>
      <c r="C235" s="11"/>
      <c r="D235" s="11" t="s">
        <v>35</v>
      </c>
      <c r="E235" s="2"/>
      <c r="H235" s="6" t="s">
        <v>169</v>
      </c>
      <c r="J235" s="10"/>
      <c r="K235" s="10"/>
      <c r="L235" s="32"/>
      <c r="Q235" s="143"/>
      <c r="V235" s="10"/>
      <c r="X235" s="10"/>
      <c r="Y235" s="10"/>
      <c r="Z235" s="10"/>
      <c r="AA235" s="61"/>
      <c r="AC235" s="14"/>
      <c r="AG235" s="300"/>
    </row>
    <row r="236" spans="1:34" ht="14.25" customHeight="1">
      <c r="B236" s="2"/>
      <c r="C236" s="11"/>
      <c r="D236" s="11" t="s">
        <v>35</v>
      </c>
      <c r="E236" s="2"/>
      <c r="J236" s="10"/>
      <c r="K236" s="10"/>
      <c r="Q236" s="223"/>
      <c r="U236" s="10"/>
      <c r="V236" s="10"/>
      <c r="W236" s="10"/>
      <c r="X236" s="10"/>
      <c r="Y236" s="10"/>
      <c r="Z236" s="10"/>
      <c r="AA236" s="61"/>
      <c r="AC236" s="14"/>
      <c r="AG236" s="300"/>
    </row>
    <row r="237" spans="1:34" ht="24" customHeight="1">
      <c r="A237" s="370" t="s">
        <v>471</v>
      </c>
      <c r="B237" s="371"/>
      <c r="C237" s="372" t="s">
        <v>34</v>
      </c>
      <c r="D237" s="372" t="s">
        <v>35</v>
      </c>
      <c r="E237" s="371">
        <v>550420</v>
      </c>
      <c r="F237" s="373" t="s">
        <v>169</v>
      </c>
      <c r="G237" s="373" t="s">
        <v>170</v>
      </c>
      <c r="H237" s="374" t="s">
        <v>120</v>
      </c>
      <c r="I237" s="375">
        <v>1115</v>
      </c>
      <c r="J237" s="375" t="str">
        <f t="shared" ref="J237:J245" si="39">H237</f>
        <v>Showroom</v>
      </c>
      <c r="K237" s="375">
        <v>1000</v>
      </c>
      <c r="L237" s="373" t="s">
        <v>171</v>
      </c>
      <c r="M237" s="384">
        <v>45504</v>
      </c>
      <c r="N237" s="377">
        <v>47329</v>
      </c>
      <c r="O237" s="378"/>
      <c r="P237" s="378"/>
      <c r="Q237" s="377">
        <v>46599</v>
      </c>
      <c r="R237" s="376">
        <v>60000</v>
      </c>
      <c r="S237" s="376">
        <f t="shared" ref="S237:S245" si="40">Q237</f>
        <v>46599</v>
      </c>
      <c r="T237" s="378"/>
      <c r="U237" s="376">
        <v>50400</v>
      </c>
      <c r="V237" s="376">
        <f t="shared" ref="V237:V245" si="41">T237</f>
        <v>0</v>
      </c>
      <c r="W237" s="376">
        <v>63500</v>
      </c>
      <c r="X237" s="376">
        <f t="shared" ref="X237:X245" si="42">V237</f>
        <v>0</v>
      </c>
      <c r="Y237" s="379" t="e">
        <f t="shared" ref="Y237:Y245" si="43">T237/H237</f>
        <v>#VALUE!</v>
      </c>
      <c r="Z237" s="376" t="s">
        <v>39</v>
      </c>
      <c r="AA237" s="380"/>
      <c r="AB237" s="381"/>
      <c r="AC237" s="374" t="s">
        <v>40</v>
      </c>
      <c r="AD237" s="373" t="s">
        <v>172</v>
      </c>
      <c r="AE237" s="378"/>
      <c r="AF237" s="385"/>
      <c r="AG237" s="386"/>
      <c r="AH237" s="385"/>
    </row>
    <row r="238" spans="1:34" ht="22.5" customHeight="1">
      <c r="A238" s="378" t="s">
        <v>471</v>
      </c>
      <c r="B238" s="371"/>
      <c r="C238" s="372" t="s">
        <v>34</v>
      </c>
      <c r="D238" s="372" t="s">
        <v>35</v>
      </c>
      <c r="E238" s="371">
        <v>550420</v>
      </c>
      <c r="F238" s="373" t="s">
        <v>169</v>
      </c>
      <c r="G238" s="391" t="s">
        <v>604</v>
      </c>
      <c r="H238" s="374" t="s">
        <v>605</v>
      </c>
      <c r="I238" s="375">
        <v>488</v>
      </c>
      <c r="J238" s="375" t="str">
        <f t="shared" si="39"/>
        <v>Recording Studio</v>
      </c>
      <c r="K238" s="375">
        <v>500</v>
      </c>
      <c r="L238" s="373" t="s">
        <v>606</v>
      </c>
      <c r="M238" s="384">
        <v>45439</v>
      </c>
      <c r="N238" s="377">
        <v>47264</v>
      </c>
      <c r="O238" s="378"/>
      <c r="P238" s="378"/>
      <c r="Q238" s="378"/>
      <c r="R238" s="376">
        <v>16000</v>
      </c>
      <c r="S238" s="376">
        <f t="shared" si="40"/>
        <v>0</v>
      </c>
      <c r="T238" s="378"/>
      <c r="U238" s="376">
        <v>13100</v>
      </c>
      <c r="V238" s="376">
        <f t="shared" si="41"/>
        <v>0</v>
      </c>
      <c r="W238" s="376">
        <v>14600</v>
      </c>
      <c r="X238" s="376">
        <f t="shared" si="42"/>
        <v>0</v>
      </c>
      <c r="Y238" s="379" t="e">
        <f t="shared" si="43"/>
        <v>#VALUE!</v>
      </c>
      <c r="Z238" s="376" t="s">
        <v>39</v>
      </c>
      <c r="AA238" s="380"/>
      <c r="AB238" s="381"/>
      <c r="AC238" s="374" t="s">
        <v>40</v>
      </c>
      <c r="AD238" s="397"/>
      <c r="AE238" s="378"/>
      <c r="AF238" s="397"/>
      <c r="AG238" s="406"/>
      <c r="AH238" s="397"/>
    </row>
    <row r="239" spans="1:34" ht="28.5" customHeight="1">
      <c r="A239" s="378" t="s">
        <v>471</v>
      </c>
      <c r="B239" s="371"/>
      <c r="C239" s="372" t="s">
        <v>34</v>
      </c>
      <c r="D239" s="372" t="s">
        <v>35</v>
      </c>
      <c r="E239" s="371">
        <v>550420</v>
      </c>
      <c r="F239" s="373" t="s">
        <v>169</v>
      </c>
      <c r="G239" s="373" t="s">
        <v>607</v>
      </c>
      <c r="H239" s="374" t="s">
        <v>120</v>
      </c>
      <c r="I239" s="375">
        <v>1064</v>
      </c>
      <c r="J239" s="375" t="str">
        <f t="shared" si="39"/>
        <v>Showroom</v>
      </c>
      <c r="K239" s="375">
        <v>100</v>
      </c>
      <c r="L239" s="373" t="s">
        <v>608</v>
      </c>
      <c r="M239" s="384">
        <v>44515</v>
      </c>
      <c r="N239" s="377">
        <v>46340</v>
      </c>
      <c r="O239" s="378"/>
      <c r="P239" s="378"/>
      <c r="Q239" s="378"/>
      <c r="R239" s="376">
        <v>48000</v>
      </c>
      <c r="S239" s="376">
        <f t="shared" si="40"/>
        <v>0</v>
      </c>
      <c r="T239" s="378"/>
      <c r="U239" s="376">
        <v>48000</v>
      </c>
      <c r="V239" s="376">
        <f t="shared" si="41"/>
        <v>0</v>
      </c>
      <c r="W239" s="376">
        <v>48000</v>
      </c>
      <c r="X239" s="376">
        <f t="shared" si="42"/>
        <v>0</v>
      </c>
      <c r="Y239" s="379" t="e">
        <f t="shared" si="43"/>
        <v>#VALUE!</v>
      </c>
      <c r="Z239" s="376" t="s">
        <v>69</v>
      </c>
      <c r="AA239" s="380"/>
      <c r="AB239" s="381"/>
      <c r="AC239" s="374" t="s">
        <v>40</v>
      </c>
      <c r="AD239" s="378"/>
      <c r="AE239" s="378"/>
      <c r="AF239" s="378"/>
      <c r="AG239" s="383"/>
      <c r="AH239" s="378"/>
    </row>
    <row r="240" spans="1:34" ht="24" customHeight="1">
      <c r="A240" s="378" t="s">
        <v>471</v>
      </c>
      <c r="B240" s="371"/>
      <c r="C240" s="372" t="s">
        <v>34</v>
      </c>
      <c r="D240" s="372" t="s">
        <v>35</v>
      </c>
      <c r="E240" s="371">
        <v>550420</v>
      </c>
      <c r="F240" s="373" t="s">
        <v>169</v>
      </c>
      <c r="G240" s="373" t="s">
        <v>609</v>
      </c>
      <c r="H240" s="374" t="s">
        <v>37</v>
      </c>
      <c r="I240" s="375">
        <v>325</v>
      </c>
      <c r="J240" s="375" t="str">
        <f t="shared" si="39"/>
        <v>Office</v>
      </c>
      <c r="K240" s="375">
        <v>500</v>
      </c>
      <c r="L240" s="373" t="s">
        <v>263</v>
      </c>
      <c r="M240" s="384">
        <v>45709</v>
      </c>
      <c r="N240" s="377">
        <v>47066</v>
      </c>
      <c r="O240" s="378"/>
      <c r="P240" s="378"/>
      <c r="Q240" s="378"/>
      <c r="R240" s="376">
        <v>0</v>
      </c>
      <c r="S240" s="376">
        <f t="shared" si="40"/>
        <v>0</v>
      </c>
      <c r="T240" s="378"/>
      <c r="U240" s="376">
        <v>28000</v>
      </c>
      <c r="V240" s="376">
        <f t="shared" si="41"/>
        <v>0</v>
      </c>
      <c r="W240" s="376">
        <v>27600</v>
      </c>
      <c r="X240" s="376">
        <f t="shared" si="42"/>
        <v>0</v>
      </c>
      <c r="Y240" s="379" t="e">
        <f t="shared" si="43"/>
        <v>#VALUE!</v>
      </c>
      <c r="Z240" s="376" t="s">
        <v>69</v>
      </c>
      <c r="AA240" s="380"/>
      <c r="AB240" s="381"/>
      <c r="AC240" s="374" t="s">
        <v>40</v>
      </c>
      <c r="AD240" s="373" t="s">
        <v>610</v>
      </c>
      <c r="AE240" s="378"/>
      <c r="AF240" s="378"/>
      <c r="AG240" s="383">
        <v>1</v>
      </c>
      <c r="AH240" s="373" t="s">
        <v>160</v>
      </c>
    </row>
    <row r="241" spans="1:34" ht="30.75" customHeight="1">
      <c r="A241" s="378" t="s">
        <v>471</v>
      </c>
      <c r="B241" s="371"/>
      <c r="C241" s="372" t="s">
        <v>34</v>
      </c>
      <c r="D241" s="372" t="s">
        <v>35</v>
      </c>
      <c r="E241" s="371">
        <v>550420</v>
      </c>
      <c r="F241" s="373" t="s">
        <v>169</v>
      </c>
      <c r="G241" s="373" t="s">
        <v>611</v>
      </c>
      <c r="H241" s="374" t="s">
        <v>37</v>
      </c>
      <c r="I241" s="375">
        <v>1335</v>
      </c>
      <c r="J241" s="375" t="str">
        <f t="shared" si="39"/>
        <v>Office</v>
      </c>
      <c r="K241" s="375">
        <v>1250</v>
      </c>
      <c r="L241" s="373" t="s">
        <v>612</v>
      </c>
      <c r="M241" s="384">
        <v>45624</v>
      </c>
      <c r="N241" s="377">
        <v>47449</v>
      </c>
      <c r="O241" s="378"/>
      <c r="P241" s="378"/>
      <c r="Q241" s="377">
        <v>46718</v>
      </c>
      <c r="R241" s="376">
        <v>40200</v>
      </c>
      <c r="S241" s="376">
        <f t="shared" si="40"/>
        <v>46718</v>
      </c>
      <c r="T241" s="378"/>
      <c r="U241" s="376">
        <v>73700</v>
      </c>
      <c r="V241" s="376">
        <f t="shared" si="41"/>
        <v>0</v>
      </c>
      <c r="W241" s="376">
        <v>75710</v>
      </c>
      <c r="X241" s="376">
        <f t="shared" si="42"/>
        <v>0</v>
      </c>
      <c r="Y241" s="379" t="e">
        <f t="shared" si="43"/>
        <v>#VALUE!</v>
      </c>
      <c r="Z241" s="376" t="s">
        <v>69</v>
      </c>
      <c r="AA241" s="380"/>
      <c r="AB241" s="381"/>
      <c r="AC241" s="374" t="s">
        <v>40</v>
      </c>
      <c r="AD241" s="373" t="s">
        <v>613</v>
      </c>
      <c r="AE241" s="378"/>
      <c r="AF241" s="378"/>
      <c r="AG241" s="383">
        <v>1</v>
      </c>
      <c r="AH241" s="373" t="s">
        <v>160</v>
      </c>
    </row>
    <row r="242" spans="1:34" ht="24" customHeight="1">
      <c r="A242" s="378" t="s">
        <v>471</v>
      </c>
      <c r="B242" s="371"/>
      <c r="C242" s="372" t="s">
        <v>34</v>
      </c>
      <c r="D242" s="372" t="s">
        <v>35</v>
      </c>
      <c r="E242" s="371">
        <v>550420</v>
      </c>
      <c r="F242" s="373" t="s">
        <v>169</v>
      </c>
      <c r="G242" s="373" t="s">
        <v>614</v>
      </c>
      <c r="H242" s="374" t="s">
        <v>37</v>
      </c>
      <c r="I242" s="375">
        <v>533</v>
      </c>
      <c r="J242" s="375" t="str">
        <f t="shared" si="39"/>
        <v>Office</v>
      </c>
      <c r="K242" s="375">
        <v>500</v>
      </c>
      <c r="L242" s="373" t="s">
        <v>68</v>
      </c>
      <c r="M242" s="378"/>
      <c r="N242" s="378"/>
      <c r="O242" s="377">
        <v>44536</v>
      </c>
      <c r="P242" s="378"/>
      <c r="Q242" s="378"/>
      <c r="R242" s="376">
        <v>0</v>
      </c>
      <c r="S242" s="376">
        <f t="shared" si="40"/>
        <v>0</v>
      </c>
      <c r="T242" s="378"/>
      <c r="U242" s="376">
        <v>28900</v>
      </c>
      <c r="V242" s="376">
        <f t="shared" si="41"/>
        <v>0</v>
      </c>
      <c r="W242" s="376">
        <v>29300</v>
      </c>
      <c r="X242" s="376">
        <f t="shared" si="42"/>
        <v>0</v>
      </c>
      <c r="Y242" s="379" t="e">
        <f t="shared" si="43"/>
        <v>#VALUE!</v>
      </c>
      <c r="Z242" s="376" t="s">
        <v>39</v>
      </c>
      <c r="AA242" s="380"/>
      <c r="AB242" s="381"/>
      <c r="AC242" s="374" t="s">
        <v>40</v>
      </c>
      <c r="AD242" s="373" t="s">
        <v>510</v>
      </c>
      <c r="AE242" s="378"/>
      <c r="AF242" s="378"/>
      <c r="AG242" s="383"/>
      <c r="AH242" s="378"/>
    </row>
    <row r="243" spans="1:34" ht="24" customHeight="1">
      <c r="A243" s="378" t="s">
        <v>471</v>
      </c>
      <c r="B243" s="371"/>
      <c r="C243" s="372" t="s">
        <v>34</v>
      </c>
      <c r="D243" s="372" t="s">
        <v>35</v>
      </c>
      <c r="E243" s="371">
        <v>550420</v>
      </c>
      <c r="F243" s="373" t="s">
        <v>169</v>
      </c>
      <c r="G243" s="373" t="s">
        <v>497</v>
      </c>
      <c r="H243" s="374" t="s">
        <v>37</v>
      </c>
      <c r="I243" s="375">
        <v>1404</v>
      </c>
      <c r="J243" s="375" t="str">
        <f t="shared" si="39"/>
        <v>Office</v>
      </c>
      <c r="K243" s="375">
        <v>1500</v>
      </c>
      <c r="L243" s="373" t="s">
        <v>615</v>
      </c>
      <c r="M243" s="384">
        <v>44490</v>
      </c>
      <c r="N243" s="377">
        <v>45930</v>
      </c>
      <c r="O243" s="378"/>
      <c r="P243" s="377">
        <v>45258</v>
      </c>
      <c r="Q243" s="378"/>
      <c r="R243" s="376">
        <v>78000</v>
      </c>
      <c r="S243" s="376">
        <f t="shared" si="40"/>
        <v>0</v>
      </c>
      <c r="T243" s="378"/>
      <c r="U243" s="376">
        <v>79100</v>
      </c>
      <c r="V243" s="376">
        <f t="shared" si="41"/>
        <v>0</v>
      </c>
      <c r="W243" s="376">
        <v>80700</v>
      </c>
      <c r="X243" s="376">
        <f t="shared" si="42"/>
        <v>0</v>
      </c>
      <c r="Y243" s="379" t="e">
        <f t="shared" si="43"/>
        <v>#VALUE!</v>
      </c>
      <c r="Z243" s="376" t="s">
        <v>39</v>
      </c>
      <c r="AA243" s="380"/>
      <c r="AB243" s="381"/>
      <c r="AC243" s="374" t="s">
        <v>40</v>
      </c>
      <c r="AD243" s="378"/>
      <c r="AE243" s="378"/>
      <c r="AF243" s="378"/>
      <c r="AG243" s="383"/>
      <c r="AH243" s="378"/>
    </row>
    <row r="244" spans="1:34" s="56" customFormat="1" ht="24" customHeight="1">
      <c r="A244" s="378" t="s">
        <v>471</v>
      </c>
      <c r="B244" s="371"/>
      <c r="C244" s="372" t="s">
        <v>34</v>
      </c>
      <c r="D244" s="372" t="s">
        <v>35</v>
      </c>
      <c r="E244" s="371">
        <v>550420</v>
      </c>
      <c r="F244" s="373" t="s">
        <v>169</v>
      </c>
      <c r="G244" s="373" t="s">
        <v>498</v>
      </c>
      <c r="H244" s="374" t="s">
        <v>37</v>
      </c>
      <c r="I244" s="375">
        <v>1404</v>
      </c>
      <c r="J244" s="375" t="str">
        <f t="shared" si="39"/>
        <v>Office</v>
      </c>
      <c r="K244" s="375">
        <v>1500</v>
      </c>
      <c r="L244" s="373" t="s">
        <v>615</v>
      </c>
      <c r="M244" s="384">
        <v>45259</v>
      </c>
      <c r="N244" s="377">
        <v>45930</v>
      </c>
      <c r="O244" s="377"/>
      <c r="P244" s="377"/>
      <c r="Q244" s="377">
        <v>45930</v>
      </c>
      <c r="R244" s="376">
        <v>78800</v>
      </c>
      <c r="S244" s="376">
        <f t="shared" si="40"/>
        <v>45930</v>
      </c>
      <c r="T244" s="376"/>
      <c r="U244" s="376">
        <v>79600</v>
      </c>
      <c r="V244" s="376">
        <f t="shared" si="41"/>
        <v>0</v>
      </c>
      <c r="W244" s="376">
        <v>80700</v>
      </c>
      <c r="X244" s="376">
        <f t="shared" si="42"/>
        <v>0</v>
      </c>
      <c r="Y244" s="379" t="e">
        <f t="shared" si="43"/>
        <v>#VALUE!</v>
      </c>
      <c r="Z244" s="376" t="s">
        <v>39</v>
      </c>
      <c r="AA244" s="380"/>
      <c r="AB244" s="381"/>
      <c r="AC244" s="374" t="s">
        <v>40</v>
      </c>
      <c r="AD244" s="373" t="s">
        <v>616</v>
      </c>
      <c r="AE244" s="388"/>
      <c r="AF244" s="373"/>
      <c r="AG244" s="383"/>
      <c r="AH244" s="373"/>
    </row>
    <row r="245" spans="1:34" s="56" customFormat="1" ht="28.5" customHeight="1">
      <c r="A245" s="378" t="s">
        <v>471</v>
      </c>
      <c r="B245" s="371"/>
      <c r="C245" s="372" t="s">
        <v>34</v>
      </c>
      <c r="D245" s="372" t="s">
        <v>35</v>
      </c>
      <c r="E245" s="371">
        <v>550420</v>
      </c>
      <c r="F245" s="373" t="s">
        <v>169</v>
      </c>
      <c r="G245" s="373" t="s">
        <v>509</v>
      </c>
      <c r="H245" s="374" t="s">
        <v>37</v>
      </c>
      <c r="I245" s="375">
        <v>1330</v>
      </c>
      <c r="J245" s="375" t="str">
        <f t="shared" si="39"/>
        <v>Office</v>
      </c>
      <c r="K245" s="375">
        <v>1250</v>
      </c>
      <c r="L245" s="385" t="s">
        <v>617</v>
      </c>
      <c r="M245" s="389">
        <v>45762</v>
      </c>
      <c r="N245" s="387">
        <v>47587</v>
      </c>
      <c r="O245" s="387"/>
      <c r="P245" s="387"/>
      <c r="Q245" s="387">
        <v>46857</v>
      </c>
      <c r="R245" s="390">
        <v>86450</v>
      </c>
      <c r="S245" s="376">
        <f t="shared" si="40"/>
        <v>46857</v>
      </c>
      <c r="T245" s="376"/>
      <c r="U245" s="376">
        <v>78200</v>
      </c>
      <c r="V245" s="376">
        <f t="shared" si="41"/>
        <v>0</v>
      </c>
      <c r="W245" s="376">
        <v>76500</v>
      </c>
      <c r="X245" s="376">
        <f t="shared" si="42"/>
        <v>0</v>
      </c>
      <c r="Y245" s="379" t="e">
        <f t="shared" si="43"/>
        <v>#VALUE!</v>
      </c>
      <c r="Z245" s="376" t="s">
        <v>58</v>
      </c>
      <c r="AA245" s="380"/>
      <c r="AB245" s="381"/>
      <c r="AC245" s="374" t="s">
        <v>40</v>
      </c>
      <c r="AD245" s="385" t="s">
        <v>618</v>
      </c>
      <c r="AE245" s="388">
        <v>63</v>
      </c>
      <c r="AF245" s="373"/>
      <c r="AG245" s="383">
        <v>4</v>
      </c>
      <c r="AH245" s="373" t="s">
        <v>160</v>
      </c>
    </row>
    <row r="246" spans="1:34" ht="14.25" customHeight="1">
      <c r="B246" s="2"/>
      <c r="C246" s="11"/>
      <c r="D246" s="11" t="s">
        <v>35</v>
      </c>
      <c r="E246" s="2"/>
      <c r="J246" s="10"/>
      <c r="K246" s="10"/>
      <c r="U246" s="10"/>
      <c r="V246" s="10"/>
      <c r="W246" s="10"/>
      <c r="X246" s="10"/>
      <c r="Y246" s="10"/>
      <c r="Z246" s="10"/>
      <c r="AA246" s="61"/>
      <c r="AC246" s="14"/>
      <c r="AG246" s="300"/>
    </row>
    <row r="247" spans="1:34" ht="14.25" customHeight="1">
      <c r="B247" s="2"/>
      <c r="C247" s="11"/>
      <c r="D247" s="11" t="s">
        <v>35</v>
      </c>
      <c r="E247" s="2"/>
      <c r="G247" s="92" t="s">
        <v>619</v>
      </c>
      <c r="I247" s="18">
        <f>SUM(H237:H245)</f>
        <v>0</v>
      </c>
      <c r="J247" s="19"/>
      <c r="K247" s="19"/>
      <c r="R247" s="38">
        <f>SUM(Q237:Q245)</f>
        <v>186104</v>
      </c>
      <c r="S247" s="19"/>
      <c r="T247" s="19">
        <f>SUM(R236:R246)</f>
        <v>407450</v>
      </c>
      <c r="U247" s="19">
        <f>SUM(T237:T245)</f>
        <v>0</v>
      </c>
      <c r="V247" s="19"/>
      <c r="W247" s="19">
        <f>SUM(V237:V245)</f>
        <v>0</v>
      </c>
      <c r="X247" s="19"/>
      <c r="Y247" s="19"/>
      <c r="Z247" s="19"/>
      <c r="AA247" s="62"/>
      <c r="AB247" s="19">
        <v>6850000</v>
      </c>
      <c r="AC247" s="14"/>
      <c r="AF247" s="29"/>
      <c r="AG247" s="301"/>
      <c r="AH247" s="29"/>
    </row>
    <row r="248" spans="1:34" ht="14.25" customHeight="1">
      <c r="B248" s="2"/>
      <c r="C248" s="11"/>
      <c r="D248" s="11" t="s">
        <v>35</v>
      </c>
      <c r="E248" s="2"/>
      <c r="G248" s="92"/>
      <c r="I248" s="18"/>
      <c r="J248" s="19"/>
      <c r="K248" s="19"/>
      <c r="R248" s="19"/>
      <c r="S248" s="19"/>
      <c r="T248" s="19"/>
      <c r="U248" s="19"/>
      <c r="V248" s="19"/>
      <c r="W248" s="19"/>
      <c r="X248" s="19"/>
      <c r="Y248" s="19"/>
      <c r="Z248" s="19"/>
      <c r="AA248" s="62"/>
      <c r="AB248" s="54"/>
      <c r="AC248" s="14"/>
      <c r="AG248" s="300"/>
    </row>
    <row r="249" spans="1:34" ht="14.25" customHeight="1">
      <c r="A249" t="s">
        <v>928</v>
      </c>
      <c r="B249" s="2"/>
      <c r="C249" s="11"/>
      <c r="D249" s="11" t="s">
        <v>35</v>
      </c>
      <c r="E249" s="2"/>
      <c r="G249" s="92"/>
      <c r="H249" s="6" t="s">
        <v>173</v>
      </c>
      <c r="I249" s="18"/>
      <c r="J249" s="19"/>
      <c r="K249" s="19"/>
      <c r="R249" s="19"/>
      <c r="S249" s="19"/>
      <c r="T249" s="19"/>
      <c r="U249" s="19"/>
      <c r="V249" s="19"/>
      <c r="W249" s="19"/>
      <c r="X249" s="19"/>
      <c r="Y249" s="19"/>
      <c r="Z249" s="19"/>
      <c r="AA249" s="62"/>
      <c r="AB249" s="54"/>
      <c r="AC249" s="14"/>
      <c r="AG249" s="300"/>
    </row>
    <row r="250" spans="1:34" ht="14.25" customHeight="1">
      <c r="B250" s="2"/>
      <c r="C250" s="11"/>
      <c r="D250" s="11" t="s">
        <v>35</v>
      </c>
      <c r="E250" s="2"/>
      <c r="J250" s="10"/>
      <c r="K250" s="10"/>
      <c r="U250" s="10"/>
      <c r="V250" s="10"/>
      <c r="W250" s="10"/>
      <c r="X250" s="10"/>
      <c r="Y250" s="10"/>
      <c r="Z250" s="10"/>
      <c r="AA250" s="61"/>
      <c r="AC250" s="14"/>
      <c r="AG250" s="300"/>
    </row>
    <row r="251" spans="1:34" ht="24" customHeight="1">
      <c r="A251" s="370" t="s">
        <v>471</v>
      </c>
      <c r="B251" s="371"/>
      <c r="C251" s="372" t="s">
        <v>34</v>
      </c>
      <c r="D251" s="372" t="s">
        <v>35</v>
      </c>
      <c r="E251" s="371">
        <v>550190</v>
      </c>
      <c r="F251" s="373" t="s">
        <v>173</v>
      </c>
      <c r="G251" s="373" t="s">
        <v>174</v>
      </c>
      <c r="H251" s="374" t="s">
        <v>175</v>
      </c>
      <c r="I251" s="375">
        <v>3443</v>
      </c>
      <c r="J251" s="375" t="str">
        <f t="shared" ref="J251:J256" si="44">H251</f>
        <v>Showroom/ Office</v>
      </c>
      <c r="K251" s="375">
        <v>3500</v>
      </c>
      <c r="L251" s="373" t="s">
        <v>176</v>
      </c>
      <c r="M251" s="384">
        <v>44348</v>
      </c>
      <c r="N251" s="377">
        <v>47999</v>
      </c>
      <c r="O251" s="378"/>
      <c r="P251" s="377">
        <v>46174</v>
      </c>
      <c r="Q251" s="377">
        <v>46173</v>
      </c>
      <c r="R251" s="376">
        <v>75000</v>
      </c>
      <c r="S251" s="376">
        <f t="shared" ref="S251:S256" si="45">Q251</f>
        <v>46173</v>
      </c>
      <c r="T251" s="378"/>
      <c r="U251" s="376">
        <v>75800</v>
      </c>
      <c r="V251" s="376">
        <f t="shared" ref="V251:V256" si="46">T251</f>
        <v>0</v>
      </c>
      <c r="W251" s="376">
        <v>75000</v>
      </c>
      <c r="X251" s="376">
        <f t="shared" ref="X251:X256" si="47">V251</f>
        <v>0</v>
      </c>
      <c r="Y251" s="379" t="e">
        <f t="shared" ref="Y251:Y256" si="48">T251/H251</f>
        <v>#VALUE!</v>
      </c>
      <c r="Z251" s="376" t="s">
        <v>58</v>
      </c>
      <c r="AA251" s="380"/>
      <c r="AB251" s="381"/>
      <c r="AC251" s="374" t="s">
        <v>40</v>
      </c>
      <c r="AD251" s="373" t="s">
        <v>177</v>
      </c>
      <c r="AE251" s="378"/>
      <c r="AF251" s="378"/>
      <c r="AG251" s="383"/>
      <c r="AH251" s="378"/>
    </row>
    <row r="252" spans="1:34" ht="28.5" customHeight="1">
      <c r="A252" s="378" t="s">
        <v>471</v>
      </c>
      <c r="B252" s="371"/>
      <c r="C252" s="372" t="s">
        <v>34</v>
      </c>
      <c r="D252" s="372" t="s">
        <v>35</v>
      </c>
      <c r="E252" s="371">
        <v>550190</v>
      </c>
      <c r="F252" s="373" t="s">
        <v>173</v>
      </c>
      <c r="G252" s="373" t="s">
        <v>620</v>
      </c>
      <c r="H252" s="374" t="s">
        <v>37</v>
      </c>
      <c r="I252" s="375">
        <v>1946</v>
      </c>
      <c r="J252" s="375" t="str">
        <f t="shared" si="44"/>
        <v>Office</v>
      </c>
      <c r="K252" s="375">
        <v>2000</v>
      </c>
      <c r="L252" s="373" t="s">
        <v>68</v>
      </c>
      <c r="M252" s="378"/>
      <c r="N252" s="378"/>
      <c r="O252" s="377">
        <v>45154</v>
      </c>
      <c r="P252" s="378"/>
      <c r="Q252" s="378"/>
      <c r="R252" s="376">
        <v>0</v>
      </c>
      <c r="S252" s="376">
        <f t="shared" si="45"/>
        <v>0</v>
      </c>
      <c r="T252" s="378"/>
      <c r="U252" s="376">
        <v>113900</v>
      </c>
      <c r="V252" s="376">
        <f t="shared" si="46"/>
        <v>0</v>
      </c>
      <c r="W252" s="376">
        <v>116800</v>
      </c>
      <c r="X252" s="376">
        <f t="shared" si="47"/>
        <v>0</v>
      </c>
      <c r="Y252" s="379" t="e">
        <f t="shared" si="48"/>
        <v>#VALUE!</v>
      </c>
      <c r="Z252" s="376" t="s">
        <v>76</v>
      </c>
      <c r="AA252" s="380"/>
      <c r="AB252" s="381"/>
      <c r="AC252" s="374" t="s">
        <v>40</v>
      </c>
      <c r="AD252" s="373" t="s">
        <v>482</v>
      </c>
      <c r="AE252" s="388">
        <v>60</v>
      </c>
      <c r="AF252" s="378"/>
      <c r="AG252" s="383">
        <v>6</v>
      </c>
      <c r="AH252" s="373" t="s">
        <v>160</v>
      </c>
    </row>
    <row r="253" spans="1:34" ht="60">
      <c r="A253" s="378" t="s">
        <v>471</v>
      </c>
      <c r="B253" s="371"/>
      <c r="C253" s="372" t="s">
        <v>34</v>
      </c>
      <c r="D253" s="372" t="s">
        <v>35</v>
      </c>
      <c r="E253" s="371">
        <v>550190</v>
      </c>
      <c r="F253" s="373" t="s">
        <v>173</v>
      </c>
      <c r="G253" s="373" t="s">
        <v>494</v>
      </c>
      <c r="H253" s="374" t="s">
        <v>37</v>
      </c>
      <c r="I253" s="375">
        <v>2319</v>
      </c>
      <c r="J253" s="375" t="str">
        <f t="shared" si="44"/>
        <v>Office</v>
      </c>
      <c r="K253" s="375">
        <v>2250</v>
      </c>
      <c r="L253" s="373" t="s">
        <v>621</v>
      </c>
      <c r="M253" s="384">
        <v>44839</v>
      </c>
      <c r="N253" s="377">
        <v>46664</v>
      </c>
      <c r="O253" s="378"/>
      <c r="P253" s="378"/>
      <c r="Q253" s="377">
        <v>45935</v>
      </c>
      <c r="R253" s="376">
        <v>153216</v>
      </c>
      <c r="S253" s="376">
        <f t="shared" si="45"/>
        <v>45935</v>
      </c>
      <c r="T253" s="378"/>
      <c r="U253" s="376">
        <v>153600</v>
      </c>
      <c r="V253" s="376">
        <f t="shared" si="46"/>
        <v>0</v>
      </c>
      <c r="W253" s="376">
        <v>151900</v>
      </c>
      <c r="X253" s="376">
        <f t="shared" si="47"/>
        <v>0</v>
      </c>
      <c r="Y253" s="379" t="e">
        <f t="shared" si="48"/>
        <v>#VALUE!</v>
      </c>
      <c r="Z253" s="376" t="s">
        <v>69</v>
      </c>
      <c r="AA253" s="380"/>
      <c r="AB253" s="381"/>
      <c r="AC253" s="374" t="s">
        <v>40</v>
      </c>
      <c r="AD253" s="373" t="s">
        <v>622</v>
      </c>
      <c r="AE253" s="378"/>
      <c r="AF253" s="378"/>
      <c r="AG253" s="383"/>
      <c r="AH253" s="378"/>
    </row>
    <row r="254" spans="1:34" ht="28.5" customHeight="1">
      <c r="A254" s="378" t="s">
        <v>471</v>
      </c>
      <c r="B254" s="371"/>
      <c r="C254" s="372" t="s">
        <v>34</v>
      </c>
      <c r="D254" s="372" t="s">
        <v>35</v>
      </c>
      <c r="E254" s="371">
        <v>550190</v>
      </c>
      <c r="F254" s="373" t="s">
        <v>173</v>
      </c>
      <c r="G254" s="373" t="s">
        <v>623</v>
      </c>
      <c r="H254" s="374" t="s">
        <v>37</v>
      </c>
      <c r="I254" s="375">
        <v>4653</v>
      </c>
      <c r="J254" s="375" t="str">
        <f t="shared" si="44"/>
        <v>Office</v>
      </c>
      <c r="K254" s="375">
        <v>4500</v>
      </c>
      <c r="L254" s="373" t="s">
        <v>624</v>
      </c>
      <c r="M254" s="384">
        <v>44879</v>
      </c>
      <c r="N254" s="377">
        <v>46704</v>
      </c>
      <c r="O254" s="378"/>
      <c r="P254" s="378"/>
      <c r="Q254" s="377">
        <v>45974</v>
      </c>
      <c r="R254" s="376">
        <v>310500</v>
      </c>
      <c r="S254" s="376">
        <f t="shared" si="45"/>
        <v>45974</v>
      </c>
      <c r="T254" s="378"/>
      <c r="U254" s="376">
        <v>310800</v>
      </c>
      <c r="V254" s="376">
        <f t="shared" si="46"/>
        <v>0</v>
      </c>
      <c r="W254" s="376">
        <v>316400</v>
      </c>
      <c r="X254" s="376">
        <f t="shared" si="47"/>
        <v>0</v>
      </c>
      <c r="Y254" s="379" t="e">
        <f t="shared" si="48"/>
        <v>#VALUE!</v>
      </c>
      <c r="Z254" s="376" t="s">
        <v>69</v>
      </c>
      <c r="AA254" s="380"/>
      <c r="AB254" s="381"/>
      <c r="AC254" s="374" t="s">
        <v>40</v>
      </c>
      <c r="AD254" s="385" t="s">
        <v>625</v>
      </c>
      <c r="AE254" s="378"/>
      <c r="AF254" s="378"/>
      <c r="AG254" s="383"/>
      <c r="AH254" s="378"/>
    </row>
    <row r="255" spans="1:34" ht="48">
      <c r="A255" s="378" t="s">
        <v>471</v>
      </c>
      <c r="B255" s="371"/>
      <c r="C255" s="372" t="s">
        <v>34</v>
      </c>
      <c r="D255" s="372" t="s">
        <v>35</v>
      </c>
      <c r="E255" s="371">
        <v>550190</v>
      </c>
      <c r="F255" s="373" t="s">
        <v>173</v>
      </c>
      <c r="G255" s="373" t="s">
        <v>509</v>
      </c>
      <c r="H255" s="374" t="s">
        <v>37</v>
      </c>
      <c r="I255" s="375">
        <v>2316</v>
      </c>
      <c r="J255" s="375" t="str">
        <f t="shared" si="44"/>
        <v>Office</v>
      </c>
      <c r="K255" s="375">
        <v>2250</v>
      </c>
      <c r="L255" s="373" t="s">
        <v>626</v>
      </c>
      <c r="M255" s="384">
        <v>44883</v>
      </c>
      <c r="N255" s="377">
        <v>46708</v>
      </c>
      <c r="O255" s="378"/>
      <c r="P255" s="378"/>
      <c r="Q255" s="377">
        <v>45978</v>
      </c>
      <c r="R255" s="376">
        <v>151875</v>
      </c>
      <c r="S255" s="376">
        <f t="shared" si="45"/>
        <v>45978</v>
      </c>
      <c r="T255" s="378"/>
      <c r="U255" s="376">
        <v>152900</v>
      </c>
      <c r="V255" s="376">
        <f t="shared" si="46"/>
        <v>0</v>
      </c>
      <c r="W255" s="376">
        <v>157500</v>
      </c>
      <c r="X255" s="376">
        <f t="shared" si="47"/>
        <v>0</v>
      </c>
      <c r="Y255" s="379" t="e">
        <f t="shared" si="48"/>
        <v>#VALUE!</v>
      </c>
      <c r="Z255" s="376" t="s">
        <v>76</v>
      </c>
      <c r="AA255" s="380"/>
      <c r="AB255" s="381"/>
      <c r="AC255" s="374" t="s">
        <v>40</v>
      </c>
      <c r="AD255" s="373" t="s">
        <v>218</v>
      </c>
      <c r="AE255" s="378"/>
      <c r="AF255" s="378"/>
      <c r="AG255" s="383"/>
      <c r="AH255" s="378"/>
    </row>
    <row r="256" spans="1:34" ht="60">
      <c r="A256" s="378" t="s">
        <v>471</v>
      </c>
      <c r="B256" s="371"/>
      <c r="C256" s="372" t="s">
        <v>34</v>
      </c>
      <c r="D256" s="372" t="s">
        <v>35</v>
      </c>
      <c r="E256" s="371">
        <v>550190</v>
      </c>
      <c r="F256" s="373" t="s">
        <v>173</v>
      </c>
      <c r="G256" s="373" t="s">
        <v>546</v>
      </c>
      <c r="H256" s="374" t="s">
        <v>37</v>
      </c>
      <c r="I256" s="375">
        <v>2096</v>
      </c>
      <c r="J256" s="375" t="str">
        <f t="shared" si="44"/>
        <v>Office</v>
      </c>
      <c r="K256" s="375">
        <v>2000</v>
      </c>
      <c r="L256" s="373" t="s">
        <v>627</v>
      </c>
      <c r="M256" s="384">
        <v>44470</v>
      </c>
      <c r="N256" s="377">
        <v>46295</v>
      </c>
      <c r="O256" s="378"/>
      <c r="P256" s="378"/>
      <c r="Q256" s="378"/>
      <c r="R256" s="376">
        <v>120750</v>
      </c>
      <c r="S256" s="376">
        <f t="shared" si="45"/>
        <v>0</v>
      </c>
      <c r="T256" s="378"/>
      <c r="U256" s="376">
        <v>141800</v>
      </c>
      <c r="V256" s="376">
        <f t="shared" si="46"/>
        <v>0</v>
      </c>
      <c r="W256" s="376">
        <v>142500</v>
      </c>
      <c r="X256" s="376">
        <f t="shared" si="47"/>
        <v>0</v>
      </c>
      <c r="Y256" s="379" t="e">
        <f t="shared" si="48"/>
        <v>#VALUE!</v>
      </c>
      <c r="Z256" s="376" t="s">
        <v>76</v>
      </c>
      <c r="AA256" s="380"/>
      <c r="AB256" s="381"/>
      <c r="AC256" s="374" t="s">
        <v>40</v>
      </c>
      <c r="AD256" s="373" t="s">
        <v>628</v>
      </c>
      <c r="AE256" s="378"/>
      <c r="AF256" s="378"/>
      <c r="AG256" s="383"/>
      <c r="AH256" s="378"/>
    </row>
    <row r="257" spans="1:34">
      <c r="B257" s="2"/>
      <c r="C257" s="11"/>
      <c r="D257" s="11" t="s">
        <v>35</v>
      </c>
      <c r="E257" s="2"/>
      <c r="J257" s="10"/>
      <c r="K257" s="10"/>
      <c r="U257" s="10"/>
      <c r="V257" s="10"/>
      <c r="W257" s="10"/>
      <c r="X257" s="10"/>
      <c r="Y257" s="10"/>
      <c r="Z257" s="10"/>
      <c r="AA257" s="61"/>
      <c r="AC257" s="14"/>
      <c r="AG257" s="300"/>
    </row>
    <row r="258" spans="1:34" ht="14.25" customHeight="1">
      <c r="B258" s="2"/>
      <c r="C258" s="11"/>
      <c r="D258" s="11" t="s">
        <v>35</v>
      </c>
      <c r="E258" s="2"/>
      <c r="G258" s="92" t="s">
        <v>629</v>
      </c>
      <c r="I258" s="18">
        <f>SUM(H251:H256)</f>
        <v>0</v>
      </c>
      <c r="J258" s="19"/>
      <c r="K258" s="19"/>
      <c r="R258" s="19">
        <f>SUM(Q251:Q256)</f>
        <v>184060</v>
      </c>
      <c r="S258" s="19"/>
      <c r="T258" s="19">
        <f>SUM(R250:R257)</f>
        <v>811341</v>
      </c>
      <c r="U258" s="18">
        <f>SUM(T251:T256)</f>
        <v>0</v>
      </c>
      <c r="V258" s="19"/>
      <c r="W258" s="18">
        <f>SUM(V251:V256)</f>
        <v>0</v>
      </c>
      <c r="X258" s="19"/>
      <c r="Y258" s="19"/>
      <c r="Z258" s="19"/>
      <c r="AA258" s="62"/>
      <c r="AB258" s="19">
        <v>15675000</v>
      </c>
      <c r="AC258" s="14"/>
      <c r="AF258" s="29"/>
      <c r="AG258" s="301"/>
      <c r="AH258" s="29"/>
    </row>
    <row r="259" spans="1:34" ht="14.25" customHeight="1">
      <c r="B259" s="2"/>
      <c r="C259" s="11"/>
      <c r="D259" s="11" t="s">
        <v>35</v>
      </c>
      <c r="E259" s="2"/>
      <c r="I259" s="18"/>
      <c r="J259" s="19"/>
      <c r="K259" s="19"/>
      <c r="R259" s="19"/>
      <c r="S259" s="19"/>
      <c r="T259" s="19"/>
      <c r="U259" s="19"/>
      <c r="V259" s="19"/>
      <c r="W259" s="19"/>
      <c r="X259" s="19"/>
      <c r="Y259" s="19"/>
      <c r="Z259" s="19"/>
      <c r="AA259" s="62"/>
      <c r="AB259" s="54"/>
      <c r="AC259" s="14"/>
      <c r="AG259" s="300"/>
    </row>
    <row r="260" spans="1:34" ht="14.25" customHeight="1">
      <c r="A260" s="2" t="s">
        <v>928</v>
      </c>
      <c r="C260" s="11"/>
      <c r="D260" s="11" t="s">
        <v>35</v>
      </c>
      <c r="E260" s="2"/>
      <c r="H260" s="6" t="s">
        <v>178</v>
      </c>
      <c r="J260" s="10"/>
      <c r="K260" s="10"/>
      <c r="L260" s="32"/>
      <c r="V260" s="10"/>
      <c r="X260" s="10"/>
      <c r="Y260" s="10"/>
      <c r="Z260" s="10"/>
      <c r="AA260" s="61"/>
      <c r="AC260" s="14"/>
      <c r="AG260" s="300"/>
    </row>
    <row r="261" spans="1:34">
      <c r="B261" s="2"/>
      <c r="C261" s="11"/>
      <c r="D261" s="11" t="s">
        <v>35</v>
      </c>
      <c r="E261" s="2"/>
      <c r="H261" s="6"/>
      <c r="I261" s="24"/>
      <c r="J261" s="10"/>
      <c r="K261" s="10"/>
      <c r="L261" s="132"/>
      <c r="M261" s="21"/>
      <c r="N261" s="21"/>
      <c r="O261" s="21"/>
      <c r="U261" s="10"/>
      <c r="V261" s="10"/>
      <c r="W261" s="10"/>
      <c r="X261" s="10"/>
      <c r="Y261" s="10"/>
      <c r="Z261" s="10"/>
      <c r="AA261" s="61"/>
      <c r="AC261" s="14"/>
      <c r="AG261" s="300"/>
    </row>
    <row r="262" spans="1:34" ht="24" customHeight="1">
      <c r="A262" s="370" t="s">
        <v>471</v>
      </c>
      <c r="B262" s="371"/>
      <c r="C262" s="372" t="s">
        <v>34</v>
      </c>
      <c r="D262" s="372" t="s">
        <v>35</v>
      </c>
      <c r="E262" s="371">
        <v>550570</v>
      </c>
      <c r="F262" s="373" t="s">
        <v>178</v>
      </c>
      <c r="G262" s="373" t="s">
        <v>179</v>
      </c>
      <c r="H262" s="374" t="s">
        <v>180</v>
      </c>
      <c r="I262" s="375">
        <v>2604</v>
      </c>
      <c r="J262" s="375" t="str">
        <f t="shared" ref="J262:J275" si="49">H262</f>
        <v>Gym / D1</v>
      </c>
      <c r="K262" s="375">
        <v>2500</v>
      </c>
      <c r="L262" s="373" t="s">
        <v>181</v>
      </c>
      <c r="M262" s="384">
        <v>44941</v>
      </c>
      <c r="N262" s="377">
        <v>47057</v>
      </c>
      <c r="O262" s="378"/>
      <c r="P262" s="378"/>
      <c r="Q262" s="378"/>
      <c r="R262" s="376">
        <v>75000</v>
      </c>
      <c r="S262" s="376">
        <f t="shared" ref="S262:S275" si="50">Q262</f>
        <v>0</v>
      </c>
      <c r="T262" s="378"/>
      <c r="U262" s="376">
        <v>80000</v>
      </c>
      <c r="V262" s="376">
        <f t="shared" ref="V262:V275" si="51">T262</f>
        <v>0</v>
      </c>
      <c r="W262" s="376">
        <v>70000</v>
      </c>
      <c r="X262" s="376">
        <f t="shared" ref="X262:X275" si="52">V262</f>
        <v>0</v>
      </c>
      <c r="Y262" s="379" t="e">
        <f t="shared" ref="Y262:Y275" si="53">T262/H262</f>
        <v>#VALUE!</v>
      </c>
      <c r="Z262" s="376" t="s">
        <v>69</v>
      </c>
      <c r="AA262" s="380"/>
      <c r="AB262" s="381"/>
      <c r="AC262" s="374" t="s">
        <v>40</v>
      </c>
      <c r="AD262" s="373" t="s">
        <v>182</v>
      </c>
      <c r="AE262" s="378"/>
      <c r="AF262" s="378"/>
      <c r="AG262" s="383"/>
      <c r="AH262" s="378"/>
    </row>
    <row r="263" spans="1:34" ht="28.5" customHeight="1">
      <c r="A263" s="378" t="s">
        <v>471</v>
      </c>
      <c r="B263" s="371"/>
      <c r="C263" s="372" t="s">
        <v>34</v>
      </c>
      <c r="D263" s="372" t="s">
        <v>35</v>
      </c>
      <c r="E263" s="371">
        <v>550570</v>
      </c>
      <c r="F263" s="373" t="s">
        <v>178</v>
      </c>
      <c r="G263" s="391" t="s">
        <v>183</v>
      </c>
      <c r="H263" s="374" t="s">
        <v>184</v>
      </c>
      <c r="I263" s="375">
        <v>1452</v>
      </c>
      <c r="J263" s="375" t="str">
        <f t="shared" si="49"/>
        <v>Shop/Showroom</v>
      </c>
      <c r="K263" s="375">
        <v>1500</v>
      </c>
      <c r="L263" s="373" t="s">
        <v>185</v>
      </c>
      <c r="M263" s="384">
        <v>45586</v>
      </c>
      <c r="N263" s="377">
        <v>46827</v>
      </c>
      <c r="O263" s="378"/>
      <c r="P263" s="378"/>
      <c r="Q263" s="377">
        <v>46097</v>
      </c>
      <c r="R263" s="376">
        <v>117500</v>
      </c>
      <c r="S263" s="376">
        <f t="shared" si="50"/>
        <v>46097</v>
      </c>
      <c r="T263" s="378"/>
      <c r="U263" s="376">
        <v>115000</v>
      </c>
      <c r="V263" s="376">
        <f t="shared" si="51"/>
        <v>0</v>
      </c>
      <c r="W263" s="376">
        <v>115000</v>
      </c>
      <c r="X263" s="376">
        <f t="shared" si="52"/>
        <v>0</v>
      </c>
      <c r="Y263" s="379" t="e">
        <f t="shared" si="53"/>
        <v>#VALUE!</v>
      </c>
      <c r="Z263" s="376" t="s">
        <v>58</v>
      </c>
      <c r="AA263" s="380"/>
      <c r="AB263" s="381"/>
      <c r="AC263" s="374" t="s">
        <v>40</v>
      </c>
      <c r="AD263" s="373" t="s">
        <v>130</v>
      </c>
      <c r="AE263" s="378"/>
      <c r="AF263" s="378"/>
      <c r="AG263" s="383"/>
      <c r="AH263" s="378"/>
    </row>
    <row r="264" spans="1:34" ht="27.75" customHeight="1">
      <c r="A264" s="378" t="s">
        <v>471</v>
      </c>
      <c r="B264" s="371"/>
      <c r="C264" s="372" t="s">
        <v>34</v>
      </c>
      <c r="D264" s="372" t="s">
        <v>35</v>
      </c>
      <c r="E264" s="371">
        <v>550570</v>
      </c>
      <c r="F264" s="373" t="s">
        <v>178</v>
      </c>
      <c r="G264" s="373" t="s">
        <v>186</v>
      </c>
      <c r="H264" s="396" t="s">
        <v>187</v>
      </c>
      <c r="I264" s="375">
        <v>1949</v>
      </c>
      <c r="J264" s="375" t="str">
        <f t="shared" si="49"/>
        <v>Office/ Showroom</v>
      </c>
      <c r="K264" s="375">
        <v>2000</v>
      </c>
      <c r="L264" s="373" t="s">
        <v>188</v>
      </c>
      <c r="M264" s="384">
        <v>45687</v>
      </c>
      <c r="N264" s="377">
        <v>49338</v>
      </c>
      <c r="O264" s="378"/>
      <c r="P264" s="377">
        <v>47513</v>
      </c>
      <c r="Q264" s="378"/>
      <c r="R264" s="390">
        <v>59000</v>
      </c>
      <c r="S264" s="376">
        <f t="shared" si="50"/>
        <v>0</v>
      </c>
      <c r="T264" s="378"/>
      <c r="U264" s="376">
        <v>91000</v>
      </c>
      <c r="V264" s="376">
        <f t="shared" si="51"/>
        <v>0</v>
      </c>
      <c r="W264" s="376">
        <v>115000</v>
      </c>
      <c r="X264" s="376">
        <f t="shared" si="52"/>
        <v>0</v>
      </c>
      <c r="Y264" s="379" t="e">
        <f t="shared" si="53"/>
        <v>#VALUE!</v>
      </c>
      <c r="Z264" s="376" t="s">
        <v>69</v>
      </c>
      <c r="AA264" s="380"/>
      <c r="AB264" s="381"/>
      <c r="AC264" s="374" t="s">
        <v>40</v>
      </c>
      <c r="AD264" s="373" t="s">
        <v>189</v>
      </c>
      <c r="AE264" s="378"/>
      <c r="AF264" s="378"/>
      <c r="AG264" s="383">
        <v>3</v>
      </c>
      <c r="AH264" s="373" t="s">
        <v>160</v>
      </c>
    </row>
    <row r="265" spans="1:34" ht="24" customHeight="1">
      <c r="A265" s="378" t="s">
        <v>471</v>
      </c>
      <c r="B265" s="371"/>
      <c r="C265" s="372" t="s">
        <v>34</v>
      </c>
      <c r="D265" s="372" t="s">
        <v>35</v>
      </c>
      <c r="E265" s="371">
        <v>550570</v>
      </c>
      <c r="F265" s="373" t="s">
        <v>178</v>
      </c>
      <c r="G265" s="373" t="s">
        <v>190</v>
      </c>
      <c r="H265" s="374" t="s">
        <v>180</v>
      </c>
      <c r="I265" s="375">
        <v>4976</v>
      </c>
      <c r="J265" s="375" t="str">
        <f t="shared" si="49"/>
        <v>Gym / D1</v>
      </c>
      <c r="K265" s="375">
        <v>5000</v>
      </c>
      <c r="L265" s="373" t="s">
        <v>191</v>
      </c>
      <c r="M265" s="384">
        <v>44722</v>
      </c>
      <c r="N265" s="377">
        <v>48374</v>
      </c>
      <c r="O265" s="378"/>
      <c r="P265" s="377">
        <v>46548</v>
      </c>
      <c r="Q265" s="377">
        <v>46547</v>
      </c>
      <c r="R265" s="376">
        <v>230000</v>
      </c>
      <c r="S265" s="376">
        <f t="shared" si="50"/>
        <v>46547</v>
      </c>
      <c r="T265" s="378"/>
      <c r="U265" s="376">
        <v>230000</v>
      </c>
      <c r="V265" s="376">
        <f t="shared" si="51"/>
        <v>0</v>
      </c>
      <c r="W265" s="376">
        <v>230000</v>
      </c>
      <c r="X265" s="376">
        <f t="shared" si="52"/>
        <v>0</v>
      </c>
      <c r="Y265" s="379" t="e">
        <f t="shared" si="53"/>
        <v>#VALUE!</v>
      </c>
      <c r="Z265" s="376" t="s">
        <v>58</v>
      </c>
      <c r="AA265" s="380"/>
      <c r="AB265" s="381"/>
      <c r="AC265" s="374" t="s">
        <v>40</v>
      </c>
      <c r="AD265" s="397" t="s">
        <v>192</v>
      </c>
      <c r="AE265" s="378"/>
      <c r="AF265" s="397"/>
      <c r="AG265" s="406"/>
      <c r="AH265" s="397"/>
    </row>
    <row r="266" spans="1:34" ht="24" customHeight="1">
      <c r="A266" s="378" t="s">
        <v>471</v>
      </c>
      <c r="B266" s="371"/>
      <c r="C266" s="372" t="s">
        <v>34</v>
      </c>
      <c r="D266" s="372" t="s">
        <v>35</v>
      </c>
      <c r="E266" s="371">
        <v>550570</v>
      </c>
      <c r="F266" s="373" t="s">
        <v>178</v>
      </c>
      <c r="G266" s="373" t="s">
        <v>630</v>
      </c>
      <c r="H266" s="374" t="s">
        <v>37</v>
      </c>
      <c r="I266" s="375">
        <v>1443</v>
      </c>
      <c r="J266" s="375" t="str">
        <f t="shared" si="49"/>
        <v>Office</v>
      </c>
      <c r="K266" s="375">
        <v>1500</v>
      </c>
      <c r="L266" s="373" t="s">
        <v>68</v>
      </c>
      <c r="M266" s="378"/>
      <c r="N266" s="378"/>
      <c r="O266" s="377">
        <v>44121</v>
      </c>
      <c r="P266" s="378"/>
      <c r="Q266" s="378"/>
      <c r="R266" s="376">
        <v>0</v>
      </c>
      <c r="S266" s="376">
        <f t="shared" si="50"/>
        <v>0</v>
      </c>
      <c r="T266" s="378"/>
      <c r="U266" s="376">
        <v>87800</v>
      </c>
      <c r="V266" s="376">
        <f t="shared" si="51"/>
        <v>0</v>
      </c>
      <c r="W266" s="376">
        <v>90200</v>
      </c>
      <c r="X266" s="376">
        <f t="shared" si="52"/>
        <v>0</v>
      </c>
      <c r="Y266" s="379" t="e">
        <f t="shared" si="53"/>
        <v>#VALUE!</v>
      </c>
      <c r="Z266" s="376" t="s">
        <v>69</v>
      </c>
      <c r="AA266" s="380"/>
      <c r="AB266" s="381"/>
      <c r="AC266" s="374" t="s">
        <v>40</v>
      </c>
      <c r="AD266" s="373" t="s">
        <v>510</v>
      </c>
      <c r="AE266" s="388">
        <v>65</v>
      </c>
      <c r="AF266" s="378"/>
      <c r="AG266" s="383">
        <v>1</v>
      </c>
      <c r="AH266" s="373" t="s">
        <v>160</v>
      </c>
    </row>
    <row r="267" spans="1:34" ht="27" customHeight="1">
      <c r="A267" s="378" t="s">
        <v>471</v>
      </c>
      <c r="B267" s="371"/>
      <c r="C267" s="372" t="s">
        <v>34</v>
      </c>
      <c r="D267" s="372" t="s">
        <v>35</v>
      </c>
      <c r="E267" s="371">
        <v>550570</v>
      </c>
      <c r="F267" s="373" t="s">
        <v>178</v>
      </c>
      <c r="G267" s="391" t="s">
        <v>631</v>
      </c>
      <c r="H267" s="374" t="s">
        <v>632</v>
      </c>
      <c r="I267" s="375">
        <v>2851</v>
      </c>
      <c r="J267" s="375" t="str">
        <f t="shared" si="49"/>
        <v>Showroom/Office</v>
      </c>
      <c r="K267" s="375">
        <v>2750</v>
      </c>
      <c r="L267" s="373" t="s">
        <v>633</v>
      </c>
      <c r="M267" s="384">
        <v>42192</v>
      </c>
      <c r="N267" s="377">
        <v>45844</v>
      </c>
      <c r="O267" s="378"/>
      <c r="P267" s="377">
        <v>44019</v>
      </c>
      <c r="Q267" s="378"/>
      <c r="R267" s="376">
        <v>156000</v>
      </c>
      <c r="S267" s="376">
        <f t="shared" si="50"/>
        <v>0</v>
      </c>
      <c r="T267" s="378"/>
      <c r="U267" s="376">
        <v>151300</v>
      </c>
      <c r="V267" s="376">
        <f t="shared" si="51"/>
        <v>0</v>
      </c>
      <c r="W267" s="376">
        <v>178200</v>
      </c>
      <c r="X267" s="376">
        <f t="shared" si="52"/>
        <v>0</v>
      </c>
      <c r="Y267" s="379" t="e">
        <f t="shared" si="53"/>
        <v>#VALUE!</v>
      </c>
      <c r="Z267" s="376" t="s">
        <v>39</v>
      </c>
      <c r="AA267" s="380"/>
      <c r="AB267" s="381"/>
      <c r="AC267" s="374" t="s">
        <v>40</v>
      </c>
      <c r="AD267" s="385" t="s">
        <v>634</v>
      </c>
      <c r="AE267" s="378"/>
      <c r="AF267" s="378"/>
      <c r="AG267" s="383"/>
      <c r="AH267" s="378"/>
    </row>
    <row r="268" spans="1:34" ht="27" customHeight="1">
      <c r="A268" s="378" t="s">
        <v>471</v>
      </c>
      <c r="B268" s="371"/>
      <c r="C268" s="372" t="s">
        <v>34</v>
      </c>
      <c r="D268" s="372" t="s">
        <v>35</v>
      </c>
      <c r="E268" s="371">
        <v>550570</v>
      </c>
      <c r="F268" s="373" t="s">
        <v>178</v>
      </c>
      <c r="G268" s="391" t="s">
        <v>635</v>
      </c>
      <c r="H268" s="374" t="s">
        <v>632</v>
      </c>
      <c r="I268" s="375">
        <v>483</v>
      </c>
      <c r="J268" s="375" t="str">
        <f t="shared" si="49"/>
        <v>Showroom/Office</v>
      </c>
      <c r="K268" s="375">
        <v>500</v>
      </c>
      <c r="L268" s="373" t="s">
        <v>636</v>
      </c>
      <c r="M268" s="384">
        <v>44272</v>
      </c>
      <c r="N268" s="377">
        <v>46097</v>
      </c>
      <c r="O268" s="378"/>
      <c r="P268" s="378"/>
      <c r="Q268" s="378"/>
      <c r="R268" s="376">
        <v>52200</v>
      </c>
      <c r="S268" s="376">
        <f t="shared" si="50"/>
        <v>0</v>
      </c>
      <c r="T268" s="378"/>
      <c r="U268" s="376">
        <v>54900</v>
      </c>
      <c r="V268" s="376">
        <f t="shared" si="51"/>
        <v>0</v>
      </c>
      <c r="W268" s="376">
        <v>30200</v>
      </c>
      <c r="X268" s="376">
        <f t="shared" si="52"/>
        <v>0</v>
      </c>
      <c r="Y268" s="379" t="e">
        <f t="shared" si="53"/>
        <v>#VALUE!</v>
      </c>
      <c r="Z268" s="376" t="s">
        <v>76</v>
      </c>
      <c r="AA268" s="380"/>
      <c r="AB268" s="381"/>
      <c r="AC268" s="374" t="s">
        <v>40</v>
      </c>
      <c r="AD268" s="378"/>
      <c r="AE268" s="378"/>
      <c r="AF268" s="378"/>
      <c r="AG268" s="383"/>
      <c r="AH268" s="378"/>
    </row>
    <row r="269" spans="1:34" ht="24" customHeight="1">
      <c r="A269" s="378" t="s">
        <v>471</v>
      </c>
      <c r="B269" s="371"/>
      <c r="C269" s="372" t="s">
        <v>34</v>
      </c>
      <c r="D269" s="372" t="s">
        <v>35</v>
      </c>
      <c r="E269" s="371">
        <v>550570</v>
      </c>
      <c r="F269" s="373" t="s">
        <v>178</v>
      </c>
      <c r="G269" s="373" t="s">
        <v>637</v>
      </c>
      <c r="H269" s="374" t="s">
        <v>120</v>
      </c>
      <c r="I269" s="375">
        <v>3299</v>
      </c>
      <c r="J269" s="375" t="str">
        <f t="shared" si="49"/>
        <v>Showroom</v>
      </c>
      <c r="K269" s="375">
        <v>3250</v>
      </c>
      <c r="L269" s="373" t="s">
        <v>68</v>
      </c>
      <c r="M269" s="378"/>
      <c r="N269" s="378"/>
      <c r="O269" s="377">
        <v>45730</v>
      </c>
      <c r="P269" s="378"/>
      <c r="Q269" s="378"/>
      <c r="R269" s="376">
        <v>0</v>
      </c>
      <c r="S269" s="376">
        <f t="shared" si="50"/>
        <v>0</v>
      </c>
      <c r="T269" s="378"/>
      <c r="U269" s="376">
        <v>193200</v>
      </c>
      <c r="V269" s="376">
        <f t="shared" si="51"/>
        <v>0</v>
      </c>
      <c r="W269" s="376">
        <v>209500</v>
      </c>
      <c r="X269" s="376">
        <f t="shared" si="52"/>
        <v>0</v>
      </c>
      <c r="Y269" s="379" t="e">
        <f t="shared" si="53"/>
        <v>#VALUE!</v>
      </c>
      <c r="Z269" s="376" t="s">
        <v>69</v>
      </c>
      <c r="AA269" s="380"/>
      <c r="AB269" s="381"/>
      <c r="AC269" s="374" t="s">
        <v>40</v>
      </c>
      <c r="AD269" s="373" t="s">
        <v>638</v>
      </c>
      <c r="AE269" s="378"/>
      <c r="AF269" s="378"/>
      <c r="AG269" s="383"/>
      <c r="AH269" s="378"/>
    </row>
    <row r="270" spans="1:34" ht="25.5" customHeight="1">
      <c r="A270" s="378" t="s">
        <v>471</v>
      </c>
      <c r="B270" s="371"/>
      <c r="C270" s="372" t="s">
        <v>34</v>
      </c>
      <c r="D270" s="372" t="s">
        <v>35</v>
      </c>
      <c r="E270" s="371">
        <v>550570</v>
      </c>
      <c r="F270" s="373" t="s">
        <v>178</v>
      </c>
      <c r="G270" s="373" t="s">
        <v>639</v>
      </c>
      <c r="H270" s="374" t="s">
        <v>175</v>
      </c>
      <c r="I270" s="375">
        <v>882</v>
      </c>
      <c r="J270" s="375" t="str">
        <f t="shared" si="49"/>
        <v>Showroom/ Office</v>
      </c>
      <c r="K270" s="375">
        <v>1000</v>
      </c>
      <c r="L270" s="373" t="s">
        <v>640</v>
      </c>
      <c r="M270" s="384">
        <v>45114</v>
      </c>
      <c r="N270" s="377">
        <v>46209</v>
      </c>
      <c r="O270" s="378"/>
      <c r="P270" s="378"/>
      <c r="Q270" s="377">
        <v>45844</v>
      </c>
      <c r="R270" s="376">
        <v>56225</v>
      </c>
      <c r="S270" s="376">
        <f t="shared" si="50"/>
        <v>45844</v>
      </c>
      <c r="T270" s="378"/>
      <c r="U270" s="376">
        <v>52800</v>
      </c>
      <c r="V270" s="376">
        <f t="shared" si="51"/>
        <v>0</v>
      </c>
      <c r="W270" s="376">
        <v>56225</v>
      </c>
      <c r="X270" s="376">
        <f t="shared" si="52"/>
        <v>0</v>
      </c>
      <c r="Y270" s="379" t="e">
        <f t="shared" si="53"/>
        <v>#VALUE!</v>
      </c>
      <c r="Z270" s="376" t="s">
        <v>69</v>
      </c>
      <c r="AA270" s="380"/>
      <c r="AB270" s="381"/>
      <c r="AC270" s="374" t="s">
        <v>40</v>
      </c>
      <c r="AD270" s="373" t="s">
        <v>641</v>
      </c>
      <c r="AE270" s="378"/>
      <c r="AF270" s="378"/>
      <c r="AG270" s="383"/>
      <c r="AH270" s="378"/>
    </row>
    <row r="271" spans="1:34" ht="24" customHeight="1">
      <c r="A271" s="378" t="s">
        <v>471</v>
      </c>
      <c r="B271" s="371"/>
      <c r="C271" s="372" t="s">
        <v>34</v>
      </c>
      <c r="D271" s="372" t="s">
        <v>35</v>
      </c>
      <c r="E271" s="371">
        <v>550570</v>
      </c>
      <c r="F271" s="373" t="s">
        <v>178</v>
      </c>
      <c r="G271" s="373" t="s">
        <v>498</v>
      </c>
      <c r="H271" s="374" t="s">
        <v>175</v>
      </c>
      <c r="I271" s="375">
        <v>4169</v>
      </c>
      <c r="J271" s="375" t="str">
        <f t="shared" si="49"/>
        <v>Showroom/ Office</v>
      </c>
      <c r="K271" s="375">
        <v>4000</v>
      </c>
      <c r="L271" s="373" t="s">
        <v>642</v>
      </c>
      <c r="M271" s="384">
        <v>43378</v>
      </c>
      <c r="N271" s="377">
        <v>47030</v>
      </c>
      <c r="O271" s="378"/>
      <c r="P271" s="377">
        <v>45204</v>
      </c>
      <c r="Q271" s="378"/>
      <c r="R271" s="376">
        <v>257635</v>
      </c>
      <c r="S271" s="376">
        <f t="shared" si="50"/>
        <v>0</v>
      </c>
      <c r="T271" s="378"/>
      <c r="U271" s="376">
        <v>264100</v>
      </c>
      <c r="V271" s="376">
        <f t="shared" si="51"/>
        <v>0</v>
      </c>
      <c r="W271" s="376">
        <v>271000</v>
      </c>
      <c r="X271" s="376">
        <f t="shared" si="52"/>
        <v>0</v>
      </c>
      <c r="Y271" s="379" t="e">
        <f t="shared" si="53"/>
        <v>#VALUE!</v>
      </c>
      <c r="Z271" s="376" t="s">
        <v>69</v>
      </c>
      <c r="AA271" s="380"/>
      <c r="AB271" s="381"/>
      <c r="AC271" s="374" t="s">
        <v>40</v>
      </c>
      <c r="AD271" s="373" t="s">
        <v>643</v>
      </c>
      <c r="AE271" s="378"/>
      <c r="AF271" s="378"/>
      <c r="AG271" s="383"/>
      <c r="AH271" s="378"/>
    </row>
    <row r="272" spans="1:34" ht="24" customHeight="1">
      <c r="A272" s="378" t="s">
        <v>471</v>
      </c>
      <c r="B272" s="371"/>
      <c r="C272" s="372" t="s">
        <v>34</v>
      </c>
      <c r="D272" s="372" t="s">
        <v>35</v>
      </c>
      <c r="E272" s="371">
        <v>550570</v>
      </c>
      <c r="F272" s="373" t="s">
        <v>178</v>
      </c>
      <c r="G272" s="373" t="s">
        <v>644</v>
      </c>
      <c r="H272" s="374" t="s">
        <v>37</v>
      </c>
      <c r="I272" s="375">
        <v>4098</v>
      </c>
      <c r="J272" s="375" t="str">
        <f t="shared" si="49"/>
        <v>Office</v>
      </c>
      <c r="K272" s="375">
        <v>4000</v>
      </c>
      <c r="L272" s="373" t="s">
        <v>645</v>
      </c>
      <c r="M272" s="384">
        <v>45317</v>
      </c>
      <c r="N272" s="377">
        <v>47143</v>
      </c>
      <c r="O272" s="378"/>
      <c r="P272" s="378"/>
      <c r="Q272" s="377">
        <v>46047</v>
      </c>
      <c r="R272" s="376">
        <v>304500</v>
      </c>
      <c r="S272" s="376">
        <f t="shared" si="50"/>
        <v>46047</v>
      </c>
      <c r="T272" s="378"/>
      <c r="U272" s="376">
        <v>255600</v>
      </c>
      <c r="V272" s="376">
        <f t="shared" si="51"/>
        <v>0</v>
      </c>
      <c r="W272" s="376">
        <v>304500</v>
      </c>
      <c r="X272" s="376">
        <f t="shared" si="52"/>
        <v>0</v>
      </c>
      <c r="Y272" s="379" t="e">
        <f t="shared" si="53"/>
        <v>#VALUE!</v>
      </c>
      <c r="Z272" s="376" t="s">
        <v>58</v>
      </c>
      <c r="AA272" s="380"/>
      <c r="AB272" s="381"/>
      <c r="AC272" s="374" t="s">
        <v>40</v>
      </c>
      <c r="AD272" s="373" t="s">
        <v>646</v>
      </c>
      <c r="AE272" s="378"/>
      <c r="AF272" s="378"/>
      <c r="AG272" s="383"/>
      <c r="AH272" s="378"/>
    </row>
    <row r="273" spans="1:34" ht="24" customHeight="1">
      <c r="A273" s="378" t="s">
        <v>471</v>
      </c>
      <c r="B273" s="371"/>
      <c r="C273" s="372" t="s">
        <v>34</v>
      </c>
      <c r="D273" s="372" t="s">
        <v>35</v>
      </c>
      <c r="E273" s="371">
        <v>550570</v>
      </c>
      <c r="F273" s="373" t="s">
        <v>178</v>
      </c>
      <c r="G273" s="373" t="s">
        <v>546</v>
      </c>
      <c r="H273" s="374" t="s">
        <v>37</v>
      </c>
      <c r="I273" s="375">
        <v>3179</v>
      </c>
      <c r="J273" s="375" t="str">
        <f t="shared" si="49"/>
        <v>Office</v>
      </c>
      <c r="K273" s="375">
        <v>3000</v>
      </c>
      <c r="L273" s="373" t="s">
        <v>647</v>
      </c>
      <c r="M273" s="384">
        <v>45086</v>
      </c>
      <c r="N273" s="377">
        <v>46912</v>
      </c>
      <c r="O273" s="378"/>
      <c r="P273" s="378"/>
      <c r="Q273" s="377">
        <v>46181</v>
      </c>
      <c r="R273" s="376">
        <v>225875</v>
      </c>
      <c r="S273" s="376">
        <f t="shared" si="50"/>
        <v>46181</v>
      </c>
      <c r="T273" s="378"/>
      <c r="U273" s="376">
        <v>196883</v>
      </c>
      <c r="V273" s="376">
        <f t="shared" si="51"/>
        <v>0</v>
      </c>
      <c r="W273" s="376">
        <v>230500</v>
      </c>
      <c r="X273" s="376">
        <f t="shared" si="52"/>
        <v>0</v>
      </c>
      <c r="Y273" s="379" t="e">
        <f t="shared" si="53"/>
        <v>#VALUE!</v>
      </c>
      <c r="Z273" s="376" t="s">
        <v>69</v>
      </c>
      <c r="AA273" s="380"/>
      <c r="AB273" s="381"/>
      <c r="AC273" s="374" t="s">
        <v>40</v>
      </c>
      <c r="AD273" s="373" t="s">
        <v>648</v>
      </c>
      <c r="AE273" s="378"/>
      <c r="AF273" s="378"/>
      <c r="AG273" s="383"/>
      <c r="AH273" s="378"/>
    </row>
    <row r="274" spans="1:34" ht="24" customHeight="1">
      <c r="A274" s="378" t="s">
        <v>471</v>
      </c>
      <c r="B274" s="371"/>
      <c r="C274" s="372" t="s">
        <v>34</v>
      </c>
      <c r="D274" s="372" t="s">
        <v>35</v>
      </c>
      <c r="E274" s="371">
        <v>550570</v>
      </c>
      <c r="F274" s="373" t="s">
        <v>178</v>
      </c>
      <c r="G274" s="373" t="s">
        <v>649</v>
      </c>
      <c r="H274" s="374" t="s">
        <v>37</v>
      </c>
      <c r="I274" s="375">
        <v>2099</v>
      </c>
      <c r="J274" s="375" t="str">
        <f t="shared" si="49"/>
        <v>Office</v>
      </c>
      <c r="K274" s="375">
        <v>2000</v>
      </c>
      <c r="L274" s="373" t="s">
        <v>650</v>
      </c>
      <c r="M274" s="384">
        <v>45019</v>
      </c>
      <c r="N274" s="377">
        <v>46845</v>
      </c>
      <c r="O274" s="378"/>
      <c r="P274" s="378"/>
      <c r="Q274" s="377">
        <v>46114</v>
      </c>
      <c r="R274" s="376">
        <v>133250</v>
      </c>
      <c r="S274" s="376">
        <f t="shared" si="50"/>
        <v>46114</v>
      </c>
      <c r="T274" s="378"/>
      <c r="U274" s="376">
        <v>135167</v>
      </c>
      <c r="V274" s="376">
        <f t="shared" si="51"/>
        <v>0</v>
      </c>
      <c r="W274" s="376">
        <v>152200</v>
      </c>
      <c r="X274" s="376">
        <f t="shared" si="52"/>
        <v>0</v>
      </c>
      <c r="Y274" s="379" t="e">
        <f t="shared" si="53"/>
        <v>#VALUE!</v>
      </c>
      <c r="Z274" s="376" t="s">
        <v>69</v>
      </c>
      <c r="AA274" s="380"/>
      <c r="AB274" s="381"/>
      <c r="AC274" s="374" t="s">
        <v>40</v>
      </c>
      <c r="AD274" s="373" t="s">
        <v>651</v>
      </c>
      <c r="AE274" s="378"/>
      <c r="AF274" s="378"/>
      <c r="AG274" s="383"/>
      <c r="AH274" s="378"/>
    </row>
    <row r="275" spans="1:34" ht="24" customHeight="1">
      <c r="A275" s="378" t="s">
        <v>471</v>
      </c>
      <c r="B275" s="371"/>
      <c r="C275" s="372" t="s">
        <v>34</v>
      </c>
      <c r="D275" s="372" t="s">
        <v>35</v>
      </c>
      <c r="E275" s="371">
        <v>550570</v>
      </c>
      <c r="F275" s="373" t="s">
        <v>178</v>
      </c>
      <c r="G275" s="373" t="s">
        <v>652</v>
      </c>
      <c r="H275" s="374" t="s">
        <v>210</v>
      </c>
      <c r="I275" s="375">
        <v>580</v>
      </c>
      <c r="J275" s="375" t="str">
        <f t="shared" si="49"/>
        <v>Residential</v>
      </c>
      <c r="K275" s="375">
        <v>500</v>
      </c>
      <c r="L275" s="373" t="s">
        <v>653</v>
      </c>
      <c r="M275" s="384">
        <v>45546</v>
      </c>
      <c r="N275" s="377">
        <v>45910</v>
      </c>
      <c r="O275" s="378"/>
      <c r="P275" s="378"/>
      <c r="Q275" s="378"/>
      <c r="R275" s="376">
        <v>42016</v>
      </c>
      <c r="S275" s="376">
        <f t="shared" si="50"/>
        <v>0</v>
      </c>
      <c r="T275" s="378"/>
      <c r="U275" s="376">
        <v>26496</v>
      </c>
      <c r="V275" s="376">
        <f t="shared" si="51"/>
        <v>0</v>
      </c>
      <c r="W275" s="376">
        <v>26496</v>
      </c>
      <c r="X275" s="376">
        <f t="shared" si="52"/>
        <v>0</v>
      </c>
      <c r="Y275" s="379" t="e">
        <f t="shared" si="53"/>
        <v>#VALUE!</v>
      </c>
      <c r="Z275" s="376" t="s">
        <v>76</v>
      </c>
      <c r="AA275" s="380"/>
      <c r="AB275" s="381"/>
      <c r="AC275" s="374" t="s">
        <v>40</v>
      </c>
      <c r="AD275" s="378"/>
      <c r="AE275" s="378"/>
      <c r="AF275" s="385"/>
      <c r="AG275" s="386"/>
      <c r="AH275" s="385"/>
    </row>
    <row r="276" spans="1:34">
      <c r="B276" s="2"/>
      <c r="C276" s="11"/>
      <c r="D276" s="11" t="s">
        <v>35</v>
      </c>
      <c r="E276" s="2"/>
      <c r="J276" s="10"/>
      <c r="K276" s="10"/>
      <c r="U276" s="10"/>
      <c r="V276" s="10"/>
      <c r="W276" s="10"/>
      <c r="X276" s="10"/>
      <c r="Y276" s="10"/>
      <c r="Z276" s="10"/>
      <c r="AA276" s="61"/>
      <c r="AC276" s="14"/>
      <c r="AG276" s="300"/>
    </row>
    <row r="277" spans="1:34">
      <c r="B277" s="2"/>
      <c r="C277" s="11"/>
      <c r="D277" s="11" t="s">
        <v>35</v>
      </c>
      <c r="E277" s="2"/>
      <c r="G277" s="92" t="s">
        <v>654</v>
      </c>
      <c r="I277" s="18">
        <f>SUM(H262:H275)</f>
        <v>0</v>
      </c>
      <c r="J277" s="18"/>
      <c r="K277" s="18"/>
      <c r="R277" s="38">
        <f>SUM(Q262:Q275)</f>
        <v>276830</v>
      </c>
      <c r="S277" s="19"/>
      <c r="T277" s="19">
        <f>SUM(R260:R276)</f>
        <v>1709201</v>
      </c>
      <c r="U277" s="19">
        <f>SUM(T262:T275)</f>
        <v>0</v>
      </c>
      <c r="V277" s="19"/>
      <c r="W277" s="19">
        <f>SUM(V262:V275)</f>
        <v>0</v>
      </c>
      <c r="X277" s="19"/>
      <c r="Y277" s="19"/>
      <c r="Z277" s="19"/>
      <c r="AA277" s="62"/>
      <c r="AB277" s="19">
        <v>35150000</v>
      </c>
      <c r="AC277" s="14"/>
      <c r="AF277" s="29"/>
      <c r="AG277" s="301"/>
      <c r="AH277" s="29"/>
    </row>
    <row r="278" spans="1:34" ht="14.25" customHeight="1">
      <c r="B278" s="2"/>
      <c r="C278" s="11"/>
      <c r="D278" s="11" t="s">
        <v>35</v>
      </c>
      <c r="E278" s="2"/>
      <c r="I278" s="18"/>
      <c r="J278" s="19"/>
      <c r="K278" s="19"/>
      <c r="R278" s="19"/>
      <c r="S278" s="19"/>
      <c r="T278" s="19"/>
      <c r="U278" s="19"/>
      <c r="V278" s="19"/>
      <c r="W278" s="19"/>
      <c r="X278" s="19"/>
      <c r="Y278" s="19"/>
      <c r="Z278" s="19"/>
      <c r="AA278" s="62"/>
      <c r="AB278" s="54"/>
      <c r="AC278" s="14"/>
      <c r="AG278" s="300"/>
    </row>
    <row r="279" spans="1:34" ht="14.25" customHeight="1">
      <c r="A279" t="s">
        <v>928</v>
      </c>
      <c r="B279" s="2"/>
      <c r="C279" s="11"/>
      <c r="D279" s="11" t="s">
        <v>35</v>
      </c>
      <c r="E279" s="2"/>
      <c r="H279" s="6" t="s">
        <v>193</v>
      </c>
      <c r="J279" s="10"/>
      <c r="K279" s="10"/>
      <c r="L279" s="32"/>
      <c r="Q279" s="143"/>
      <c r="V279" s="10"/>
      <c r="X279" s="10"/>
      <c r="Y279" s="10"/>
      <c r="Z279" s="10"/>
      <c r="AA279" s="61"/>
      <c r="AC279" s="14"/>
      <c r="AG279" s="300"/>
    </row>
    <row r="280" spans="1:34" ht="14.25" customHeight="1">
      <c r="B280" s="2"/>
      <c r="C280" s="11"/>
      <c r="D280" s="11" t="s">
        <v>35</v>
      </c>
      <c r="E280" s="2"/>
      <c r="J280" s="10"/>
      <c r="K280" s="10"/>
      <c r="Q280" s="143"/>
      <c r="V280" s="10"/>
      <c r="X280" s="10"/>
      <c r="Y280" s="10"/>
      <c r="Z280" s="10"/>
      <c r="AA280" s="61"/>
      <c r="AC280" s="14"/>
      <c r="AG280" s="300"/>
    </row>
    <row r="281" spans="1:34" ht="17.25" customHeight="1">
      <c r="A281" t="s">
        <v>471</v>
      </c>
      <c r="B281" s="2"/>
      <c r="C281" s="11" t="s">
        <v>97</v>
      </c>
      <c r="D281" s="11" t="s">
        <v>35</v>
      </c>
      <c r="E281" s="2">
        <v>550430</v>
      </c>
      <c r="F281" s="4" t="s">
        <v>193</v>
      </c>
      <c r="G281" s="4" t="s">
        <v>36</v>
      </c>
      <c r="H281" s="14" t="s">
        <v>46</v>
      </c>
      <c r="I281" s="18">
        <v>2692</v>
      </c>
      <c r="J281" s="10" t="str">
        <f>H281</f>
        <v>Retail</v>
      </c>
      <c r="K281" s="10">
        <v>2750</v>
      </c>
      <c r="L281" s="4" t="s">
        <v>194</v>
      </c>
      <c r="M281" s="8">
        <v>39814</v>
      </c>
      <c r="N281" s="9">
        <v>45577</v>
      </c>
      <c r="R281" s="19">
        <v>104500</v>
      </c>
      <c r="S281" s="10">
        <f>Q281</f>
        <v>0</v>
      </c>
      <c r="T281" s="19">
        <f>R281</f>
        <v>104500</v>
      </c>
      <c r="U281" s="19">
        <v>94400</v>
      </c>
      <c r="V281" s="10">
        <f>T281</f>
        <v>104500</v>
      </c>
      <c r="W281" s="19">
        <v>94400</v>
      </c>
      <c r="X281" s="10">
        <f>V281</f>
        <v>104500</v>
      </c>
      <c r="Y281" s="299" t="e">
        <f>T281/H281</f>
        <v>#VALUE!</v>
      </c>
      <c r="Z281" s="10" t="s">
        <v>58</v>
      </c>
      <c r="AA281" s="61"/>
      <c r="AB281" s="19">
        <v>1425000</v>
      </c>
      <c r="AC281" s="14" t="s">
        <v>94</v>
      </c>
      <c r="AD281" s="4" t="s">
        <v>195</v>
      </c>
      <c r="AG281" s="300"/>
    </row>
    <row r="282" spans="1:34" ht="14.25" customHeight="1">
      <c r="B282" s="2"/>
      <c r="C282" s="11"/>
      <c r="D282" s="11" t="s">
        <v>35</v>
      </c>
      <c r="E282" s="2"/>
      <c r="J282" s="10"/>
      <c r="K282" s="10"/>
      <c r="U282" s="10"/>
      <c r="V282" s="10"/>
      <c r="W282" s="10"/>
      <c r="X282" s="10"/>
      <c r="Y282" s="10"/>
      <c r="Z282" s="10"/>
      <c r="AA282" s="61"/>
      <c r="AB282" s="19"/>
      <c r="AC282" s="14"/>
      <c r="AG282" s="300"/>
    </row>
    <row r="283" spans="1:34" ht="14.25" customHeight="1">
      <c r="A283" t="s">
        <v>928</v>
      </c>
      <c r="B283" s="2"/>
      <c r="C283" s="11"/>
      <c r="D283" s="11" t="s">
        <v>35</v>
      </c>
      <c r="E283" s="2"/>
      <c r="H283" s="6" t="s">
        <v>196</v>
      </c>
      <c r="J283" s="10"/>
      <c r="K283" s="10"/>
      <c r="L283" s="32"/>
      <c r="V283" s="10"/>
      <c r="X283" s="10"/>
      <c r="Y283" s="10"/>
      <c r="Z283" s="10"/>
      <c r="AA283" s="61"/>
      <c r="AB283" s="19"/>
      <c r="AC283" s="14"/>
      <c r="AG283" s="300"/>
    </row>
    <row r="284" spans="1:34" ht="14.25" customHeight="1">
      <c r="B284" s="2"/>
      <c r="C284" s="11"/>
      <c r="D284" s="11" t="s">
        <v>35</v>
      </c>
      <c r="E284" s="2"/>
      <c r="H284" s="6"/>
      <c r="I284" s="133"/>
      <c r="J284" s="10"/>
      <c r="K284" s="10"/>
      <c r="L284" s="20"/>
      <c r="M284" s="120"/>
      <c r="U284" s="10"/>
      <c r="V284" s="10"/>
      <c r="W284" s="10"/>
      <c r="X284" s="10"/>
      <c r="Y284" s="10"/>
      <c r="Z284" s="10"/>
      <c r="AA284" s="61"/>
      <c r="AB284" s="19"/>
      <c r="AC284" s="14"/>
      <c r="AG284" s="300"/>
    </row>
    <row r="285" spans="1:34" ht="60">
      <c r="A285" s="370" t="s">
        <v>471</v>
      </c>
      <c r="B285" s="371"/>
      <c r="C285" s="372" t="s">
        <v>97</v>
      </c>
      <c r="D285" s="372" t="s">
        <v>35</v>
      </c>
      <c r="E285" s="371">
        <v>550440</v>
      </c>
      <c r="F285" s="373" t="s">
        <v>196</v>
      </c>
      <c r="G285" s="373" t="s">
        <v>66</v>
      </c>
      <c r="H285" s="374" t="s">
        <v>46</v>
      </c>
      <c r="I285" s="375">
        <v>1171</v>
      </c>
      <c r="J285" s="376" t="str">
        <f>H285</f>
        <v>Retail</v>
      </c>
      <c r="K285" s="376">
        <v>1000</v>
      </c>
      <c r="L285" s="373" t="s">
        <v>194</v>
      </c>
      <c r="M285" s="384">
        <v>39814</v>
      </c>
      <c r="N285" s="377">
        <v>45577</v>
      </c>
      <c r="O285" s="378"/>
      <c r="P285" s="378"/>
      <c r="Q285" s="378"/>
      <c r="R285" s="376">
        <v>50425</v>
      </c>
      <c r="S285" s="376">
        <f>Q285</f>
        <v>0</v>
      </c>
      <c r="T285" s="378"/>
      <c r="U285" s="376">
        <v>41000</v>
      </c>
      <c r="V285" s="376">
        <f>T285</f>
        <v>0</v>
      </c>
      <c r="W285" s="376">
        <v>41000</v>
      </c>
      <c r="X285" s="376">
        <f>V285</f>
        <v>0</v>
      </c>
      <c r="Y285" s="379" t="e">
        <f>T285/H285</f>
        <v>#VALUE!</v>
      </c>
      <c r="Z285" s="376" t="s">
        <v>58</v>
      </c>
      <c r="AA285" s="380"/>
      <c r="AB285" s="394"/>
      <c r="AC285" s="374" t="s">
        <v>94</v>
      </c>
      <c r="AD285" s="373" t="s">
        <v>195</v>
      </c>
      <c r="AE285" s="378"/>
      <c r="AF285" s="378"/>
      <c r="AG285" s="383"/>
      <c r="AH285" s="378"/>
    </row>
    <row r="286" spans="1:34" ht="28.5" customHeight="1">
      <c r="A286" s="378" t="s">
        <v>471</v>
      </c>
      <c r="B286" s="371"/>
      <c r="C286" s="372" t="s">
        <v>97</v>
      </c>
      <c r="D286" s="372" t="s">
        <v>35</v>
      </c>
      <c r="E286" s="371">
        <v>550440</v>
      </c>
      <c r="F286" s="373" t="s">
        <v>196</v>
      </c>
      <c r="G286" s="373" t="s">
        <v>197</v>
      </c>
      <c r="H286" s="374" t="s">
        <v>198</v>
      </c>
      <c r="I286" s="375">
        <v>1120</v>
      </c>
      <c r="J286" s="376" t="str">
        <f>H286</f>
        <v>Retail/Showroom/Office</v>
      </c>
      <c r="K286" s="376">
        <v>1000</v>
      </c>
      <c r="L286" s="373" t="s">
        <v>194</v>
      </c>
      <c r="M286" s="384">
        <v>45292</v>
      </c>
      <c r="N286" s="378"/>
      <c r="O286" s="378"/>
      <c r="P286" s="378"/>
      <c r="Q286" s="378"/>
      <c r="R286" s="376">
        <v>61575</v>
      </c>
      <c r="S286" s="376">
        <f>Q286</f>
        <v>0</v>
      </c>
      <c r="T286" s="378"/>
      <c r="U286" s="376">
        <v>58800</v>
      </c>
      <c r="V286" s="376">
        <f>T286</f>
        <v>0</v>
      </c>
      <c r="W286" s="376">
        <v>58800</v>
      </c>
      <c r="X286" s="376">
        <f>V286</f>
        <v>0</v>
      </c>
      <c r="Y286" s="376"/>
      <c r="Z286" s="376" t="s">
        <v>76</v>
      </c>
      <c r="AA286" s="380"/>
      <c r="AB286" s="394"/>
      <c r="AC286" s="374" t="s">
        <v>40</v>
      </c>
      <c r="AD286" s="373" t="s">
        <v>147</v>
      </c>
      <c r="AE286" s="378"/>
      <c r="AF286" s="378"/>
      <c r="AG286" s="383"/>
      <c r="AH286" s="378"/>
    </row>
    <row r="287" spans="1:34" ht="14.25" customHeight="1">
      <c r="B287" s="2"/>
      <c r="C287" s="11"/>
      <c r="D287" s="11" t="s">
        <v>35</v>
      </c>
      <c r="E287" s="2"/>
      <c r="J287" s="10"/>
      <c r="K287" s="10"/>
      <c r="U287" s="10"/>
      <c r="V287" s="10"/>
      <c r="W287" s="10"/>
      <c r="X287" s="10"/>
      <c r="Y287" s="10"/>
      <c r="Z287" s="10"/>
      <c r="AA287" s="61"/>
      <c r="AB287" s="19"/>
      <c r="AC287" s="14"/>
      <c r="AG287" s="300"/>
    </row>
    <row r="288" spans="1:34" ht="14.25" customHeight="1">
      <c r="B288" s="2"/>
      <c r="C288" s="11"/>
      <c r="D288" s="11" t="s">
        <v>35</v>
      </c>
      <c r="E288" s="2"/>
      <c r="G288" s="92" t="s">
        <v>196</v>
      </c>
      <c r="I288" s="18">
        <f>SUM(H285:H286)</f>
        <v>0</v>
      </c>
      <c r="J288" s="19"/>
      <c r="K288" s="19"/>
      <c r="R288" s="19">
        <f>SUM(Q285:Q286)</f>
        <v>0</v>
      </c>
      <c r="S288" s="19"/>
      <c r="T288" s="19">
        <f>SUM(R284:R287)</f>
        <v>112000</v>
      </c>
      <c r="U288" s="19">
        <f>SUM(T285:T286)</f>
        <v>0</v>
      </c>
      <c r="V288" s="19"/>
      <c r="W288" s="19">
        <f>SUM(V285:V286)</f>
        <v>0</v>
      </c>
      <c r="X288" s="19"/>
      <c r="Y288" s="19"/>
      <c r="Z288" s="19"/>
      <c r="AA288" s="62"/>
      <c r="AB288" s="19">
        <v>1525000</v>
      </c>
      <c r="AC288" s="14"/>
      <c r="AG288" s="300"/>
    </row>
    <row r="289" spans="1:34" ht="14.25" customHeight="1">
      <c r="B289" s="2"/>
      <c r="C289" s="11"/>
      <c r="D289" s="11" t="s">
        <v>35</v>
      </c>
      <c r="E289" s="2"/>
      <c r="J289" s="10"/>
      <c r="K289" s="10"/>
      <c r="U289" s="10"/>
      <c r="V289" s="10"/>
      <c r="W289" s="10"/>
      <c r="X289" s="10"/>
      <c r="Y289" s="10"/>
      <c r="Z289" s="10"/>
      <c r="AA289" s="61"/>
      <c r="AB289" s="19"/>
      <c r="AC289" s="14"/>
      <c r="AG289" s="300"/>
    </row>
    <row r="290" spans="1:34" ht="14.25" customHeight="1">
      <c r="A290" t="s">
        <v>928</v>
      </c>
      <c r="B290" s="2"/>
      <c r="C290" s="11"/>
      <c r="D290" s="11" t="s">
        <v>35</v>
      </c>
      <c r="E290" s="2"/>
      <c r="H290" s="6" t="s">
        <v>199</v>
      </c>
      <c r="J290" s="10"/>
      <c r="K290" s="10"/>
      <c r="L290" s="32"/>
      <c r="V290" s="10"/>
      <c r="X290" s="10"/>
      <c r="Y290" s="10"/>
      <c r="Z290" s="10"/>
      <c r="AA290" s="61"/>
      <c r="AB290" s="19"/>
      <c r="AC290" s="14"/>
      <c r="AG290" s="300"/>
    </row>
    <row r="291" spans="1:34" ht="14.25" customHeight="1">
      <c r="B291" s="2"/>
      <c r="C291" s="11"/>
      <c r="D291" s="11" t="s">
        <v>35</v>
      </c>
      <c r="E291" s="2"/>
      <c r="J291" s="10"/>
      <c r="K291" s="10"/>
      <c r="U291" s="10"/>
      <c r="V291" s="10"/>
      <c r="W291" s="10"/>
      <c r="X291" s="10"/>
      <c r="Y291" s="10"/>
      <c r="Z291" s="10"/>
      <c r="AA291" s="61"/>
      <c r="AB291" s="19"/>
      <c r="AC291" s="14"/>
      <c r="AG291" s="300"/>
    </row>
    <row r="292" spans="1:34" ht="24" customHeight="1">
      <c r="A292" t="s">
        <v>471</v>
      </c>
      <c r="B292" s="2"/>
      <c r="C292" s="11" t="s">
        <v>60</v>
      </c>
      <c r="D292" s="11" t="s">
        <v>35</v>
      </c>
      <c r="E292" s="2">
        <v>550220</v>
      </c>
      <c r="F292" s="4" t="s">
        <v>199</v>
      </c>
      <c r="G292" s="4" t="s">
        <v>200</v>
      </c>
      <c r="H292" s="14" t="s">
        <v>201</v>
      </c>
      <c r="I292" s="39">
        <v>4284</v>
      </c>
      <c r="J292" s="10" t="str">
        <f>H292</f>
        <v>Hotel                       25 Beds</v>
      </c>
      <c r="K292" s="10">
        <v>4250</v>
      </c>
      <c r="L292" s="4" t="s">
        <v>68</v>
      </c>
      <c r="O292" s="9">
        <v>44387</v>
      </c>
      <c r="R292" s="19">
        <v>0</v>
      </c>
      <c r="S292" s="10">
        <f>Q292</f>
        <v>0</v>
      </c>
      <c r="T292" s="19">
        <f>R292</f>
        <v>0</v>
      </c>
      <c r="U292" s="19">
        <v>0</v>
      </c>
      <c r="V292" s="10">
        <f>T292</f>
        <v>0</v>
      </c>
      <c r="W292" s="19">
        <v>0</v>
      </c>
      <c r="X292" s="10">
        <f>V292</f>
        <v>0</v>
      </c>
      <c r="Y292" s="10"/>
      <c r="Z292" s="10"/>
      <c r="AA292" s="61"/>
      <c r="AB292" s="19">
        <v>1500000</v>
      </c>
      <c r="AC292" s="14" t="s">
        <v>40</v>
      </c>
      <c r="AD292" s="4" t="s">
        <v>202</v>
      </c>
      <c r="AF292" s="29"/>
      <c r="AG292" s="301"/>
      <c r="AH292" s="29"/>
    </row>
    <row r="293" spans="1:34" ht="14.25" customHeight="1">
      <c r="B293" s="2"/>
      <c r="C293" s="11"/>
      <c r="D293" s="11" t="s">
        <v>35</v>
      </c>
      <c r="E293" s="2"/>
      <c r="J293" s="10"/>
      <c r="K293" s="10"/>
      <c r="U293" s="10"/>
      <c r="V293" s="10"/>
      <c r="W293" s="10"/>
      <c r="X293" s="10"/>
      <c r="Y293" s="10"/>
      <c r="Z293" s="10"/>
      <c r="AA293" s="61"/>
      <c r="AC293" s="14"/>
      <c r="AG293" s="300"/>
    </row>
    <row r="294" spans="1:34" ht="14.25" customHeight="1">
      <c r="B294" s="2"/>
      <c r="C294" s="11"/>
      <c r="D294" s="11" t="s">
        <v>35</v>
      </c>
      <c r="E294" s="2"/>
      <c r="G294" s="92" t="s">
        <v>203</v>
      </c>
      <c r="I294" s="33">
        <f>SUM(H292:H293)</f>
        <v>0</v>
      </c>
      <c r="J294" s="18"/>
      <c r="K294" s="18"/>
      <c r="L294" s="34"/>
      <c r="M294" s="35"/>
      <c r="N294" s="36"/>
      <c r="O294" s="36"/>
      <c r="P294" s="36"/>
      <c r="Q294" s="36"/>
      <c r="R294" s="33"/>
      <c r="S294" s="33"/>
      <c r="T294" s="33"/>
      <c r="U294" s="33">
        <f>SUM(T292:T293)</f>
        <v>0</v>
      </c>
      <c r="V294" s="33"/>
      <c r="W294" s="33">
        <f>SUM(V292:V293)</f>
        <v>0</v>
      </c>
      <c r="X294" s="33"/>
      <c r="Y294" s="33"/>
      <c r="Z294" s="33"/>
      <c r="AA294" s="63"/>
      <c r="AB294" s="260"/>
      <c r="AC294" s="14"/>
      <c r="AG294" s="300"/>
    </row>
    <row r="295" spans="1:34" ht="14.25" customHeight="1">
      <c r="A295" t="s">
        <v>928</v>
      </c>
      <c r="B295" s="2"/>
      <c r="C295" s="11"/>
      <c r="D295" s="11" t="s">
        <v>35</v>
      </c>
      <c r="E295" s="2"/>
      <c r="H295" s="6" t="s">
        <v>204</v>
      </c>
      <c r="J295" s="10"/>
      <c r="K295" s="10"/>
      <c r="L295" s="32"/>
      <c r="V295" s="10"/>
      <c r="X295" s="10"/>
      <c r="Y295" s="10"/>
      <c r="Z295" s="10"/>
      <c r="AA295" s="61"/>
      <c r="AB295" s="19"/>
      <c r="AC295" s="14"/>
      <c r="AG295" s="300"/>
    </row>
    <row r="296" spans="1:34" ht="14.25" customHeight="1">
      <c r="B296" s="2"/>
      <c r="C296" s="11"/>
      <c r="D296" s="11" t="s">
        <v>35</v>
      </c>
      <c r="E296" s="2"/>
      <c r="H296" s="6"/>
      <c r="J296" s="10"/>
      <c r="K296" s="10"/>
      <c r="U296" s="10"/>
      <c r="V296" s="10"/>
      <c r="W296" s="10"/>
      <c r="X296" s="10"/>
      <c r="Y296" s="10"/>
      <c r="Z296" s="10"/>
      <c r="AA296" s="61"/>
      <c r="AB296" s="19"/>
      <c r="AC296" s="14"/>
      <c r="AG296" s="300"/>
    </row>
    <row r="297" spans="1:34" ht="41.25" customHeight="1">
      <c r="A297" t="s">
        <v>471</v>
      </c>
      <c r="B297" s="2"/>
      <c r="C297" s="11" t="s">
        <v>60</v>
      </c>
      <c r="D297" s="11" t="s">
        <v>35</v>
      </c>
      <c r="E297" s="2">
        <v>550890</v>
      </c>
      <c r="F297" s="4" t="s">
        <v>204</v>
      </c>
      <c r="G297" s="4" t="s">
        <v>36</v>
      </c>
      <c r="H297" s="14" t="s">
        <v>205</v>
      </c>
      <c r="I297" s="18">
        <v>23500</v>
      </c>
      <c r="J297" s="10" t="str">
        <f>H297</f>
        <v>Hotel 52 Beds</v>
      </c>
      <c r="K297" s="10">
        <v>23500</v>
      </c>
      <c r="L297" s="4" t="s">
        <v>206</v>
      </c>
      <c r="M297" s="8">
        <v>45651</v>
      </c>
      <c r="N297" s="9">
        <v>49302</v>
      </c>
      <c r="P297" s="8">
        <v>47477</v>
      </c>
      <c r="Q297" s="8"/>
      <c r="R297" s="19">
        <v>660000</v>
      </c>
      <c r="S297" s="10">
        <f>Q297</f>
        <v>0</v>
      </c>
      <c r="T297" s="19">
        <f>R297</f>
        <v>660000</v>
      </c>
      <c r="U297" s="19">
        <v>0</v>
      </c>
      <c r="V297" s="10">
        <f>T297</f>
        <v>660000</v>
      </c>
      <c r="W297" s="19">
        <v>0</v>
      </c>
      <c r="X297" s="10">
        <f>V297</f>
        <v>660000</v>
      </c>
      <c r="Y297" s="10"/>
      <c r="Z297" s="10" t="s">
        <v>58</v>
      </c>
      <c r="AA297" s="61"/>
      <c r="AB297" s="19">
        <v>17500000</v>
      </c>
      <c r="AC297" s="14" t="s">
        <v>40</v>
      </c>
      <c r="AD297" s="135" t="s">
        <v>207</v>
      </c>
      <c r="AE297" s="327"/>
      <c r="AF297" s="135"/>
      <c r="AG297" s="305"/>
      <c r="AH297" s="135"/>
    </row>
    <row r="298" spans="1:34" ht="14.25" customHeight="1">
      <c r="B298" s="2"/>
      <c r="C298" s="11"/>
      <c r="D298" s="11" t="s">
        <v>35</v>
      </c>
      <c r="E298" s="2"/>
      <c r="I298" s="18"/>
      <c r="J298" s="10"/>
      <c r="K298" s="10"/>
      <c r="R298" s="19"/>
      <c r="S298" s="19"/>
      <c r="T298" s="19"/>
      <c r="U298" s="19"/>
      <c r="V298" s="19"/>
      <c r="W298" s="19"/>
      <c r="X298" s="19"/>
      <c r="Y298" s="19"/>
      <c r="Z298" s="19"/>
      <c r="AA298" s="62"/>
      <c r="AB298" s="19"/>
      <c r="AC298" s="14"/>
      <c r="AG298" s="300"/>
    </row>
    <row r="299" spans="1:34" ht="14.25" customHeight="1">
      <c r="A299" t="s">
        <v>928</v>
      </c>
      <c r="B299" s="2"/>
      <c r="C299" s="11"/>
      <c r="D299" s="11" t="s">
        <v>35</v>
      </c>
      <c r="E299" s="2"/>
      <c r="H299" s="6" t="s">
        <v>208</v>
      </c>
      <c r="J299" s="10"/>
      <c r="K299" s="10"/>
      <c r="L299" s="32"/>
      <c r="V299" s="10"/>
      <c r="X299" s="10"/>
      <c r="Y299" s="10"/>
      <c r="Z299" s="10"/>
      <c r="AA299" s="61"/>
      <c r="AB299" s="19"/>
      <c r="AC299" s="14"/>
      <c r="AG299" s="300"/>
    </row>
    <row r="300" spans="1:34" ht="14.25" customHeight="1">
      <c r="B300" s="2"/>
      <c r="C300" s="11"/>
      <c r="D300" s="11" t="s">
        <v>35</v>
      </c>
      <c r="E300" s="2"/>
      <c r="I300" s="18"/>
      <c r="J300" s="19"/>
      <c r="K300" s="19"/>
      <c r="L300" s="37"/>
      <c r="M300" s="46"/>
      <c r="R300" s="19"/>
      <c r="S300" s="19"/>
      <c r="T300" s="19"/>
      <c r="U300" s="19"/>
      <c r="V300" s="19"/>
      <c r="W300" s="19"/>
      <c r="X300" s="19"/>
      <c r="Y300" s="19"/>
      <c r="Z300" s="19"/>
      <c r="AA300" s="62"/>
      <c r="AB300" s="19"/>
      <c r="AC300" s="14"/>
      <c r="AD300" s="37"/>
      <c r="AE300" s="325"/>
      <c r="AF300" s="37"/>
      <c r="AG300" s="302"/>
      <c r="AH300" s="37"/>
    </row>
    <row r="301" spans="1:34" ht="24">
      <c r="A301" t="s">
        <v>471</v>
      </c>
      <c r="B301" s="2"/>
      <c r="C301" s="11" t="s">
        <v>119</v>
      </c>
      <c r="D301" s="11" t="s">
        <v>35</v>
      </c>
      <c r="E301" s="2">
        <v>550586</v>
      </c>
      <c r="F301" s="4" t="s">
        <v>208</v>
      </c>
      <c r="G301" s="4" t="s">
        <v>209</v>
      </c>
      <c r="H301" s="14" t="s">
        <v>210</v>
      </c>
      <c r="I301" s="18">
        <v>420</v>
      </c>
      <c r="J301" s="10" t="str">
        <f>H301</f>
        <v>Residential</v>
      </c>
      <c r="K301" s="10">
        <v>500</v>
      </c>
      <c r="L301" s="4" t="s">
        <v>211</v>
      </c>
      <c r="M301" s="8">
        <v>45664</v>
      </c>
      <c r="N301" s="9">
        <v>46028</v>
      </c>
      <c r="Q301" s="9">
        <v>45814</v>
      </c>
      <c r="R301" s="19">
        <v>25220</v>
      </c>
      <c r="S301" s="10">
        <f>Q301</f>
        <v>45814</v>
      </c>
      <c r="T301" s="19">
        <f>R301</f>
        <v>25220</v>
      </c>
      <c r="U301" s="19">
        <v>27000</v>
      </c>
      <c r="V301" s="10">
        <f>T301</f>
        <v>25220</v>
      </c>
      <c r="W301" s="19">
        <v>27000</v>
      </c>
      <c r="X301" s="10">
        <f>V301</f>
        <v>25220</v>
      </c>
      <c r="Y301" s="10"/>
      <c r="Z301" s="10" t="s">
        <v>69</v>
      </c>
      <c r="AA301" s="61"/>
      <c r="AB301" s="19">
        <v>590000</v>
      </c>
      <c r="AC301" s="14" t="s">
        <v>40</v>
      </c>
      <c r="AD301" s="4" t="s">
        <v>212</v>
      </c>
      <c r="AF301" s="29"/>
      <c r="AG301" s="301"/>
      <c r="AH301" s="29"/>
    </row>
    <row r="302" spans="1:34" ht="14.25" customHeight="1">
      <c r="B302" s="2"/>
      <c r="C302" s="11"/>
      <c r="D302" s="11" t="s">
        <v>35</v>
      </c>
      <c r="E302" s="2"/>
      <c r="I302" s="18"/>
      <c r="J302" s="19"/>
      <c r="K302" s="19"/>
      <c r="R302" s="19"/>
      <c r="S302" s="19"/>
      <c r="T302" s="19"/>
      <c r="U302" s="19"/>
      <c r="V302" s="19"/>
      <c r="W302" s="19"/>
      <c r="X302" s="19"/>
      <c r="Y302" s="19"/>
      <c r="Z302" s="19"/>
      <c r="AA302" s="62"/>
      <c r="AB302" s="54"/>
      <c r="AC302" s="14"/>
      <c r="AG302" s="300"/>
    </row>
    <row r="303" spans="1:34" ht="14.25" customHeight="1">
      <c r="B303" s="2"/>
      <c r="C303" s="11"/>
      <c r="D303" s="11" t="s">
        <v>35</v>
      </c>
      <c r="E303" s="2"/>
      <c r="G303" s="92" t="s">
        <v>213</v>
      </c>
      <c r="I303" s="33">
        <f>SUM(H301:H302)</f>
        <v>0</v>
      </c>
      <c r="J303" s="18"/>
      <c r="K303" s="18"/>
      <c r="L303" s="34"/>
      <c r="M303" s="35"/>
      <c r="N303" s="36"/>
      <c r="O303" s="36"/>
      <c r="P303" s="36"/>
      <c r="Q303" s="36"/>
      <c r="R303" s="33"/>
      <c r="S303" s="33"/>
      <c r="T303" s="33"/>
      <c r="U303" s="33">
        <f>SUM(T301:T302)</f>
        <v>25220</v>
      </c>
      <c r="V303" s="33"/>
      <c r="W303" s="33">
        <f>SUM(V301:V302)</f>
        <v>25220</v>
      </c>
      <c r="X303" s="33"/>
      <c r="Y303" s="33"/>
      <c r="Z303" s="33"/>
      <c r="AA303" s="63"/>
      <c r="AB303" s="260"/>
      <c r="AC303" s="14"/>
      <c r="AG303" s="300"/>
    </row>
    <row r="304" spans="1:34" ht="14.25" customHeight="1">
      <c r="A304" t="s">
        <v>928</v>
      </c>
      <c r="B304" s="2"/>
      <c r="C304" s="11"/>
      <c r="D304" s="11" t="s">
        <v>35</v>
      </c>
      <c r="E304" s="2"/>
      <c r="H304" s="6" t="s">
        <v>214</v>
      </c>
      <c r="J304" s="10"/>
      <c r="K304" s="10"/>
      <c r="L304" s="32"/>
      <c r="V304" s="10"/>
      <c r="X304" s="10"/>
      <c r="Y304" s="10"/>
      <c r="Z304" s="10"/>
      <c r="AA304" s="61"/>
      <c r="AC304" s="14"/>
      <c r="AG304" s="300"/>
    </row>
    <row r="305" spans="1:34" ht="14.25" customHeight="1">
      <c r="B305" s="2"/>
      <c r="C305" s="11"/>
      <c r="D305" s="11" t="s">
        <v>35</v>
      </c>
      <c r="E305" s="2"/>
      <c r="H305" s="6"/>
      <c r="I305" s="126"/>
      <c r="J305" s="10"/>
      <c r="K305" s="10"/>
      <c r="L305" s="123"/>
      <c r="U305" s="10"/>
      <c r="V305" s="10"/>
      <c r="W305" s="10"/>
      <c r="X305" s="10"/>
      <c r="Y305" s="10"/>
      <c r="Z305" s="10"/>
      <c r="AA305" s="61"/>
      <c r="AC305" s="14"/>
      <c r="AG305" s="300"/>
    </row>
    <row r="306" spans="1:34" ht="24" customHeight="1">
      <c r="A306" s="370" t="s">
        <v>471</v>
      </c>
      <c r="B306" s="371"/>
      <c r="C306" s="372" t="s">
        <v>97</v>
      </c>
      <c r="D306" s="372" t="s">
        <v>35</v>
      </c>
      <c r="E306" s="371">
        <v>550300</v>
      </c>
      <c r="F306" s="373" t="s">
        <v>214</v>
      </c>
      <c r="G306" s="391" t="s">
        <v>215</v>
      </c>
      <c r="H306" s="374" t="s">
        <v>216</v>
      </c>
      <c r="I306" s="375">
        <v>1911</v>
      </c>
      <c r="J306" s="375" t="str">
        <f t="shared" ref="J306:J316" si="54">H306</f>
        <v>Storage/Cloakroom</v>
      </c>
      <c r="K306" s="375">
        <v>2000</v>
      </c>
      <c r="L306" s="373" t="s">
        <v>217</v>
      </c>
      <c r="M306" s="384">
        <v>44774</v>
      </c>
      <c r="N306" s="377">
        <v>46599</v>
      </c>
      <c r="O306" s="378"/>
      <c r="P306" s="378"/>
      <c r="Q306" s="377">
        <v>45870</v>
      </c>
      <c r="R306" s="376">
        <v>44735</v>
      </c>
      <c r="S306" s="376">
        <f t="shared" ref="S306:S316" si="55">Q306</f>
        <v>45870</v>
      </c>
      <c r="T306" s="378"/>
      <c r="U306" s="376">
        <v>45700</v>
      </c>
      <c r="V306" s="376">
        <f t="shared" ref="V306:V316" si="56">T306</f>
        <v>0</v>
      </c>
      <c r="W306" s="376">
        <v>47800</v>
      </c>
      <c r="X306" s="376">
        <f t="shared" ref="X306:X316" si="57">V306</f>
        <v>0</v>
      </c>
      <c r="Y306" s="379" t="e">
        <f>T306/H306</f>
        <v>#VALUE!</v>
      </c>
      <c r="Z306" s="376" t="s">
        <v>76</v>
      </c>
      <c r="AA306" s="380"/>
      <c r="AB306" s="381"/>
      <c r="AC306" s="374" t="s">
        <v>40</v>
      </c>
      <c r="AD306" s="373" t="s">
        <v>218</v>
      </c>
      <c r="AE306" s="378"/>
      <c r="AF306" s="378"/>
      <c r="AG306" s="383"/>
      <c r="AH306" s="378"/>
    </row>
    <row r="307" spans="1:34" ht="24" customHeight="1">
      <c r="A307" s="378" t="s">
        <v>471</v>
      </c>
      <c r="B307" s="371"/>
      <c r="C307" s="372" t="s">
        <v>97</v>
      </c>
      <c r="D307" s="372" t="s">
        <v>35</v>
      </c>
      <c r="E307" s="371">
        <v>550300</v>
      </c>
      <c r="F307" s="373" t="s">
        <v>214</v>
      </c>
      <c r="G307" s="391" t="s">
        <v>219</v>
      </c>
      <c r="H307" s="374" t="s">
        <v>220</v>
      </c>
      <c r="I307" s="375">
        <v>0</v>
      </c>
      <c r="J307" s="375" t="str">
        <f t="shared" si="54"/>
        <v>Cloakroom</v>
      </c>
      <c r="K307" s="378"/>
      <c r="L307" s="373" t="s">
        <v>106</v>
      </c>
      <c r="M307" s="378"/>
      <c r="N307" s="378"/>
      <c r="O307" s="377">
        <v>45456</v>
      </c>
      <c r="P307" s="378"/>
      <c r="Q307" s="378"/>
      <c r="R307" s="376">
        <v>0</v>
      </c>
      <c r="S307" s="376">
        <f t="shared" si="55"/>
        <v>0</v>
      </c>
      <c r="T307" s="378"/>
      <c r="U307" s="376">
        <v>0</v>
      </c>
      <c r="V307" s="376">
        <f t="shared" si="56"/>
        <v>0</v>
      </c>
      <c r="W307" s="376">
        <v>0</v>
      </c>
      <c r="X307" s="376">
        <f t="shared" si="57"/>
        <v>0</v>
      </c>
      <c r="Y307" s="379"/>
      <c r="Z307" s="376" t="s">
        <v>76</v>
      </c>
      <c r="AA307" s="380"/>
      <c r="AB307" s="381"/>
      <c r="AC307" s="374" t="s">
        <v>40</v>
      </c>
      <c r="AD307" s="378"/>
      <c r="AE307" s="378"/>
      <c r="AF307" s="378"/>
      <c r="AG307" s="383"/>
      <c r="AH307" s="378"/>
    </row>
    <row r="308" spans="1:34" ht="14.25" customHeight="1">
      <c r="A308" s="378" t="s">
        <v>471</v>
      </c>
      <c r="B308" s="371"/>
      <c r="C308" s="372" t="s">
        <v>97</v>
      </c>
      <c r="D308" s="372" t="s">
        <v>35</v>
      </c>
      <c r="E308" s="371">
        <v>550300</v>
      </c>
      <c r="F308" s="373" t="s">
        <v>214</v>
      </c>
      <c r="G308" s="373" t="s">
        <v>221</v>
      </c>
      <c r="H308" s="374" t="s">
        <v>120</v>
      </c>
      <c r="I308" s="375">
        <v>495</v>
      </c>
      <c r="J308" s="375" t="str">
        <f t="shared" si="54"/>
        <v>Showroom</v>
      </c>
      <c r="K308" s="375">
        <v>500</v>
      </c>
      <c r="L308" s="373" t="s">
        <v>222</v>
      </c>
      <c r="M308" s="384">
        <v>45010</v>
      </c>
      <c r="N308" s="377">
        <v>48662</v>
      </c>
      <c r="O308" s="378"/>
      <c r="P308" s="377">
        <v>46837</v>
      </c>
      <c r="Q308" s="378"/>
      <c r="R308" s="376">
        <v>35000</v>
      </c>
      <c r="S308" s="376">
        <f t="shared" si="55"/>
        <v>0</v>
      </c>
      <c r="T308" s="378"/>
      <c r="U308" s="376">
        <v>35400</v>
      </c>
      <c r="V308" s="376">
        <f t="shared" si="56"/>
        <v>0</v>
      </c>
      <c r="W308" s="376">
        <v>35000</v>
      </c>
      <c r="X308" s="376">
        <f t="shared" si="57"/>
        <v>0</v>
      </c>
      <c r="Y308" s="379" t="e">
        <f t="shared" ref="Y308:Y315" si="58">T308/H308</f>
        <v>#VALUE!</v>
      </c>
      <c r="Z308" s="376" t="s">
        <v>76</v>
      </c>
      <c r="AA308" s="380"/>
      <c r="AB308" s="381"/>
      <c r="AC308" s="374" t="s">
        <v>40</v>
      </c>
      <c r="AD308" s="378"/>
      <c r="AE308" s="378"/>
      <c r="AF308" s="378"/>
      <c r="AG308" s="383"/>
      <c r="AH308" s="378"/>
    </row>
    <row r="309" spans="1:34" ht="24.75" customHeight="1">
      <c r="A309" s="378" t="s">
        <v>471</v>
      </c>
      <c r="B309" s="371"/>
      <c r="C309" s="372" t="s">
        <v>97</v>
      </c>
      <c r="D309" s="372" t="s">
        <v>35</v>
      </c>
      <c r="E309" s="371">
        <v>550300</v>
      </c>
      <c r="F309" s="373" t="s">
        <v>214</v>
      </c>
      <c r="G309" s="373" t="s">
        <v>655</v>
      </c>
      <c r="H309" s="374" t="s">
        <v>656</v>
      </c>
      <c r="I309" s="375">
        <v>1051</v>
      </c>
      <c r="J309" s="375" t="str">
        <f t="shared" si="54"/>
        <v>Workshop</v>
      </c>
      <c r="K309" s="375">
        <v>1000</v>
      </c>
      <c r="L309" s="373" t="s">
        <v>252</v>
      </c>
      <c r="M309" s="384">
        <v>43549</v>
      </c>
      <c r="N309" s="377">
        <v>46836</v>
      </c>
      <c r="O309" s="378"/>
      <c r="P309" s="377">
        <v>45010</v>
      </c>
      <c r="Q309" s="378"/>
      <c r="R309" s="376">
        <v>28200</v>
      </c>
      <c r="S309" s="376">
        <f t="shared" si="55"/>
        <v>0</v>
      </c>
      <c r="T309" s="378"/>
      <c r="U309" s="376">
        <v>32000</v>
      </c>
      <c r="V309" s="376">
        <f t="shared" si="56"/>
        <v>0</v>
      </c>
      <c r="W309" s="376">
        <v>21000</v>
      </c>
      <c r="X309" s="376">
        <f t="shared" si="57"/>
        <v>0</v>
      </c>
      <c r="Y309" s="379" t="e">
        <f t="shared" si="58"/>
        <v>#VALUE!</v>
      </c>
      <c r="Z309" s="376" t="s">
        <v>76</v>
      </c>
      <c r="AA309" s="380"/>
      <c r="AB309" s="381"/>
      <c r="AC309" s="374" t="s">
        <v>40</v>
      </c>
      <c r="AD309" s="373" t="s">
        <v>253</v>
      </c>
      <c r="AE309" s="378"/>
      <c r="AF309" s="378"/>
      <c r="AG309" s="383"/>
      <c r="AH309" s="378"/>
    </row>
    <row r="310" spans="1:34" ht="24" customHeight="1">
      <c r="A310" s="378" t="s">
        <v>471</v>
      </c>
      <c r="B310" s="371"/>
      <c r="C310" s="372" t="s">
        <v>97</v>
      </c>
      <c r="D310" s="372" t="s">
        <v>35</v>
      </c>
      <c r="E310" s="371">
        <v>550300</v>
      </c>
      <c r="F310" s="373" t="s">
        <v>214</v>
      </c>
      <c r="G310" s="373" t="s">
        <v>620</v>
      </c>
      <c r="H310" s="374" t="s">
        <v>124</v>
      </c>
      <c r="I310" s="375">
        <v>2254</v>
      </c>
      <c r="J310" s="375" t="str">
        <f t="shared" si="54"/>
        <v>Offices</v>
      </c>
      <c r="K310" s="375">
        <v>2250</v>
      </c>
      <c r="L310" s="373" t="s">
        <v>185</v>
      </c>
      <c r="M310" s="384">
        <v>45001</v>
      </c>
      <c r="N310" s="407">
        <v>46827</v>
      </c>
      <c r="O310" s="407"/>
      <c r="P310" s="378"/>
      <c r="Q310" s="377">
        <v>46097</v>
      </c>
      <c r="R310" s="376">
        <v>148590</v>
      </c>
      <c r="S310" s="376">
        <f t="shared" si="55"/>
        <v>46097</v>
      </c>
      <c r="T310" s="378"/>
      <c r="U310" s="376">
        <v>148600</v>
      </c>
      <c r="V310" s="376">
        <f t="shared" si="56"/>
        <v>0</v>
      </c>
      <c r="W310" s="376">
        <v>148590</v>
      </c>
      <c r="X310" s="376">
        <f t="shared" si="57"/>
        <v>0</v>
      </c>
      <c r="Y310" s="379" t="e">
        <f t="shared" si="58"/>
        <v>#VALUE!</v>
      </c>
      <c r="Z310" s="376" t="s">
        <v>76</v>
      </c>
      <c r="AA310" s="380"/>
      <c r="AB310" s="381"/>
      <c r="AC310" s="374" t="s">
        <v>40</v>
      </c>
      <c r="AD310" s="373" t="s">
        <v>657</v>
      </c>
      <c r="AE310" s="378"/>
      <c r="AF310" s="378"/>
      <c r="AG310" s="383"/>
      <c r="AH310" s="378"/>
    </row>
    <row r="311" spans="1:34" ht="24" customHeight="1">
      <c r="A311" s="378" t="s">
        <v>471</v>
      </c>
      <c r="B311" s="371"/>
      <c r="C311" s="372" t="s">
        <v>97</v>
      </c>
      <c r="D311" s="372" t="s">
        <v>35</v>
      </c>
      <c r="E311" s="371">
        <v>550300</v>
      </c>
      <c r="F311" s="373" t="s">
        <v>214</v>
      </c>
      <c r="G311" s="373" t="s">
        <v>494</v>
      </c>
      <c r="H311" s="374" t="s">
        <v>37</v>
      </c>
      <c r="I311" s="375">
        <v>3205</v>
      </c>
      <c r="J311" s="375" t="str">
        <f t="shared" si="54"/>
        <v>Office</v>
      </c>
      <c r="K311" s="375">
        <v>3250</v>
      </c>
      <c r="L311" s="373" t="s">
        <v>185</v>
      </c>
      <c r="M311" s="384">
        <v>45000</v>
      </c>
      <c r="N311" s="407">
        <v>46827</v>
      </c>
      <c r="O311" s="407"/>
      <c r="P311" s="378"/>
      <c r="Q311" s="377">
        <v>46097</v>
      </c>
      <c r="R311" s="376">
        <v>218325</v>
      </c>
      <c r="S311" s="376">
        <f t="shared" si="55"/>
        <v>46097</v>
      </c>
      <c r="T311" s="378"/>
      <c r="U311" s="376">
        <v>218300</v>
      </c>
      <c r="V311" s="376">
        <f t="shared" si="56"/>
        <v>0</v>
      </c>
      <c r="W311" s="376">
        <v>218325</v>
      </c>
      <c r="X311" s="376">
        <f t="shared" si="57"/>
        <v>0</v>
      </c>
      <c r="Y311" s="379" t="e">
        <f t="shared" si="58"/>
        <v>#VALUE!</v>
      </c>
      <c r="Z311" s="376" t="s">
        <v>76</v>
      </c>
      <c r="AA311" s="380"/>
      <c r="AB311" s="381"/>
      <c r="AC311" s="374" t="s">
        <v>40</v>
      </c>
      <c r="AD311" s="373" t="s">
        <v>657</v>
      </c>
      <c r="AE311" s="378"/>
      <c r="AF311" s="378"/>
      <c r="AG311" s="383"/>
      <c r="AH311" s="378"/>
    </row>
    <row r="312" spans="1:34" ht="28.5" customHeight="1">
      <c r="A312" s="378" t="s">
        <v>471</v>
      </c>
      <c r="B312" s="371"/>
      <c r="C312" s="372" t="s">
        <v>97</v>
      </c>
      <c r="D312" s="372" t="s">
        <v>35</v>
      </c>
      <c r="E312" s="371">
        <v>550300</v>
      </c>
      <c r="F312" s="373" t="s">
        <v>214</v>
      </c>
      <c r="G312" s="373" t="s">
        <v>658</v>
      </c>
      <c r="H312" s="374" t="s">
        <v>37</v>
      </c>
      <c r="I312" s="375">
        <v>1510</v>
      </c>
      <c r="J312" s="375" t="str">
        <f t="shared" si="54"/>
        <v>Office</v>
      </c>
      <c r="K312" s="375">
        <v>1500</v>
      </c>
      <c r="L312" s="373" t="s">
        <v>185</v>
      </c>
      <c r="M312" s="384">
        <v>45200</v>
      </c>
      <c r="N312" s="407">
        <v>46827</v>
      </c>
      <c r="O312" s="407"/>
      <c r="P312" s="378"/>
      <c r="Q312" s="377">
        <v>46097</v>
      </c>
      <c r="R312" s="376">
        <v>92250</v>
      </c>
      <c r="S312" s="376">
        <f t="shared" si="55"/>
        <v>46097</v>
      </c>
      <c r="T312" s="378"/>
      <c r="U312" s="376">
        <v>92300</v>
      </c>
      <c r="V312" s="376">
        <f t="shared" si="56"/>
        <v>0</v>
      </c>
      <c r="W312" s="376">
        <v>92250</v>
      </c>
      <c r="X312" s="376">
        <f t="shared" si="57"/>
        <v>0</v>
      </c>
      <c r="Y312" s="379" t="e">
        <f t="shared" si="58"/>
        <v>#VALUE!</v>
      </c>
      <c r="Z312" s="376" t="s">
        <v>76</v>
      </c>
      <c r="AA312" s="380"/>
      <c r="AB312" s="381"/>
      <c r="AC312" s="374" t="s">
        <v>40</v>
      </c>
      <c r="AD312" s="373" t="s">
        <v>659</v>
      </c>
      <c r="AE312" s="378"/>
      <c r="AF312" s="378"/>
      <c r="AG312" s="383"/>
      <c r="AH312" s="378"/>
    </row>
    <row r="313" spans="1:34" ht="28.5" customHeight="1">
      <c r="A313" s="378" t="s">
        <v>471</v>
      </c>
      <c r="B313" s="371"/>
      <c r="C313" s="372" t="s">
        <v>97</v>
      </c>
      <c r="D313" s="372" t="s">
        <v>35</v>
      </c>
      <c r="E313" s="371">
        <v>550300</v>
      </c>
      <c r="F313" s="373" t="s">
        <v>214</v>
      </c>
      <c r="G313" s="391" t="s">
        <v>660</v>
      </c>
      <c r="H313" s="374" t="s">
        <v>37</v>
      </c>
      <c r="I313" s="375">
        <v>130</v>
      </c>
      <c r="J313" s="375" t="str">
        <f t="shared" si="54"/>
        <v>Office</v>
      </c>
      <c r="K313" s="375">
        <v>250</v>
      </c>
      <c r="L313" s="373" t="s">
        <v>68</v>
      </c>
      <c r="M313" s="378"/>
      <c r="N313" s="378"/>
      <c r="O313" s="377">
        <v>45173</v>
      </c>
      <c r="P313" s="378"/>
      <c r="Q313" s="378"/>
      <c r="R313" s="376">
        <v>0</v>
      </c>
      <c r="S313" s="376">
        <f t="shared" si="55"/>
        <v>0</v>
      </c>
      <c r="T313" s="378"/>
      <c r="U313" s="376">
        <v>8120</v>
      </c>
      <c r="V313" s="376">
        <f t="shared" si="56"/>
        <v>0</v>
      </c>
      <c r="W313" s="376">
        <v>8000</v>
      </c>
      <c r="X313" s="376">
        <f t="shared" si="57"/>
        <v>0</v>
      </c>
      <c r="Y313" s="379" t="e">
        <f t="shared" si="58"/>
        <v>#VALUE!</v>
      </c>
      <c r="Z313" s="376" t="s">
        <v>76</v>
      </c>
      <c r="AA313" s="380"/>
      <c r="AB313" s="381"/>
      <c r="AC313" s="374" t="s">
        <v>40</v>
      </c>
      <c r="AD313" s="373" t="s">
        <v>482</v>
      </c>
      <c r="AE313" s="378"/>
      <c r="AF313" s="378"/>
      <c r="AG313" s="383"/>
      <c r="AH313" s="378"/>
    </row>
    <row r="314" spans="1:34" ht="28.5" customHeight="1">
      <c r="A314" s="378" t="s">
        <v>471</v>
      </c>
      <c r="B314" s="371"/>
      <c r="C314" s="372" t="s">
        <v>97</v>
      </c>
      <c r="D314" s="372" t="s">
        <v>35</v>
      </c>
      <c r="E314" s="371">
        <v>550300</v>
      </c>
      <c r="F314" s="373" t="s">
        <v>214</v>
      </c>
      <c r="G314" s="408" t="s">
        <v>661</v>
      </c>
      <c r="H314" s="374" t="s">
        <v>662</v>
      </c>
      <c r="I314" s="375">
        <v>1074</v>
      </c>
      <c r="J314" s="375" t="str">
        <f t="shared" si="54"/>
        <v xml:space="preserve"> Office &amp; Storage</v>
      </c>
      <c r="K314" s="375">
        <v>1000</v>
      </c>
      <c r="L314" s="373" t="s">
        <v>68</v>
      </c>
      <c r="M314" s="378"/>
      <c r="N314" s="378"/>
      <c r="O314" s="377">
        <v>45003</v>
      </c>
      <c r="P314" s="378"/>
      <c r="Q314" s="378"/>
      <c r="R314" s="376">
        <v>0</v>
      </c>
      <c r="S314" s="376">
        <f t="shared" si="55"/>
        <v>0</v>
      </c>
      <c r="T314" s="378"/>
      <c r="U314" s="376">
        <v>72100</v>
      </c>
      <c r="V314" s="376">
        <f t="shared" si="56"/>
        <v>0</v>
      </c>
      <c r="W314" s="376">
        <v>66100</v>
      </c>
      <c r="X314" s="376">
        <f t="shared" si="57"/>
        <v>0</v>
      </c>
      <c r="Y314" s="379" t="e">
        <f t="shared" si="58"/>
        <v>#VALUE!</v>
      </c>
      <c r="Z314" s="376" t="s">
        <v>76</v>
      </c>
      <c r="AA314" s="380" t="s">
        <v>25</v>
      </c>
      <c r="AB314" s="381"/>
      <c r="AC314" s="374" t="s">
        <v>40</v>
      </c>
      <c r="AD314" s="373" t="s">
        <v>482</v>
      </c>
      <c r="AE314" s="388">
        <v>67.5</v>
      </c>
      <c r="AF314" s="378"/>
      <c r="AG314" s="383"/>
      <c r="AH314" s="378"/>
    </row>
    <row r="315" spans="1:34" ht="36">
      <c r="A315" s="378" t="s">
        <v>471</v>
      </c>
      <c r="B315" s="371"/>
      <c r="C315" s="372" t="s">
        <v>97</v>
      </c>
      <c r="D315" s="372" t="s">
        <v>35</v>
      </c>
      <c r="E315" s="371">
        <v>550300</v>
      </c>
      <c r="F315" s="373" t="s">
        <v>214</v>
      </c>
      <c r="G315" s="373" t="s">
        <v>498</v>
      </c>
      <c r="H315" s="374" t="s">
        <v>37</v>
      </c>
      <c r="I315" s="375">
        <v>2018</v>
      </c>
      <c r="J315" s="375" t="str">
        <f t="shared" si="54"/>
        <v>Office</v>
      </c>
      <c r="K315" s="375">
        <v>2000</v>
      </c>
      <c r="L315" s="373" t="s">
        <v>663</v>
      </c>
      <c r="M315" s="384">
        <v>45456</v>
      </c>
      <c r="N315" s="377">
        <v>47281</v>
      </c>
      <c r="O315" s="378"/>
      <c r="P315" s="378"/>
      <c r="Q315" s="377">
        <v>46550</v>
      </c>
      <c r="R315" s="376">
        <v>140315</v>
      </c>
      <c r="S315" s="376">
        <f t="shared" si="55"/>
        <v>46550</v>
      </c>
      <c r="T315" s="378"/>
      <c r="U315" s="376">
        <v>129800</v>
      </c>
      <c r="V315" s="376">
        <f t="shared" si="56"/>
        <v>0</v>
      </c>
      <c r="W315" s="376">
        <v>140315</v>
      </c>
      <c r="X315" s="376">
        <f t="shared" si="57"/>
        <v>0</v>
      </c>
      <c r="Y315" s="379" t="e">
        <f t="shared" si="58"/>
        <v>#VALUE!</v>
      </c>
      <c r="Z315" s="376" t="s">
        <v>76</v>
      </c>
      <c r="AA315" s="380"/>
      <c r="AB315" s="381"/>
      <c r="AC315" s="374" t="s">
        <v>40</v>
      </c>
      <c r="AD315" s="373" t="s">
        <v>130</v>
      </c>
      <c r="AE315" s="378"/>
      <c r="AF315" s="378"/>
      <c r="AG315" s="383"/>
      <c r="AH315" s="378"/>
    </row>
    <row r="316" spans="1:34" ht="28.5" customHeight="1">
      <c r="A316" s="378" t="s">
        <v>471</v>
      </c>
      <c r="B316" s="371"/>
      <c r="C316" s="372" t="s">
        <v>97</v>
      </c>
      <c r="D316" s="372" t="s">
        <v>35</v>
      </c>
      <c r="E316" s="371">
        <v>550300</v>
      </c>
      <c r="F316" s="373" t="s">
        <v>214</v>
      </c>
      <c r="G316" s="373" t="s">
        <v>664</v>
      </c>
      <c r="H316" s="374" t="s">
        <v>541</v>
      </c>
      <c r="I316" s="375">
        <v>0</v>
      </c>
      <c r="J316" s="375" t="str">
        <f t="shared" si="54"/>
        <v>Sub-Station</v>
      </c>
      <c r="K316" s="378"/>
      <c r="L316" s="373" t="s">
        <v>448</v>
      </c>
      <c r="M316" s="384">
        <v>43866</v>
      </c>
      <c r="N316" s="377">
        <v>47518</v>
      </c>
      <c r="O316" s="378"/>
      <c r="P316" s="377">
        <v>45693</v>
      </c>
      <c r="Q316" s="378"/>
      <c r="R316" s="376">
        <v>1000</v>
      </c>
      <c r="S316" s="376">
        <f t="shared" si="55"/>
        <v>0</v>
      </c>
      <c r="T316" s="378"/>
      <c r="U316" s="376">
        <v>1000</v>
      </c>
      <c r="V316" s="376">
        <f t="shared" si="56"/>
        <v>0</v>
      </c>
      <c r="W316" s="376">
        <v>1000</v>
      </c>
      <c r="X316" s="376">
        <f t="shared" si="57"/>
        <v>0</v>
      </c>
      <c r="Y316" s="379"/>
      <c r="Z316" s="376"/>
      <c r="AA316" s="380"/>
      <c r="AB316" s="381"/>
      <c r="AC316" s="374" t="s">
        <v>94</v>
      </c>
      <c r="AD316" s="373" t="s">
        <v>665</v>
      </c>
      <c r="AE316" s="378"/>
      <c r="AF316" s="378"/>
      <c r="AG316" s="383"/>
      <c r="AH316" s="378"/>
    </row>
    <row r="317" spans="1:34" ht="14.25" customHeight="1">
      <c r="B317" s="2"/>
      <c r="C317" s="11"/>
      <c r="D317" s="11" t="s">
        <v>35</v>
      </c>
      <c r="E317" s="2"/>
      <c r="J317" s="10"/>
      <c r="K317" s="10"/>
      <c r="U317" s="10"/>
      <c r="V317" s="10"/>
      <c r="W317" s="10"/>
      <c r="X317" s="10"/>
      <c r="Y317" s="10"/>
      <c r="Z317" s="10"/>
      <c r="AA317" s="61"/>
      <c r="AC317" s="14"/>
      <c r="AG317" s="300"/>
    </row>
    <row r="318" spans="1:34" ht="14.25" customHeight="1">
      <c r="B318" s="2"/>
      <c r="C318" s="11"/>
      <c r="D318" s="11" t="s">
        <v>35</v>
      </c>
      <c r="E318" s="2"/>
      <c r="G318" s="92" t="s">
        <v>666</v>
      </c>
      <c r="I318" s="19">
        <f>SUM(H306:H316)</f>
        <v>0</v>
      </c>
      <c r="J318" s="19"/>
      <c r="K318" s="19"/>
      <c r="L318" s="13"/>
      <c r="R318" s="19">
        <f>SUM(Q306:Q316)</f>
        <v>230711</v>
      </c>
      <c r="S318" s="19"/>
      <c r="T318" s="19">
        <f>SUM(R304:R317)</f>
        <v>708415</v>
      </c>
      <c r="U318" s="19">
        <f>SUM(T306:T316)</f>
        <v>0</v>
      </c>
      <c r="V318" s="19"/>
      <c r="W318" s="19">
        <f>SUM(V306:V316)</f>
        <v>0</v>
      </c>
      <c r="X318" s="19"/>
      <c r="Y318" s="19"/>
      <c r="Z318" s="19"/>
      <c r="AA318" s="62"/>
      <c r="AB318" s="19">
        <v>11600000</v>
      </c>
      <c r="AC318" s="14"/>
      <c r="AF318" s="29"/>
      <c r="AG318" s="301"/>
      <c r="AH318" s="29"/>
    </row>
    <row r="319" spans="1:34" ht="14.25" customHeight="1">
      <c r="B319" s="2"/>
      <c r="C319" s="11"/>
      <c r="D319" s="11" t="s">
        <v>35</v>
      </c>
      <c r="E319" s="2"/>
      <c r="I319" s="18"/>
      <c r="J319" s="19"/>
      <c r="K319" s="19"/>
      <c r="R319" s="19"/>
      <c r="S319" s="19"/>
      <c r="T319" s="19"/>
      <c r="U319" s="19"/>
      <c r="V319" s="19"/>
      <c r="W319" s="19"/>
      <c r="X319" s="19"/>
      <c r="Y319" s="19"/>
      <c r="Z319" s="19"/>
      <c r="AA319" s="62"/>
      <c r="AB319" s="19"/>
      <c r="AC319" s="14"/>
      <c r="AG319" s="300"/>
    </row>
    <row r="320" spans="1:34" ht="14.25" customHeight="1">
      <c r="A320" t="s">
        <v>928</v>
      </c>
      <c r="B320" s="2"/>
      <c r="C320" s="11"/>
      <c r="D320" s="11" t="s">
        <v>35</v>
      </c>
      <c r="E320" s="2"/>
      <c r="H320" s="6" t="s">
        <v>223</v>
      </c>
      <c r="J320" s="10"/>
      <c r="K320" s="10"/>
      <c r="L320" s="32"/>
      <c r="V320" s="10"/>
      <c r="X320" s="10"/>
      <c r="Y320" s="10"/>
      <c r="Z320" s="10"/>
      <c r="AA320" s="61"/>
      <c r="AB320" s="19"/>
      <c r="AC320" s="14"/>
      <c r="AG320" s="300"/>
    </row>
    <row r="321" spans="1:34" ht="14.25" customHeight="1">
      <c r="B321" s="2"/>
      <c r="C321" s="11"/>
      <c r="D321" s="11" t="s">
        <v>35</v>
      </c>
      <c r="E321" s="2"/>
      <c r="H321" s="6"/>
      <c r="I321" s="24"/>
      <c r="J321" s="10"/>
      <c r="K321" s="10"/>
      <c r="U321" s="10"/>
      <c r="V321" s="10"/>
      <c r="W321" s="10"/>
      <c r="X321" s="10"/>
      <c r="Y321" s="10"/>
      <c r="Z321" s="10"/>
      <c r="AA321" s="61"/>
      <c r="AB321" s="19"/>
      <c r="AC321" s="14"/>
      <c r="AG321" s="300"/>
    </row>
    <row r="322" spans="1:34" ht="24" customHeight="1">
      <c r="A322" s="370" t="s">
        <v>471</v>
      </c>
      <c r="B322" s="371"/>
      <c r="C322" s="372" t="s">
        <v>97</v>
      </c>
      <c r="D322" s="372" t="s">
        <v>35</v>
      </c>
      <c r="E322" s="371">
        <v>550500</v>
      </c>
      <c r="F322" s="373" t="s">
        <v>223</v>
      </c>
      <c r="G322" s="373" t="s">
        <v>224</v>
      </c>
      <c r="H322" s="374" t="s">
        <v>225</v>
      </c>
      <c r="I322" s="375">
        <v>2520</v>
      </c>
      <c r="J322" s="376" t="str">
        <f>H322</f>
        <v>Bar</v>
      </c>
      <c r="K322" s="376">
        <v>2500</v>
      </c>
      <c r="L322" s="373" t="s">
        <v>226</v>
      </c>
      <c r="M322" s="384">
        <v>43571</v>
      </c>
      <c r="N322" s="377">
        <v>47223</v>
      </c>
      <c r="O322" s="378"/>
      <c r="P322" s="377">
        <v>45398</v>
      </c>
      <c r="Q322" s="378"/>
      <c r="R322" s="376">
        <v>82500</v>
      </c>
      <c r="S322" s="376">
        <f>Q322</f>
        <v>0</v>
      </c>
      <c r="T322" s="378"/>
      <c r="U322" s="376">
        <v>70000</v>
      </c>
      <c r="V322" s="376">
        <f>T322</f>
        <v>0</v>
      </c>
      <c r="W322" s="376">
        <v>70000</v>
      </c>
      <c r="X322" s="376">
        <f>V322</f>
        <v>0</v>
      </c>
      <c r="Y322" s="379" t="e">
        <f>T322/H322</f>
        <v>#VALUE!</v>
      </c>
      <c r="Z322" s="376" t="s">
        <v>58</v>
      </c>
      <c r="AA322" s="380"/>
      <c r="AB322" s="394"/>
      <c r="AC322" s="374" t="s">
        <v>40</v>
      </c>
      <c r="AD322" s="378"/>
      <c r="AE322" s="378"/>
      <c r="AF322" s="378"/>
      <c r="AG322" s="383"/>
      <c r="AH322" s="378"/>
    </row>
    <row r="323" spans="1:34" ht="24" customHeight="1">
      <c r="A323" s="378" t="s">
        <v>471</v>
      </c>
      <c r="B323" s="371"/>
      <c r="C323" s="372" t="s">
        <v>97</v>
      </c>
      <c r="D323" s="372" t="s">
        <v>35</v>
      </c>
      <c r="E323" s="371">
        <v>550500</v>
      </c>
      <c r="F323" s="373" t="s">
        <v>223</v>
      </c>
      <c r="G323" s="373" t="s">
        <v>667</v>
      </c>
      <c r="H323" s="374" t="s">
        <v>37</v>
      </c>
      <c r="I323" s="375">
        <v>2186</v>
      </c>
      <c r="J323" s="376" t="str">
        <f>H323</f>
        <v>Office</v>
      </c>
      <c r="K323" s="376">
        <v>2000</v>
      </c>
      <c r="L323" s="373" t="s">
        <v>436</v>
      </c>
      <c r="M323" s="384">
        <v>43398</v>
      </c>
      <c r="N323" s="377">
        <v>47050</v>
      </c>
      <c r="O323" s="378"/>
      <c r="P323" s="377">
        <v>45955</v>
      </c>
      <c r="Q323" s="377">
        <v>45954</v>
      </c>
      <c r="R323" s="376">
        <v>101200</v>
      </c>
      <c r="S323" s="376">
        <f>Q323</f>
        <v>45954</v>
      </c>
      <c r="T323" s="378"/>
      <c r="U323" s="376">
        <v>117100</v>
      </c>
      <c r="V323" s="376">
        <f>T323</f>
        <v>0</v>
      </c>
      <c r="W323" s="376">
        <v>117100</v>
      </c>
      <c r="X323" s="376">
        <f>V323</f>
        <v>0</v>
      </c>
      <c r="Y323" s="379" t="e">
        <f>T323/H323</f>
        <v>#VALUE!</v>
      </c>
      <c r="Z323" s="376" t="s">
        <v>76</v>
      </c>
      <c r="AA323" s="380"/>
      <c r="AB323" s="394"/>
      <c r="AC323" s="374" t="s">
        <v>40</v>
      </c>
      <c r="AD323" s="373" t="s">
        <v>668</v>
      </c>
      <c r="AE323" s="378"/>
      <c r="AF323" s="378"/>
      <c r="AG323" s="383"/>
      <c r="AH323" s="378"/>
    </row>
    <row r="324" spans="1:34" ht="14.25" customHeight="1">
      <c r="B324" s="2"/>
      <c r="C324" s="11"/>
      <c r="D324" s="11" t="s">
        <v>35</v>
      </c>
      <c r="E324" s="2"/>
      <c r="J324" s="10"/>
      <c r="K324" s="10"/>
      <c r="U324" s="10"/>
      <c r="V324" s="10"/>
      <c r="W324" s="10"/>
      <c r="X324" s="10"/>
      <c r="Y324" s="10"/>
      <c r="Z324" s="10"/>
      <c r="AA324" s="61"/>
      <c r="AB324" s="19"/>
      <c r="AC324" s="14"/>
      <c r="AG324" s="300"/>
    </row>
    <row r="325" spans="1:34" ht="14.25" customHeight="1">
      <c r="B325" s="2"/>
      <c r="C325" s="11"/>
      <c r="D325" s="11" t="s">
        <v>35</v>
      </c>
      <c r="E325" s="2"/>
      <c r="G325" s="92" t="s">
        <v>223</v>
      </c>
      <c r="I325" s="18">
        <f>SUM(H322:H323)</f>
        <v>0</v>
      </c>
      <c r="J325" s="19"/>
      <c r="K325" s="19"/>
      <c r="R325" s="19">
        <f>SUM(Q322:Q323)</f>
        <v>45954</v>
      </c>
      <c r="S325" s="19"/>
      <c r="T325" s="19">
        <f>SUM(R321:R324)</f>
        <v>183700</v>
      </c>
      <c r="U325" s="19">
        <f>SUM(T322:T323)</f>
        <v>0</v>
      </c>
      <c r="V325" s="19"/>
      <c r="W325" s="19">
        <f>SUM(V322:V323)</f>
        <v>0</v>
      </c>
      <c r="X325" s="19"/>
      <c r="Y325" s="19"/>
      <c r="Z325" s="19"/>
      <c r="AA325" s="62"/>
      <c r="AB325" s="19">
        <v>3075000</v>
      </c>
      <c r="AC325" s="14"/>
      <c r="AF325" s="29"/>
      <c r="AG325" s="301"/>
      <c r="AH325" s="29"/>
    </row>
    <row r="326" spans="1:34" ht="14.25" customHeight="1">
      <c r="B326" s="2"/>
      <c r="C326" s="11"/>
      <c r="D326" s="11" t="s">
        <v>35</v>
      </c>
      <c r="E326" s="2"/>
      <c r="J326" s="10"/>
      <c r="K326" s="10"/>
      <c r="U326" s="10"/>
      <c r="V326" s="10"/>
      <c r="W326" s="10"/>
      <c r="X326" s="10"/>
      <c r="Y326" s="10"/>
      <c r="Z326" s="10"/>
      <c r="AA326" s="61"/>
      <c r="AB326" s="19"/>
      <c r="AC326" s="14"/>
      <c r="AG326" s="300"/>
    </row>
    <row r="327" spans="1:34" ht="14.25" customHeight="1">
      <c r="A327" t="s">
        <v>928</v>
      </c>
      <c r="B327" s="2"/>
      <c r="C327" s="11"/>
      <c r="D327" s="11" t="s">
        <v>35</v>
      </c>
      <c r="E327" s="2"/>
      <c r="H327" s="6" t="s">
        <v>227</v>
      </c>
      <c r="J327" s="10"/>
      <c r="K327" s="10"/>
      <c r="L327" s="32"/>
      <c r="V327" s="10"/>
      <c r="X327" s="10"/>
      <c r="Y327" s="10"/>
      <c r="Z327" s="10"/>
      <c r="AA327" s="61"/>
      <c r="AB327" s="19"/>
      <c r="AC327" s="14"/>
      <c r="AG327" s="300"/>
    </row>
    <row r="328" spans="1:34" ht="14.25" customHeight="1">
      <c r="B328" s="2"/>
      <c r="C328" s="11"/>
      <c r="D328" s="11" t="s">
        <v>35</v>
      </c>
      <c r="E328" s="2"/>
      <c r="H328" s="6"/>
      <c r="I328" s="24"/>
      <c r="J328" s="10"/>
      <c r="K328" s="10"/>
      <c r="L328" s="132"/>
      <c r="M328" s="21"/>
      <c r="N328" s="21"/>
      <c r="O328" s="21"/>
      <c r="U328" s="10"/>
      <c r="V328" s="10"/>
      <c r="W328" s="10"/>
      <c r="X328" s="10"/>
      <c r="Y328" s="10"/>
      <c r="Z328" s="10"/>
      <c r="AA328" s="61"/>
      <c r="AB328" s="19"/>
      <c r="AC328" s="14"/>
      <c r="AG328" s="300"/>
    </row>
    <row r="329" spans="1:34" ht="29.25" customHeight="1">
      <c r="A329" s="370" t="s">
        <v>471</v>
      </c>
      <c r="B329" s="371"/>
      <c r="C329" s="372" t="s">
        <v>97</v>
      </c>
      <c r="D329" s="372" t="s">
        <v>35</v>
      </c>
      <c r="E329" s="371">
        <v>550310</v>
      </c>
      <c r="F329" s="373" t="s">
        <v>227</v>
      </c>
      <c r="G329" s="373" t="s">
        <v>228</v>
      </c>
      <c r="H329" s="374" t="s">
        <v>83</v>
      </c>
      <c r="I329" s="375">
        <v>4430</v>
      </c>
      <c r="J329" s="376" t="str">
        <f>H329</f>
        <v>Restaurant</v>
      </c>
      <c r="K329" s="376">
        <v>4500</v>
      </c>
      <c r="L329" s="373" t="s">
        <v>229</v>
      </c>
      <c r="M329" s="384">
        <v>41585</v>
      </c>
      <c r="N329" s="377">
        <v>47063</v>
      </c>
      <c r="O329" s="378"/>
      <c r="P329" s="377">
        <v>45237</v>
      </c>
      <c r="Q329" s="378"/>
      <c r="R329" s="376">
        <v>170000</v>
      </c>
      <c r="S329" s="376">
        <f>Q329</f>
        <v>0</v>
      </c>
      <c r="T329" s="378"/>
      <c r="U329" s="376">
        <v>146900</v>
      </c>
      <c r="V329" s="376">
        <f>T329</f>
        <v>0</v>
      </c>
      <c r="W329" s="376">
        <v>152100</v>
      </c>
      <c r="X329" s="376">
        <f>V329</f>
        <v>0</v>
      </c>
      <c r="Y329" s="379" t="e">
        <f>T329/H329</f>
        <v>#VALUE!</v>
      </c>
      <c r="Z329" s="376" t="s">
        <v>58</v>
      </c>
      <c r="AA329" s="380"/>
      <c r="AB329" s="394"/>
      <c r="AC329" s="374" t="s">
        <v>40</v>
      </c>
      <c r="AD329" s="373" t="s">
        <v>230</v>
      </c>
      <c r="AE329" s="378"/>
      <c r="AF329" s="378"/>
      <c r="AG329" s="383"/>
      <c r="AH329" s="378"/>
    </row>
    <row r="330" spans="1:34" ht="28.5" customHeight="1">
      <c r="A330" s="378" t="s">
        <v>471</v>
      </c>
      <c r="B330" s="371"/>
      <c r="C330" s="372" t="s">
        <v>97</v>
      </c>
      <c r="D330" s="372" t="s">
        <v>35</v>
      </c>
      <c r="E330" s="371">
        <v>550310</v>
      </c>
      <c r="F330" s="373" t="s">
        <v>227</v>
      </c>
      <c r="G330" s="373" t="s">
        <v>379</v>
      </c>
      <c r="H330" s="374" t="s">
        <v>37</v>
      </c>
      <c r="I330" s="375">
        <v>10421</v>
      </c>
      <c r="J330" s="376" t="str">
        <f>H330</f>
        <v>Office</v>
      </c>
      <c r="K330" s="376">
        <v>10500</v>
      </c>
      <c r="L330" s="391" t="s">
        <v>669</v>
      </c>
      <c r="M330" s="384">
        <v>44552</v>
      </c>
      <c r="N330" s="377">
        <v>46377</v>
      </c>
      <c r="O330" s="378"/>
      <c r="P330" s="378"/>
      <c r="Q330" s="378"/>
      <c r="R330" s="376">
        <v>573565</v>
      </c>
      <c r="S330" s="376">
        <f>Q330</f>
        <v>0</v>
      </c>
      <c r="T330" s="378"/>
      <c r="U330" s="376">
        <v>572700</v>
      </c>
      <c r="V330" s="376">
        <f>T330</f>
        <v>0</v>
      </c>
      <c r="W330" s="376">
        <v>589700</v>
      </c>
      <c r="X330" s="376">
        <f>V330</f>
        <v>0</v>
      </c>
      <c r="Y330" s="376"/>
      <c r="Z330" s="376" t="s">
        <v>39</v>
      </c>
      <c r="AA330" s="380"/>
      <c r="AB330" s="394"/>
      <c r="AC330" s="374" t="s">
        <v>40</v>
      </c>
      <c r="AD330" s="373" t="s">
        <v>218</v>
      </c>
      <c r="AE330" s="378"/>
      <c r="AF330" s="378"/>
      <c r="AG330" s="383"/>
      <c r="AH330" s="378"/>
    </row>
    <row r="331" spans="1:34" ht="14.25" customHeight="1">
      <c r="B331" s="2"/>
      <c r="C331" s="11"/>
      <c r="D331" s="11" t="s">
        <v>35</v>
      </c>
      <c r="E331" s="2"/>
      <c r="J331" s="10"/>
      <c r="K331" s="10"/>
      <c r="U331" s="10"/>
      <c r="V331" s="10"/>
      <c r="W331" s="10"/>
      <c r="X331" s="10"/>
      <c r="Y331" s="10"/>
      <c r="Z331" s="10"/>
      <c r="AA331" s="61"/>
      <c r="AB331" s="19"/>
      <c r="AC331" s="14"/>
      <c r="AG331" s="300"/>
    </row>
    <row r="332" spans="1:34" ht="14.25" customHeight="1">
      <c r="B332" s="2"/>
      <c r="C332" s="11"/>
      <c r="D332" s="11" t="s">
        <v>35</v>
      </c>
      <c r="E332" s="2"/>
      <c r="G332" s="92" t="s">
        <v>670</v>
      </c>
      <c r="I332" s="18">
        <f>SUM(H329:H330)</f>
        <v>0</v>
      </c>
      <c r="J332" s="19"/>
      <c r="K332" s="19"/>
      <c r="R332" s="19">
        <f>SUM(Q329:Q330)</f>
        <v>0</v>
      </c>
      <c r="S332" s="19"/>
      <c r="T332" s="19">
        <f>SUM(R327:R331)</f>
        <v>743565</v>
      </c>
      <c r="U332" s="19">
        <f>SUM(T329:T330)</f>
        <v>0</v>
      </c>
      <c r="V332" s="19"/>
      <c r="W332" s="19">
        <f>SUM(V329:V330)</f>
        <v>0</v>
      </c>
      <c r="X332" s="19"/>
      <c r="Y332" s="19"/>
      <c r="Z332" s="19"/>
      <c r="AA332" s="62"/>
      <c r="AB332" s="19">
        <v>12075000</v>
      </c>
      <c r="AC332" s="14"/>
      <c r="AF332" s="29"/>
      <c r="AG332" s="301"/>
      <c r="AH332" s="29"/>
    </row>
    <row r="333" spans="1:34" ht="14.25" customHeight="1">
      <c r="B333" s="2"/>
      <c r="C333" s="11"/>
      <c r="D333" s="11" t="s">
        <v>35</v>
      </c>
      <c r="E333" s="2"/>
      <c r="G333" s="92"/>
      <c r="I333" s="18"/>
      <c r="J333" s="19"/>
      <c r="K333" s="19"/>
      <c r="R333" s="19"/>
      <c r="S333" s="19"/>
      <c r="T333" s="19"/>
      <c r="U333" s="19"/>
      <c r="V333" s="19"/>
      <c r="W333" s="19"/>
      <c r="X333" s="19"/>
      <c r="Y333" s="19"/>
      <c r="Z333" s="19"/>
      <c r="AA333" s="62"/>
      <c r="AB333" s="54"/>
      <c r="AC333" s="14"/>
      <c r="AG333" s="300"/>
    </row>
    <row r="334" spans="1:34" ht="14.25" customHeight="1">
      <c r="A334" t="s">
        <v>928</v>
      </c>
      <c r="B334" s="2"/>
      <c r="C334" s="11"/>
      <c r="D334" s="11" t="s">
        <v>35</v>
      </c>
      <c r="E334" s="2"/>
      <c r="G334" s="92"/>
      <c r="H334" s="6" t="s">
        <v>231</v>
      </c>
      <c r="I334" s="18"/>
      <c r="J334" s="19"/>
      <c r="K334" s="19"/>
      <c r="R334" s="19"/>
      <c r="S334" s="19"/>
      <c r="T334" s="19"/>
      <c r="U334" s="19"/>
      <c r="V334" s="19"/>
      <c r="W334" s="19"/>
      <c r="X334" s="19"/>
      <c r="Y334" s="19"/>
      <c r="Z334" s="19"/>
      <c r="AA334" s="62"/>
      <c r="AB334" s="54"/>
      <c r="AC334" s="14"/>
      <c r="AG334" s="300"/>
    </row>
    <row r="335" spans="1:34" ht="14.25" customHeight="1">
      <c r="B335" s="2"/>
      <c r="C335" s="11"/>
      <c r="D335" s="11" t="s">
        <v>35</v>
      </c>
      <c r="E335" s="2"/>
      <c r="G335" s="92"/>
      <c r="I335" s="18"/>
      <c r="J335" s="19"/>
      <c r="K335" s="19"/>
      <c r="R335" s="19"/>
      <c r="S335" s="19"/>
      <c r="T335" s="19"/>
      <c r="U335" s="19"/>
      <c r="V335" s="19"/>
      <c r="W335" s="19"/>
      <c r="X335" s="19"/>
      <c r="Y335" s="19"/>
      <c r="Z335" s="19"/>
      <c r="AA335" s="62"/>
      <c r="AB335" s="54"/>
      <c r="AC335" s="14"/>
      <c r="AG335" s="300"/>
    </row>
    <row r="336" spans="1:34" ht="36">
      <c r="A336" s="370" t="s">
        <v>471</v>
      </c>
      <c r="B336" s="371"/>
      <c r="C336" s="372" t="s">
        <v>97</v>
      </c>
      <c r="D336" s="372" t="s">
        <v>35</v>
      </c>
      <c r="E336" s="371">
        <v>551010</v>
      </c>
      <c r="F336" s="405" t="s">
        <v>231</v>
      </c>
      <c r="G336" s="373" t="s">
        <v>232</v>
      </c>
      <c r="H336" s="374" t="s">
        <v>233</v>
      </c>
      <c r="I336" s="375">
        <v>747</v>
      </c>
      <c r="J336" s="376" t="str">
        <f>H336</f>
        <v>Showroom / Office</v>
      </c>
      <c r="K336" s="376">
        <v>750</v>
      </c>
      <c r="L336" s="373" t="s">
        <v>234</v>
      </c>
      <c r="M336" s="384">
        <v>44724</v>
      </c>
      <c r="N336" s="378"/>
      <c r="O336" s="378"/>
      <c r="P336" s="378"/>
      <c r="Q336" s="378"/>
      <c r="R336" s="376">
        <v>45000</v>
      </c>
      <c r="S336" s="376">
        <f>Q336</f>
        <v>0</v>
      </c>
      <c r="T336" s="378"/>
      <c r="U336" s="376">
        <v>41700</v>
      </c>
      <c r="V336" s="376">
        <f>T336</f>
        <v>0</v>
      </c>
      <c r="W336" s="376">
        <v>45000</v>
      </c>
      <c r="X336" s="376">
        <f>V336</f>
        <v>0</v>
      </c>
      <c r="Y336" s="379" t="e">
        <f>T336/H336</f>
        <v>#VALUE!</v>
      </c>
      <c r="Z336" s="376" t="s">
        <v>76</v>
      </c>
      <c r="AA336" s="380"/>
      <c r="AB336" s="381"/>
      <c r="AC336" s="374" t="s">
        <v>40</v>
      </c>
      <c r="AD336" s="373" t="s">
        <v>235</v>
      </c>
      <c r="AE336" s="378"/>
      <c r="AF336" s="378"/>
      <c r="AG336" s="383"/>
      <c r="AH336" s="378"/>
    </row>
    <row r="337" spans="1:34" ht="14.25" customHeight="1">
      <c r="A337" s="378" t="s">
        <v>471</v>
      </c>
      <c r="B337" s="371"/>
      <c r="C337" s="372" t="s">
        <v>97</v>
      </c>
      <c r="D337" s="372" t="s">
        <v>35</v>
      </c>
      <c r="E337" s="371">
        <v>551010</v>
      </c>
      <c r="F337" s="405" t="s">
        <v>231</v>
      </c>
      <c r="G337" s="373" t="s">
        <v>494</v>
      </c>
      <c r="H337" s="374" t="s">
        <v>37</v>
      </c>
      <c r="I337" s="375">
        <v>452</v>
      </c>
      <c r="J337" s="376" t="str">
        <f>H337</f>
        <v>Office</v>
      </c>
      <c r="K337" s="376">
        <v>500</v>
      </c>
      <c r="L337" s="373" t="s">
        <v>68</v>
      </c>
      <c r="M337" s="378"/>
      <c r="N337" s="378"/>
      <c r="O337" s="377">
        <v>43466</v>
      </c>
      <c r="P337" s="378"/>
      <c r="Q337" s="378"/>
      <c r="R337" s="376">
        <v>0</v>
      </c>
      <c r="S337" s="376">
        <f>Q337</f>
        <v>0</v>
      </c>
      <c r="T337" s="378"/>
      <c r="U337" s="376">
        <v>24900</v>
      </c>
      <c r="V337" s="376">
        <f>T337</f>
        <v>0</v>
      </c>
      <c r="W337" s="376">
        <v>24900</v>
      </c>
      <c r="X337" s="376">
        <f>V337</f>
        <v>0</v>
      </c>
      <c r="Y337" s="376"/>
      <c r="Z337" s="376" t="s">
        <v>76</v>
      </c>
      <c r="AA337" s="380"/>
      <c r="AB337" s="381"/>
      <c r="AC337" s="374" t="s">
        <v>40</v>
      </c>
      <c r="AD337" s="373" t="s">
        <v>510</v>
      </c>
      <c r="AE337" s="378"/>
      <c r="AF337" s="378"/>
      <c r="AG337" s="383"/>
      <c r="AH337" s="378"/>
    </row>
    <row r="338" spans="1:34" ht="14.25" customHeight="1">
      <c r="A338" s="378" t="s">
        <v>471</v>
      </c>
      <c r="B338" s="371"/>
      <c r="C338" s="372" t="s">
        <v>97</v>
      </c>
      <c r="D338" s="372" t="s">
        <v>35</v>
      </c>
      <c r="E338" s="371">
        <v>551010</v>
      </c>
      <c r="F338" s="405" t="s">
        <v>231</v>
      </c>
      <c r="G338" s="373" t="s">
        <v>671</v>
      </c>
      <c r="H338" s="374" t="s">
        <v>37</v>
      </c>
      <c r="I338" s="375">
        <v>437</v>
      </c>
      <c r="J338" s="376" t="str">
        <f>H338</f>
        <v>Office</v>
      </c>
      <c r="K338" s="376">
        <v>500</v>
      </c>
      <c r="L338" s="373" t="s">
        <v>68</v>
      </c>
      <c r="M338" s="378"/>
      <c r="N338" s="378"/>
      <c r="O338" s="377">
        <v>43466</v>
      </c>
      <c r="P338" s="378"/>
      <c r="Q338" s="378"/>
      <c r="R338" s="376">
        <v>0</v>
      </c>
      <c r="S338" s="376">
        <f>Q338</f>
        <v>0</v>
      </c>
      <c r="T338" s="378"/>
      <c r="U338" s="376">
        <v>24000</v>
      </c>
      <c r="V338" s="376">
        <f>T338</f>
        <v>0</v>
      </c>
      <c r="W338" s="376">
        <v>24000</v>
      </c>
      <c r="X338" s="376">
        <f>V338</f>
        <v>0</v>
      </c>
      <c r="Y338" s="376"/>
      <c r="Z338" s="376" t="s">
        <v>76</v>
      </c>
      <c r="AA338" s="380"/>
      <c r="AB338" s="381"/>
      <c r="AC338" s="374" t="s">
        <v>40</v>
      </c>
      <c r="AD338" s="373" t="s">
        <v>510</v>
      </c>
      <c r="AE338" s="378"/>
      <c r="AF338" s="378"/>
      <c r="AG338" s="383"/>
      <c r="AH338" s="378"/>
    </row>
    <row r="339" spans="1:34" ht="36">
      <c r="A339" s="378" t="s">
        <v>471</v>
      </c>
      <c r="B339" s="371"/>
      <c r="C339" s="372" t="s">
        <v>97</v>
      </c>
      <c r="D339" s="372" t="s">
        <v>35</v>
      </c>
      <c r="E339" s="371">
        <v>551010</v>
      </c>
      <c r="F339" s="405" t="s">
        <v>231</v>
      </c>
      <c r="G339" s="373" t="s">
        <v>498</v>
      </c>
      <c r="H339" s="374" t="s">
        <v>37</v>
      </c>
      <c r="I339" s="375">
        <v>350</v>
      </c>
      <c r="J339" s="376" t="str">
        <f>H339</f>
        <v>Office</v>
      </c>
      <c r="K339" s="376">
        <v>500</v>
      </c>
      <c r="L339" s="373" t="s">
        <v>672</v>
      </c>
      <c r="M339" s="384">
        <v>44724</v>
      </c>
      <c r="N339" s="378"/>
      <c r="O339" s="378"/>
      <c r="P339" s="378"/>
      <c r="Q339" s="378"/>
      <c r="R339" s="376">
        <v>21060</v>
      </c>
      <c r="S339" s="376">
        <f>Q339</f>
        <v>0</v>
      </c>
      <c r="T339" s="378"/>
      <c r="U339" s="376">
        <v>19300</v>
      </c>
      <c r="V339" s="376">
        <f>T339</f>
        <v>0</v>
      </c>
      <c r="W339" s="376">
        <v>19300</v>
      </c>
      <c r="X339" s="376">
        <f>V339</f>
        <v>0</v>
      </c>
      <c r="Y339" s="376"/>
      <c r="Z339" s="376" t="s">
        <v>76</v>
      </c>
      <c r="AA339" s="380"/>
      <c r="AB339" s="381"/>
      <c r="AC339" s="374" t="s">
        <v>40</v>
      </c>
      <c r="AD339" s="373" t="s">
        <v>235</v>
      </c>
      <c r="AE339" s="378"/>
      <c r="AF339" s="378"/>
      <c r="AG339" s="383"/>
      <c r="AH339" s="378"/>
    </row>
    <row r="340" spans="1:34" ht="14.25" customHeight="1">
      <c r="B340" s="2"/>
      <c r="C340" s="11"/>
      <c r="D340" s="11" t="s">
        <v>35</v>
      </c>
      <c r="E340" s="2"/>
      <c r="G340" s="34"/>
      <c r="J340" s="10"/>
      <c r="K340" s="10"/>
      <c r="U340" s="10"/>
      <c r="V340" s="10"/>
      <c r="W340" s="10"/>
      <c r="X340" s="10"/>
      <c r="Y340" s="10"/>
      <c r="Z340" s="10"/>
      <c r="AA340" s="61"/>
      <c r="AC340" s="14"/>
      <c r="AG340" s="300"/>
    </row>
    <row r="341" spans="1:34" ht="14.25" customHeight="1">
      <c r="B341" s="2"/>
      <c r="C341" s="11"/>
      <c r="D341" s="11" t="s">
        <v>35</v>
      </c>
      <c r="E341" s="2"/>
      <c r="G341" s="34"/>
      <c r="I341" s="18">
        <f>SUM(H336:H339)</f>
        <v>0</v>
      </c>
      <c r="J341" s="10"/>
      <c r="K341" s="10"/>
      <c r="R341" s="19">
        <f>SUM(Q336:Q339)</f>
        <v>0</v>
      </c>
      <c r="S341" s="19"/>
      <c r="T341" s="19">
        <f>SUM(R336:R339)</f>
        <v>66060</v>
      </c>
      <c r="U341" s="19">
        <f>SUM(T336:T339)</f>
        <v>0</v>
      </c>
      <c r="V341" s="10"/>
      <c r="W341" s="19">
        <f>SUM(V336:V339)</f>
        <v>0</v>
      </c>
      <c r="X341" s="10"/>
      <c r="Y341" s="10"/>
      <c r="Z341" s="10"/>
      <c r="AA341" s="61"/>
      <c r="AB341" s="18">
        <v>1425000</v>
      </c>
      <c r="AC341" s="14"/>
      <c r="AG341" s="300"/>
    </row>
    <row r="342" spans="1:34" ht="14.25" customHeight="1">
      <c r="B342" s="2"/>
      <c r="C342" s="11"/>
      <c r="D342" s="11" t="s">
        <v>35</v>
      </c>
      <c r="E342" s="2"/>
      <c r="G342" s="34"/>
      <c r="H342" s="41"/>
      <c r="J342" s="10"/>
      <c r="K342" s="10"/>
      <c r="U342" s="10"/>
      <c r="V342" s="10"/>
      <c r="W342" s="10"/>
      <c r="X342" s="10"/>
      <c r="Y342" s="10"/>
      <c r="Z342" s="10"/>
      <c r="AA342" s="61"/>
      <c r="AB342" s="18"/>
      <c r="AC342" s="14"/>
      <c r="AG342" s="300"/>
    </row>
    <row r="343" spans="1:34" ht="14.25" customHeight="1">
      <c r="B343" s="2"/>
      <c r="C343" s="11"/>
      <c r="D343" s="11" t="s">
        <v>35</v>
      </c>
      <c r="E343" s="2"/>
      <c r="G343" s="92"/>
      <c r="I343" s="18"/>
      <c r="J343" s="19"/>
      <c r="K343" s="19"/>
      <c r="R343" s="19"/>
      <c r="S343" s="19"/>
      <c r="T343" s="19"/>
      <c r="U343" s="19"/>
      <c r="V343" s="19"/>
      <c r="W343" s="19"/>
      <c r="X343" s="19"/>
      <c r="Y343" s="19"/>
      <c r="Z343" s="19"/>
      <c r="AA343" s="62"/>
      <c r="AB343" s="18"/>
      <c r="AC343" s="14"/>
      <c r="AG343" s="300"/>
    </row>
    <row r="344" spans="1:34" ht="14.25" customHeight="1">
      <c r="B344" s="2"/>
      <c r="C344" s="11"/>
      <c r="D344" s="11" t="s">
        <v>35</v>
      </c>
      <c r="E344" s="2"/>
      <c r="I344" s="18"/>
      <c r="J344" s="19"/>
      <c r="K344" s="19"/>
      <c r="R344" s="19"/>
      <c r="S344" s="19"/>
      <c r="T344" s="19"/>
      <c r="U344" s="19"/>
      <c r="V344" s="19"/>
      <c r="W344" s="19"/>
      <c r="X344" s="19"/>
      <c r="Y344" s="19"/>
      <c r="Z344" s="19"/>
      <c r="AA344" s="62"/>
      <c r="AB344" s="18"/>
      <c r="AC344" s="14"/>
      <c r="AG344" s="300"/>
    </row>
    <row r="345" spans="1:34" ht="14.25" customHeight="1">
      <c r="A345" t="s">
        <v>928</v>
      </c>
      <c r="B345" s="2"/>
      <c r="C345" s="11"/>
      <c r="D345" s="11" t="s">
        <v>35</v>
      </c>
      <c r="E345" s="2"/>
      <c r="H345" s="6" t="s">
        <v>236</v>
      </c>
      <c r="J345" s="10"/>
      <c r="K345" s="10"/>
      <c r="L345" s="32"/>
      <c r="V345" s="10"/>
      <c r="X345" s="10"/>
      <c r="Y345" s="10"/>
      <c r="Z345" s="10"/>
      <c r="AA345" s="61"/>
      <c r="AB345" s="18"/>
      <c r="AC345" s="14"/>
      <c r="AG345" s="300"/>
    </row>
    <row r="346" spans="1:34" ht="14.25" customHeight="1">
      <c r="B346" s="2"/>
      <c r="C346" s="11"/>
      <c r="D346" s="11" t="s">
        <v>35</v>
      </c>
      <c r="E346" s="2"/>
      <c r="H346" s="5"/>
      <c r="I346" s="26"/>
      <c r="J346" s="19"/>
      <c r="K346" s="19"/>
      <c r="L346" s="26"/>
      <c r="R346" s="19"/>
      <c r="S346" s="19"/>
      <c r="T346" s="19"/>
      <c r="U346" s="19"/>
      <c r="V346" s="19"/>
      <c r="W346" s="19"/>
      <c r="X346" s="19"/>
      <c r="Y346" s="19"/>
      <c r="Z346" s="19"/>
      <c r="AA346" s="62"/>
      <c r="AB346" s="18"/>
      <c r="AC346" s="14"/>
      <c r="AG346" s="300"/>
    </row>
    <row r="347" spans="1:34" ht="24" customHeight="1">
      <c r="A347" s="370" t="s">
        <v>471</v>
      </c>
      <c r="B347" s="371"/>
      <c r="C347" s="372" t="s">
        <v>34</v>
      </c>
      <c r="D347" s="372" t="s">
        <v>35</v>
      </c>
      <c r="E347" s="371">
        <v>550960</v>
      </c>
      <c r="F347" s="373" t="s">
        <v>236</v>
      </c>
      <c r="G347" s="373" t="s">
        <v>232</v>
      </c>
      <c r="H347" s="374" t="s">
        <v>37</v>
      </c>
      <c r="I347" s="375">
        <v>2820</v>
      </c>
      <c r="J347" s="376" t="str">
        <f>H347</f>
        <v>Office</v>
      </c>
      <c r="K347" s="376">
        <v>3000</v>
      </c>
      <c r="L347" s="373" t="s">
        <v>237</v>
      </c>
      <c r="M347" s="384">
        <v>43794</v>
      </c>
      <c r="N347" s="377">
        <v>47446</v>
      </c>
      <c r="O347" s="378"/>
      <c r="P347" s="377">
        <v>45621</v>
      </c>
      <c r="Q347" s="378"/>
      <c r="R347" s="376">
        <v>124773</v>
      </c>
      <c r="S347" s="376">
        <f>Q347</f>
        <v>0</v>
      </c>
      <c r="T347" s="378"/>
      <c r="U347" s="376">
        <v>126900</v>
      </c>
      <c r="V347" s="376">
        <f>T347</f>
        <v>0</v>
      </c>
      <c r="W347" s="376">
        <v>141000</v>
      </c>
      <c r="X347" s="376">
        <f>V347</f>
        <v>0</v>
      </c>
      <c r="Y347" s="379" t="e">
        <f>T347/H347</f>
        <v>#VALUE!</v>
      </c>
      <c r="Z347" s="376" t="s">
        <v>69</v>
      </c>
      <c r="AA347" s="380"/>
      <c r="AB347" s="409"/>
      <c r="AC347" s="374" t="s">
        <v>40</v>
      </c>
      <c r="AD347" s="373" t="s">
        <v>238</v>
      </c>
      <c r="AE347" s="378"/>
      <c r="AF347" s="378"/>
      <c r="AG347" s="383"/>
      <c r="AH347" s="378"/>
    </row>
    <row r="348" spans="1:34">
      <c r="A348" s="378" t="s">
        <v>471</v>
      </c>
      <c r="B348" s="371"/>
      <c r="C348" s="372" t="s">
        <v>34</v>
      </c>
      <c r="D348" s="372" t="s">
        <v>35</v>
      </c>
      <c r="E348" s="371">
        <v>550960</v>
      </c>
      <c r="F348" s="373" t="s">
        <v>236</v>
      </c>
      <c r="G348" s="373" t="s">
        <v>494</v>
      </c>
      <c r="H348" s="375" t="s">
        <v>37</v>
      </c>
      <c r="I348" s="375">
        <v>1282</v>
      </c>
      <c r="J348" s="376" t="str">
        <f>H348</f>
        <v>Office</v>
      </c>
      <c r="K348" s="376">
        <v>1250</v>
      </c>
      <c r="L348" s="373" t="s">
        <v>68</v>
      </c>
      <c r="M348" s="378"/>
      <c r="N348" s="378"/>
      <c r="O348" s="377">
        <v>44747</v>
      </c>
      <c r="P348" s="378"/>
      <c r="Q348" s="378"/>
      <c r="R348" s="376">
        <v>0</v>
      </c>
      <c r="S348" s="376">
        <f>Q348</f>
        <v>0</v>
      </c>
      <c r="T348" s="378"/>
      <c r="U348" s="376">
        <v>70500</v>
      </c>
      <c r="V348" s="376">
        <f>T348</f>
        <v>0</v>
      </c>
      <c r="W348" s="376">
        <v>70500</v>
      </c>
      <c r="X348" s="376">
        <f>V348</f>
        <v>0</v>
      </c>
      <c r="Y348" s="376"/>
      <c r="Z348" s="376" t="s">
        <v>69</v>
      </c>
      <c r="AA348" s="380"/>
      <c r="AB348" s="409"/>
      <c r="AC348" s="374" t="s">
        <v>40</v>
      </c>
      <c r="AD348" s="373" t="s">
        <v>510</v>
      </c>
      <c r="AE348" s="388">
        <v>67.5</v>
      </c>
      <c r="AF348" s="378"/>
      <c r="AG348" s="383">
        <v>1</v>
      </c>
      <c r="AH348" s="373" t="s">
        <v>160</v>
      </c>
    </row>
    <row r="349" spans="1:34" ht="24" customHeight="1">
      <c r="A349" s="378" t="s">
        <v>471</v>
      </c>
      <c r="B349" s="371"/>
      <c r="C349" s="372" t="s">
        <v>34</v>
      </c>
      <c r="D349" s="372" t="s">
        <v>35</v>
      </c>
      <c r="E349" s="371">
        <v>550960</v>
      </c>
      <c r="F349" s="373" t="s">
        <v>236</v>
      </c>
      <c r="G349" s="373" t="s">
        <v>497</v>
      </c>
      <c r="H349" s="374" t="s">
        <v>37</v>
      </c>
      <c r="I349" s="375">
        <v>1214</v>
      </c>
      <c r="J349" s="376" t="str">
        <f>H349</f>
        <v>Office</v>
      </c>
      <c r="K349" s="376">
        <v>1250</v>
      </c>
      <c r="L349" s="373" t="s">
        <v>673</v>
      </c>
      <c r="M349" s="384">
        <v>44733</v>
      </c>
      <c r="N349" s="377">
        <v>45828</v>
      </c>
      <c r="O349" s="378"/>
      <c r="P349" s="378"/>
      <c r="Q349" s="377">
        <v>45828</v>
      </c>
      <c r="R349" s="376">
        <v>71000</v>
      </c>
      <c r="S349" s="376">
        <f>Q349</f>
        <v>45828</v>
      </c>
      <c r="T349" s="378"/>
      <c r="U349" s="376">
        <v>71000</v>
      </c>
      <c r="V349" s="376">
        <f>T349</f>
        <v>0</v>
      </c>
      <c r="W349" s="376">
        <v>71000</v>
      </c>
      <c r="X349" s="376">
        <f>V349</f>
        <v>0</v>
      </c>
      <c r="Y349" s="376"/>
      <c r="Z349" s="376" t="s">
        <v>69</v>
      </c>
      <c r="AA349" s="380"/>
      <c r="AB349" s="409"/>
      <c r="AC349" s="374" t="s">
        <v>40</v>
      </c>
      <c r="AD349" s="373" t="s">
        <v>674</v>
      </c>
      <c r="AE349" s="378"/>
      <c r="AF349" s="378"/>
      <c r="AG349" s="383"/>
      <c r="AH349" s="378"/>
    </row>
    <row r="350" spans="1:34" ht="24">
      <c r="A350" s="378" t="s">
        <v>471</v>
      </c>
      <c r="B350" s="371"/>
      <c r="C350" s="372" t="s">
        <v>34</v>
      </c>
      <c r="D350" s="372" t="s">
        <v>35</v>
      </c>
      <c r="E350" s="371">
        <v>550960</v>
      </c>
      <c r="F350" s="373" t="s">
        <v>236</v>
      </c>
      <c r="G350" s="373" t="s">
        <v>498</v>
      </c>
      <c r="H350" s="374" t="s">
        <v>37</v>
      </c>
      <c r="I350" s="375">
        <v>1226</v>
      </c>
      <c r="J350" s="376" t="str">
        <f>H350</f>
        <v>Office</v>
      </c>
      <c r="K350" s="376">
        <v>1250</v>
      </c>
      <c r="L350" s="373" t="s">
        <v>675</v>
      </c>
      <c r="M350" s="384">
        <v>44605</v>
      </c>
      <c r="N350" s="377">
        <v>46430</v>
      </c>
      <c r="O350" s="378"/>
      <c r="P350" s="378"/>
      <c r="Q350" s="378"/>
      <c r="R350" s="376">
        <v>63000</v>
      </c>
      <c r="S350" s="376">
        <f>Q350</f>
        <v>0</v>
      </c>
      <c r="T350" s="378"/>
      <c r="U350" s="376">
        <v>63100</v>
      </c>
      <c r="V350" s="376">
        <f>T350</f>
        <v>0</v>
      </c>
      <c r="W350" s="376">
        <v>63100</v>
      </c>
      <c r="X350" s="376">
        <f>V350</f>
        <v>0</v>
      </c>
      <c r="Y350" s="376"/>
      <c r="Z350" s="376" t="s">
        <v>69</v>
      </c>
      <c r="AA350" s="380"/>
      <c r="AB350" s="409"/>
      <c r="AC350" s="374" t="s">
        <v>40</v>
      </c>
      <c r="AD350" s="378"/>
      <c r="AE350" s="378"/>
      <c r="AF350" s="378"/>
      <c r="AG350" s="383"/>
      <c r="AH350" s="378"/>
    </row>
    <row r="351" spans="1:34" ht="14.25" customHeight="1">
      <c r="B351" s="2"/>
      <c r="C351" s="11"/>
      <c r="D351" s="11" t="s">
        <v>35</v>
      </c>
      <c r="E351" s="2"/>
      <c r="J351" s="10"/>
      <c r="K351" s="10"/>
      <c r="U351" s="10"/>
      <c r="V351" s="10"/>
      <c r="W351" s="10"/>
      <c r="X351" s="10"/>
      <c r="Y351" s="10"/>
      <c r="Z351" s="10"/>
      <c r="AA351" s="61"/>
      <c r="AB351" s="18"/>
      <c r="AC351" s="14"/>
      <c r="AG351" s="300"/>
    </row>
    <row r="352" spans="1:34" ht="14.25" customHeight="1">
      <c r="B352" s="2"/>
      <c r="C352" s="11"/>
      <c r="D352" s="11" t="s">
        <v>35</v>
      </c>
      <c r="E352" s="2"/>
      <c r="G352" s="92" t="s">
        <v>236</v>
      </c>
      <c r="I352" s="18">
        <f>SUM(H347:H350)</f>
        <v>0</v>
      </c>
      <c r="J352" s="18"/>
      <c r="K352" s="18"/>
      <c r="R352" s="18">
        <f>SUM(Q347:Q351)</f>
        <v>45828</v>
      </c>
      <c r="S352" s="18"/>
      <c r="T352" s="19">
        <f>SUM(R347:R351)</f>
        <v>258773</v>
      </c>
      <c r="U352" s="18">
        <f>SUM(T347:T351)</f>
        <v>0</v>
      </c>
      <c r="V352" s="18"/>
      <c r="W352" s="18">
        <f>SUM(V347:V351)</f>
        <v>0</v>
      </c>
      <c r="X352" s="18"/>
      <c r="Y352" s="18"/>
      <c r="Z352" s="18"/>
      <c r="AA352" s="64"/>
      <c r="AB352" s="18">
        <v>5075000</v>
      </c>
      <c r="AC352" s="14"/>
      <c r="AG352" s="300"/>
    </row>
    <row r="353" spans="1:34" ht="14.25" customHeight="1">
      <c r="B353" s="2"/>
      <c r="C353" s="11"/>
      <c r="D353" s="11" t="s">
        <v>35</v>
      </c>
      <c r="E353" s="2"/>
      <c r="I353" s="18"/>
      <c r="J353" s="19"/>
      <c r="K353" s="19"/>
      <c r="R353" s="19"/>
      <c r="S353" s="19"/>
      <c r="T353" s="19"/>
      <c r="U353" s="19"/>
      <c r="V353" s="19"/>
      <c r="W353" s="19"/>
      <c r="X353" s="19"/>
      <c r="Y353" s="19"/>
      <c r="Z353" s="19"/>
      <c r="AA353" s="62"/>
      <c r="AB353" s="18"/>
      <c r="AC353" s="14"/>
      <c r="AG353" s="300"/>
    </row>
    <row r="354" spans="1:34" ht="14.25" customHeight="1">
      <c r="A354" t="s">
        <v>928</v>
      </c>
      <c r="B354" s="2"/>
      <c r="C354" s="11"/>
      <c r="D354" s="11" t="s">
        <v>35</v>
      </c>
      <c r="E354" s="2"/>
      <c r="H354" s="6" t="s">
        <v>239</v>
      </c>
      <c r="J354" s="10"/>
      <c r="K354" s="10"/>
      <c r="L354" s="32"/>
      <c r="V354" s="10"/>
      <c r="X354" s="10"/>
      <c r="Y354" s="10"/>
      <c r="Z354" s="10"/>
      <c r="AA354" s="61"/>
      <c r="AB354" s="18"/>
      <c r="AC354" s="14"/>
      <c r="AG354" s="300"/>
    </row>
    <row r="355" spans="1:34" ht="14.25" customHeight="1">
      <c r="B355" s="2"/>
      <c r="C355" s="11"/>
      <c r="D355" s="11" t="s">
        <v>35</v>
      </c>
      <c r="E355" s="2"/>
      <c r="H355" s="6"/>
      <c r="I355" s="24"/>
      <c r="J355" s="10"/>
      <c r="K355" s="10"/>
      <c r="L355" s="20"/>
      <c r="M355" s="21"/>
      <c r="U355" s="10"/>
      <c r="V355" s="10"/>
      <c r="W355" s="10"/>
      <c r="X355" s="10"/>
      <c r="Y355" s="10"/>
      <c r="Z355" s="10"/>
      <c r="AA355" s="61"/>
      <c r="AB355" s="18"/>
      <c r="AC355" s="14"/>
      <c r="AG355" s="300"/>
    </row>
    <row r="356" spans="1:34" ht="28.5" customHeight="1">
      <c r="A356" t="s">
        <v>471</v>
      </c>
      <c r="B356" s="2"/>
      <c r="C356" s="11" t="s">
        <v>34</v>
      </c>
      <c r="D356" s="11" t="s">
        <v>35</v>
      </c>
      <c r="E356" s="2">
        <v>550320</v>
      </c>
      <c r="F356" s="4" t="s">
        <v>240</v>
      </c>
      <c r="G356" s="4" t="s">
        <v>36</v>
      </c>
      <c r="H356" s="14" t="s">
        <v>241</v>
      </c>
      <c r="I356" s="18">
        <v>9776</v>
      </c>
      <c r="J356" s="10" t="str">
        <f>H356</f>
        <v>Office/ Showroom/ Storage</v>
      </c>
      <c r="K356" s="10">
        <v>10000</v>
      </c>
      <c r="L356" s="37" t="s">
        <v>242</v>
      </c>
      <c r="M356" s="8">
        <v>45463</v>
      </c>
      <c r="N356" s="9">
        <v>49114</v>
      </c>
      <c r="P356" s="9">
        <v>47289</v>
      </c>
      <c r="Q356" s="9">
        <v>47288</v>
      </c>
      <c r="R356" s="19">
        <v>715000</v>
      </c>
      <c r="S356" s="19">
        <f>Q356</f>
        <v>47288</v>
      </c>
      <c r="T356" s="19">
        <f>R356</f>
        <v>715000</v>
      </c>
      <c r="U356" s="19">
        <v>715000</v>
      </c>
      <c r="V356" s="10">
        <f>T356</f>
        <v>715000</v>
      </c>
      <c r="W356" s="19">
        <v>715000</v>
      </c>
      <c r="X356" s="10">
        <f>V356</f>
        <v>715000</v>
      </c>
      <c r="Y356" s="299" t="e">
        <f>T356/H356</f>
        <v>#VALUE!</v>
      </c>
      <c r="Z356" s="10" t="s">
        <v>243</v>
      </c>
      <c r="AA356" s="61"/>
      <c r="AB356" s="18">
        <v>12325000</v>
      </c>
      <c r="AC356" s="14" t="s">
        <v>40</v>
      </c>
      <c r="AD356" s="4" t="s">
        <v>130</v>
      </c>
      <c r="AG356" s="300"/>
    </row>
    <row r="357" spans="1:34" ht="14.25" customHeight="1">
      <c r="B357" s="2"/>
      <c r="C357" s="11"/>
      <c r="D357" s="11" t="s">
        <v>35</v>
      </c>
      <c r="E357" s="2"/>
      <c r="J357" s="10"/>
      <c r="K357" s="10"/>
      <c r="U357" s="10"/>
      <c r="V357" s="10"/>
      <c r="W357" s="10"/>
      <c r="X357" s="10"/>
      <c r="Y357" s="10"/>
      <c r="Z357" s="10"/>
      <c r="AA357" s="61"/>
      <c r="AB357" s="18"/>
      <c r="AC357" s="14"/>
      <c r="AG357" s="300"/>
    </row>
    <row r="358" spans="1:34" ht="14.25" customHeight="1">
      <c r="A358" t="s">
        <v>928</v>
      </c>
      <c r="B358" s="2"/>
      <c r="C358" s="11"/>
      <c r="D358" s="11" t="s">
        <v>35</v>
      </c>
      <c r="E358" s="2"/>
      <c r="H358" s="6" t="s">
        <v>244</v>
      </c>
      <c r="J358" s="10"/>
      <c r="K358" s="10"/>
      <c r="L358" s="32"/>
      <c r="V358" s="10"/>
      <c r="X358" s="10"/>
      <c r="Y358" s="10"/>
      <c r="Z358" s="10"/>
      <c r="AA358" s="61"/>
      <c r="AB358" s="18"/>
      <c r="AC358" s="14"/>
      <c r="AG358" s="300"/>
    </row>
    <row r="359" spans="1:34" ht="14.25" customHeight="1">
      <c r="B359" s="2"/>
      <c r="C359" s="11"/>
      <c r="D359" s="11" t="s">
        <v>35</v>
      </c>
      <c r="E359" s="2"/>
      <c r="H359" s="14" t="s">
        <v>245</v>
      </c>
      <c r="J359" s="10"/>
      <c r="K359" s="10"/>
      <c r="U359" s="10"/>
      <c r="V359" s="10"/>
      <c r="W359" s="10"/>
      <c r="X359" s="10"/>
      <c r="Y359" s="10"/>
      <c r="Z359" s="10"/>
      <c r="AA359" s="61"/>
      <c r="AB359" s="18"/>
      <c r="AC359" s="14"/>
      <c r="AG359" s="300"/>
    </row>
    <row r="360" spans="1:34" ht="26.25" customHeight="1">
      <c r="A360" t="s">
        <v>471</v>
      </c>
      <c r="B360" s="2"/>
      <c r="C360" s="11" t="s">
        <v>60</v>
      </c>
      <c r="D360" s="11" t="s">
        <v>35</v>
      </c>
      <c r="E360" s="2">
        <v>550330</v>
      </c>
      <c r="F360" s="4" t="s">
        <v>244</v>
      </c>
      <c r="G360" s="4" t="s">
        <v>246</v>
      </c>
      <c r="H360" s="14" t="s">
        <v>37</v>
      </c>
      <c r="I360" s="18">
        <v>4969</v>
      </c>
      <c r="J360" s="10" t="str">
        <f>H360</f>
        <v>Office</v>
      </c>
      <c r="K360" s="10">
        <v>5000</v>
      </c>
      <c r="L360" s="4" t="s">
        <v>247</v>
      </c>
      <c r="M360" s="8">
        <v>45198</v>
      </c>
      <c r="N360" s="9">
        <v>48850</v>
      </c>
      <c r="P360" s="9">
        <v>47025</v>
      </c>
      <c r="Q360" s="9">
        <v>46293</v>
      </c>
      <c r="R360" s="19">
        <v>315000</v>
      </c>
      <c r="S360" s="10">
        <f>Q360</f>
        <v>46293</v>
      </c>
      <c r="T360" s="19">
        <f>R360</f>
        <v>315000</v>
      </c>
      <c r="U360" s="19">
        <v>266600</v>
      </c>
      <c r="V360" s="10">
        <f>T360</f>
        <v>315000</v>
      </c>
      <c r="W360" s="19">
        <v>315000</v>
      </c>
      <c r="X360" s="10">
        <f>V360</f>
        <v>315000</v>
      </c>
      <c r="Y360" s="299" t="e">
        <f>T360/H360</f>
        <v>#VALUE!</v>
      </c>
      <c r="Z360" s="10" t="s">
        <v>39</v>
      </c>
      <c r="AA360" s="61"/>
      <c r="AB360" s="18">
        <v>5575000</v>
      </c>
      <c r="AC360" s="14" t="s">
        <v>40</v>
      </c>
      <c r="AD360" s="4" t="s">
        <v>248</v>
      </c>
      <c r="AG360" s="300"/>
    </row>
    <row r="361" spans="1:34" ht="14.25" customHeight="1">
      <c r="B361" s="2"/>
      <c r="C361" s="11"/>
      <c r="D361" s="11" t="s">
        <v>35</v>
      </c>
      <c r="E361" s="2"/>
      <c r="I361" s="18"/>
      <c r="J361" s="19"/>
      <c r="K361" s="19"/>
      <c r="R361" s="19"/>
      <c r="S361" s="19"/>
      <c r="T361" s="19"/>
      <c r="U361" s="19"/>
      <c r="V361" s="19"/>
      <c r="W361" s="19"/>
      <c r="X361" s="19"/>
      <c r="Y361" s="19"/>
      <c r="Z361" s="19"/>
      <c r="AA361" s="62"/>
      <c r="AB361" s="54"/>
      <c r="AC361" s="14"/>
      <c r="AG361" s="300"/>
    </row>
    <row r="362" spans="1:34" ht="14.25" customHeight="1">
      <c r="A362" t="s">
        <v>928</v>
      </c>
      <c r="B362" s="2"/>
      <c r="C362" s="11"/>
      <c r="D362" s="11" t="s">
        <v>35</v>
      </c>
      <c r="E362" s="2"/>
      <c r="H362" s="6" t="s">
        <v>249</v>
      </c>
      <c r="J362" s="10"/>
      <c r="K362" s="10"/>
      <c r="L362" s="32"/>
      <c r="V362" s="10"/>
      <c r="X362" s="10"/>
      <c r="Y362" s="10"/>
      <c r="Z362" s="10"/>
      <c r="AA362" s="61"/>
      <c r="AC362" s="14"/>
      <c r="AG362" s="300"/>
    </row>
    <row r="363" spans="1:34" ht="14.25" customHeight="1">
      <c r="B363" s="2"/>
      <c r="C363" s="11"/>
      <c r="D363" s="11" t="s">
        <v>35</v>
      </c>
      <c r="E363" s="2"/>
      <c r="H363" s="6"/>
      <c r="J363" s="10"/>
      <c r="K363" s="10"/>
      <c r="L363" s="32"/>
      <c r="V363" s="10"/>
      <c r="X363" s="10"/>
      <c r="Y363" s="10"/>
      <c r="Z363" s="10"/>
      <c r="AA363" s="61"/>
      <c r="AC363" s="14"/>
      <c r="AG363" s="300"/>
    </row>
    <row r="364" spans="1:34" ht="24" customHeight="1">
      <c r="A364" s="370" t="s">
        <v>471</v>
      </c>
      <c r="B364" s="371"/>
      <c r="C364" s="372" t="s">
        <v>119</v>
      </c>
      <c r="D364" s="372" t="s">
        <v>35</v>
      </c>
      <c r="E364" s="371">
        <v>550340</v>
      </c>
      <c r="F364" s="373" t="s">
        <v>249</v>
      </c>
      <c r="G364" s="373" t="s">
        <v>250</v>
      </c>
      <c r="H364" s="396" t="s">
        <v>251</v>
      </c>
      <c r="I364" s="375">
        <v>400</v>
      </c>
      <c r="J364" s="375" t="str">
        <f t="shared" ref="J364:J372" si="59">H364</f>
        <v>Storage</v>
      </c>
      <c r="K364" s="378"/>
      <c r="L364" s="373" t="s">
        <v>252</v>
      </c>
      <c r="M364" s="377">
        <v>43184</v>
      </c>
      <c r="N364" s="377">
        <v>46836</v>
      </c>
      <c r="O364" s="378"/>
      <c r="P364" s="377">
        <v>45010</v>
      </c>
      <c r="Q364" s="378"/>
      <c r="R364" s="376">
        <v>2400</v>
      </c>
      <c r="S364" s="376">
        <f t="shared" ref="S364:S372" si="60">Q364</f>
        <v>0</v>
      </c>
      <c r="T364" s="378"/>
      <c r="U364" s="376">
        <v>2000</v>
      </c>
      <c r="V364" s="376">
        <f t="shared" ref="V364:V372" si="61">T364</f>
        <v>0</v>
      </c>
      <c r="W364" s="376">
        <v>2000</v>
      </c>
      <c r="X364" s="376">
        <f t="shared" ref="X364:X372" si="62">V364</f>
        <v>0</v>
      </c>
      <c r="Y364" s="379" t="e">
        <f>T364/H364</f>
        <v>#VALUE!</v>
      </c>
      <c r="Z364" s="376"/>
      <c r="AA364" s="380"/>
      <c r="AB364" s="381"/>
      <c r="AC364" s="374" t="s">
        <v>40</v>
      </c>
      <c r="AD364" s="373" t="s">
        <v>253</v>
      </c>
      <c r="AE364" s="378"/>
      <c r="AF364" s="378"/>
      <c r="AG364" s="383"/>
      <c r="AH364" s="378"/>
    </row>
    <row r="365" spans="1:34" ht="24" customHeight="1">
      <c r="A365" s="378" t="s">
        <v>471</v>
      </c>
      <c r="B365" s="371"/>
      <c r="C365" s="372" t="s">
        <v>119</v>
      </c>
      <c r="D365" s="372" t="s">
        <v>35</v>
      </c>
      <c r="E365" s="371">
        <v>550340</v>
      </c>
      <c r="F365" s="373" t="s">
        <v>249</v>
      </c>
      <c r="G365" s="373" t="s">
        <v>254</v>
      </c>
      <c r="H365" s="374" t="s">
        <v>255</v>
      </c>
      <c r="I365" s="375">
        <v>873</v>
      </c>
      <c r="J365" s="375" t="str">
        <f t="shared" si="59"/>
        <v>Office/ Storage</v>
      </c>
      <c r="K365" s="378"/>
      <c r="L365" s="373" t="s">
        <v>252</v>
      </c>
      <c r="M365" s="377">
        <v>43184</v>
      </c>
      <c r="N365" s="377">
        <v>46836</v>
      </c>
      <c r="O365" s="378"/>
      <c r="P365" s="377">
        <v>45010</v>
      </c>
      <c r="Q365" s="378"/>
      <c r="R365" s="376">
        <v>24500</v>
      </c>
      <c r="S365" s="376">
        <f t="shared" si="60"/>
        <v>0</v>
      </c>
      <c r="T365" s="378"/>
      <c r="U365" s="376">
        <v>17500</v>
      </c>
      <c r="V365" s="376">
        <f t="shared" si="61"/>
        <v>0</v>
      </c>
      <c r="W365" s="376">
        <v>26200</v>
      </c>
      <c r="X365" s="376">
        <f t="shared" si="62"/>
        <v>0</v>
      </c>
      <c r="Y365" s="376"/>
      <c r="Z365" s="376" t="s">
        <v>69</v>
      </c>
      <c r="AA365" s="380"/>
      <c r="AB365" s="381"/>
      <c r="AC365" s="374" t="s">
        <v>40</v>
      </c>
      <c r="AD365" s="373" t="s">
        <v>253</v>
      </c>
      <c r="AE365" s="378"/>
      <c r="AF365" s="378"/>
      <c r="AG365" s="383"/>
      <c r="AH365" s="378"/>
    </row>
    <row r="366" spans="1:34" ht="24" customHeight="1">
      <c r="A366" s="378" t="s">
        <v>471</v>
      </c>
      <c r="B366" s="371"/>
      <c r="C366" s="372" t="s">
        <v>119</v>
      </c>
      <c r="D366" s="372" t="s">
        <v>35</v>
      </c>
      <c r="E366" s="371">
        <v>550340</v>
      </c>
      <c r="F366" s="373" t="s">
        <v>249</v>
      </c>
      <c r="G366" s="373" t="s">
        <v>676</v>
      </c>
      <c r="H366" s="374" t="s">
        <v>37</v>
      </c>
      <c r="I366" s="375">
        <v>624</v>
      </c>
      <c r="J366" s="375" t="str">
        <f t="shared" si="59"/>
        <v>Office</v>
      </c>
      <c r="K366" s="378"/>
      <c r="L366" s="373" t="s">
        <v>252</v>
      </c>
      <c r="M366" s="377">
        <v>43184</v>
      </c>
      <c r="N366" s="377">
        <v>46836</v>
      </c>
      <c r="O366" s="378"/>
      <c r="P366" s="377">
        <v>45010</v>
      </c>
      <c r="Q366" s="378"/>
      <c r="R366" s="376">
        <v>15600</v>
      </c>
      <c r="S366" s="376">
        <f t="shared" si="60"/>
        <v>0</v>
      </c>
      <c r="T366" s="378"/>
      <c r="U366" s="376">
        <v>12500</v>
      </c>
      <c r="V366" s="376">
        <f t="shared" si="61"/>
        <v>0</v>
      </c>
      <c r="W366" s="376">
        <v>18700</v>
      </c>
      <c r="X366" s="376">
        <f t="shared" si="62"/>
        <v>0</v>
      </c>
      <c r="Y366" s="376"/>
      <c r="Z366" s="376" t="s">
        <v>69</v>
      </c>
      <c r="AA366" s="380"/>
      <c r="AB366" s="381"/>
      <c r="AC366" s="374" t="s">
        <v>40</v>
      </c>
      <c r="AD366" s="373" t="s">
        <v>253</v>
      </c>
      <c r="AE366" s="378"/>
      <c r="AF366" s="378"/>
      <c r="AG366" s="383"/>
      <c r="AH366" s="378"/>
    </row>
    <row r="367" spans="1:34" ht="24" customHeight="1">
      <c r="A367" s="378" t="s">
        <v>471</v>
      </c>
      <c r="B367" s="371"/>
      <c r="C367" s="372" t="s">
        <v>119</v>
      </c>
      <c r="D367" s="372" t="s">
        <v>35</v>
      </c>
      <c r="E367" s="371">
        <v>550340</v>
      </c>
      <c r="F367" s="373" t="s">
        <v>249</v>
      </c>
      <c r="G367" s="373" t="s">
        <v>221</v>
      </c>
      <c r="H367" s="374" t="s">
        <v>37</v>
      </c>
      <c r="I367" s="375">
        <v>1497</v>
      </c>
      <c r="J367" s="375" t="str">
        <f t="shared" si="59"/>
        <v>Office</v>
      </c>
      <c r="K367" s="378"/>
      <c r="L367" s="373" t="s">
        <v>252</v>
      </c>
      <c r="M367" s="377">
        <v>45010</v>
      </c>
      <c r="N367" s="377">
        <v>46836</v>
      </c>
      <c r="O367" s="378"/>
      <c r="P367" s="378"/>
      <c r="Q367" s="378"/>
      <c r="R367" s="376">
        <v>84600</v>
      </c>
      <c r="S367" s="376">
        <f t="shared" si="60"/>
        <v>0</v>
      </c>
      <c r="T367" s="378"/>
      <c r="U367" s="376">
        <v>86100</v>
      </c>
      <c r="V367" s="376">
        <f t="shared" si="61"/>
        <v>0</v>
      </c>
      <c r="W367" s="376">
        <v>89800</v>
      </c>
      <c r="X367" s="376">
        <f t="shared" si="62"/>
        <v>0</v>
      </c>
      <c r="Y367" s="376"/>
      <c r="Z367" s="376" t="s">
        <v>39</v>
      </c>
      <c r="AA367" s="380"/>
      <c r="AB367" s="381"/>
      <c r="AC367" s="374" t="s">
        <v>40</v>
      </c>
      <c r="AD367" s="373" t="s">
        <v>253</v>
      </c>
      <c r="AE367" s="378"/>
      <c r="AF367" s="378"/>
      <c r="AG367" s="383"/>
      <c r="AH367" s="378"/>
    </row>
    <row r="368" spans="1:34" ht="24" customHeight="1">
      <c r="A368" s="378" t="s">
        <v>471</v>
      </c>
      <c r="B368" s="371"/>
      <c r="C368" s="372" t="s">
        <v>119</v>
      </c>
      <c r="D368" s="372" t="s">
        <v>35</v>
      </c>
      <c r="E368" s="371">
        <v>550340</v>
      </c>
      <c r="F368" s="373" t="s">
        <v>249</v>
      </c>
      <c r="G368" s="373" t="s">
        <v>620</v>
      </c>
      <c r="H368" s="374" t="s">
        <v>37</v>
      </c>
      <c r="I368" s="375">
        <v>1553</v>
      </c>
      <c r="J368" s="375" t="str">
        <f t="shared" si="59"/>
        <v>Office</v>
      </c>
      <c r="K368" s="378"/>
      <c r="L368" s="373" t="s">
        <v>252</v>
      </c>
      <c r="M368" s="384">
        <v>45269</v>
      </c>
      <c r="N368" s="377">
        <v>46836</v>
      </c>
      <c r="O368" s="378"/>
      <c r="P368" s="378"/>
      <c r="Q368" s="378"/>
      <c r="R368" s="376">
        <v>87750</v>
      </c>
      <c r="S368" s="376">
        <f t="shared" si="60"/>
        <v>0</v>
      </c>
      <c r="T368" s="378"/>
      <c r="U368" s="376">
        <v>89300</v>
      </c>
      <c r="V368" s="376">
        <f t="shared" si="61"/>
        <v>0</v>
      </c>
      <c r="W368" s="376">
        <v>93200</v>
      </c>
      <c r="X368" s="376">
        <f t="shared" si="62"/>
        <v>0</v>
      </c>
      <c r="Y368" s="376"/>
      <c r="Z368" s="376" t="s">
        <v>69</v>
      </c>
      <c r="AA368" s="380"/>
      <c r="AB368" s="381"/>
      <c r="AC368" s="374" t="s">
        <v>40</v>
      </c>
      <c r="AD368" s="373" t="s">
        <v>253</v>
      </c>
      <c r="AE368" s="378"/>
      <c r="AF368" s="378"/>
      <c r="AG368" s="383"/>
      <c r="AH368" s="378"/>
    </row>
    <row r="369" spans="1:34" ht="24" customHeight="1">
      <c r="A369" s="378" t="s">
        <v>471</v>
      </c>
      <c r="B369" s="371"/>
      <c r="C369" s="372" t="s">
        <v>119</v>
      </c>
      <c r="D369" s="372" t="s">
        <v>35</v>
      </c>
      <c r="E369" s="371">
        <v>550340</v>
      </c>
      <c r="F369" s="373" t="s">
        <v>249</v>
      </c>
      <c r="G369" s="373" t="s">
        <v>330</v>
      </c>
      <c r="H369" s="374" t="s">
        <v>37</v>
      </c>
      <c r="I369" s="375">
        <v>1445</v>
      </c>
      <c r="J369" s="375" t="str">
        <f t="shared" si="59"/>
        <v>Office</v>
      </c>
      <c r="K369" s="378"/>
      <c r="L369" s="373" t="s">
        <v>252</v>
      </c>
      <c r="M369" s="377">
        <v>43184</v>
      </c>
      <c r="N369" s="377">
        <v>46836</v>
      </c>
      <c r="O369" s="378"/>
      <c r="P369" s="377">
        <v>45010</v>
      </c>
      <c r="Q369" s="378"/>
      <c r="R369" s="376">
        <v>79500</v>
      </c>
      <c r="S369" s="376">
        <f t="shared" si="60"/>
        <v>0</v>
      </c>
      <c r="T369" s="378"/>
      <c r="U369" s="376">
        <v>86700</v>
      </c>
      <c r="V369" s="376">
        <f t="shared" si="61"/>
        <v>0</v>
      </c>
      <c r="W369" s="376">
        <v>90300</v>
      </c>
      <c r="X369" s="376">
        <f t="shared" si="62"/>
        <v>0</v>
      </c>
      <c r="Y369" s="376"/>
      <c r="Z369" s="376" t="s">
        <v>69</v>
      </c>
      <c r="AA369" s="380"/>
      <c r="AB369" s="381"/>
      <c r="AC369" s="374" t="s">
        <v>40</v>
      </c>
      <c r="AD369" s="373" t="s">
        <v>253</v>
      </c>
      <c r="AE369" s="378"/>
      <c r="AF369" s="378"/>
      <c r="AG369" s="383"/>
      <c r="AH369" s="378"/>
    </row>
    <row r="370" spans="1:34" ht="24" customHeight="1">
      <c r="A370" s="378" t="s">
        <v>471</v>
      </c>
      <c r="B370" s="371"/>
      <c r="C370" s="372" t="s">
        <v>119</v>
      </c>
      <c r="D370" s="372" t="s">
        <v>35</v>
      </c>
      <c r="E370" s="371">
        <v>550340</v>
      </c>
      <c r="F370" s="373" t="s">
        <v>249</v>
      </c>
      <c r="G370" s="373" t="s">
        <v>513</v>
      </c>
      <c r="H370" s="374" t="s">
        <v>37</v>
      </c>
      <c r="I370" s="375">
        <v>1200</v>
      </c>
      <c r="J370" s="375" t="str">
        <f t="shared" si="59"/>
        <v>Office</v>
      </c>
      <c r="K370" s="378"/>
      <c r="L370" s="373" t="s">
        <v>252</v>
      </c>
      <c r="M370" s="377">
        <v>43184</v>
      </c>
      <c r="N370" s="377">
        <v>46836</v>
      </c>
      <c r="O370" s="378"/>
      <c r="P370" s="377">
        <v>45010</v>
      </c>
      <c r="Q370" s="378"/>
      <c r="R370" s="376">
        <v>66000</v>
      </c>
      <c r="S370" s="376">
        <f t="shared" si="60"/>
        <v>0</v>
      </c>
      <c r="T370" s="378"/>
      <c r="U370" s="376">
        <v>72000</v>
      </c>
      <c r="V370" s="376">
        <f t="shared" si="61"/>
        <v>0</v>
      </c>
      <c r="W370" s="376">
        <v>75000</v>
      </c>
      <c r="X370" s="376">
        <f t="shared" si="62"/>
        <v>0</v>
      </c>
      <c r="Y370" s="376"/>
      <c r="Z370" s="376" t="s">
        <v>39</v>
      </c>
      <c r="AA370" s="380"/>
      <c r="AB370" s="381"/>
      <c r="AC370" s="374" t="s">
        <v>40</v>
      </c>
      <c r="AD370" s="373" t="s">
        <v>253</v>
      </c>
      <c r="AE370" s="378"/>
      <c r="AF370" s="378"/>
      <c r="AG370" s="383"/>
      <c r="AH370" s="378"/>
    </row>
    <row r="371" spans="1:34" ht="24" customHeight="1">
      <c r="A371" s="378" t="s">
        <v>471</v>
      </c>
      <c r="B371" s="371"/>
      <c r="C371" s="372" t="s">
        <v>119</v>
      </c>
      <c r="D371" s="372" t="s">
        <v>35</v>
      </c>
      <c r="E371" s="371">
        <v>550340</v>
      </c>
      <c r="F371" s="373" t="s">
        <v>249</v>
      </c>
      <c r="G371" s="373" t="s">
        <v>518</v>
      </c>
      <c r="H371" s="374" t="s">
        <v>37</v>
      </c>
      <c r="I371" s="375">
        <v>373</v>
      </c>
      <c r="J371" s="375" t="str">
        <f t="shared" si="59"/>
        <v>Office</v>
      </c>
      <c r="K371" s="378"/>
      <c r="L371" s="373" t="s">
        <v>252</v>
      </c>
      <c r="M371" s="377">
        <v>43184</v>
      </c>
      <c r="N371" s="377">
        <v>46836</v>
      </c>
      <c r="O371" s="378"/>
      <c r="P371" s="377">
        <v>45010</v>
      </c>
      <c r="Q371" s="378"/>
      <c r="R371" s="376">
        <v>18650</v>
      </c>
      <c r="S371" s="376">
        <f t="shared" si="60"/>
        <v>0</v>
      </c>
      <c r="T371" s="378"/>
      <c r="U371" s="376">
        <v>22400</v>
      </c>
      <c r="V371" s="376">
        <f t="shared" si="61"/>
        <v>0</v>
      </c>
      <c r="W371" s="376">
        <v>23300</v>
      </c>
      <c r="X371" s="376">
        <f t="shared" si="62"/>
        <v>0</v>
      </c>
      <c r="Y371" s="376"/>
      <c r="Z371" s="376" t="s">
        <v>69</v>
      </c>
      <c r="AA371" s="380"/>
      <c r="AB371" s="381"/>
      <c r="AC371" s="374" t="s">
        <v>40</v>
      </c>
      <c r="AD371" s="373" t="s">
        <v>253</v>
      </c>
      <c r="AE371" s="378"/>
      <c r="AF371" s="378"/>
      <c r="AG371" s="383"/>
      <c r="AH371" s="378"/>
    </row>
    <row r="372" spans="1:34" ht="24" customHeight="1">
      <c r="A372" s="378" t="s">
        <v>471</v>
      </c>
      <c r="B372" s="371"/>
      <c r="C372" s="372" t="s">
        <v>119</v>
      </c>
      <c r="D372" s="372" t="s">
        <v>35</v>
      </c>
      <c r="E372" s="371">
        <v>550340</v>
      </c>
      <c r="F372" s="373" t="s">
        <v>249</v>
      </c>
      <c r="G372" s="373" t="s">
        <v>520</v>
      </c>
      <c r="H372" s="374" t="s">
        <v>37</v>
      </c>
      <c r="I372" s="375">
        <v>346</v>
      </c>
      <c r="J372" s="375" t="str">
        <f t="shared" si="59"/>
        <v>Office</v>
      </c>
      <c r="K372" s="378"/>
      <c r="L372" s="373" t="s">
        <v>252</v>
      </c>
      <c r="M372" s="377">
        <v>43184</v>
      </c>
      <c r="N372" s="377">
        <v>46836</v>
      </c>
      <c r="O372" s="378"/>
      <c r="P372" s="377">
        <v>45010</v>
      </c>
      <c r="Q372" s="378"/>
      <c r="R372" s="376">
        <v>18150</v>
      </c>
      <c r="S372" s="376">
        <f t="shared" si="60"/>
        <v>0</v>
      </c>
      <c r="T372" s="378"/>
      <c r="U372" s="376">
        <v>20800</v>
      </c>
      <c r="V372" s="376">
        <f t="shared" si="61"/>
        <v>0</v>
      </c>
      <c r="W372" s="376">
        <v>21600</v>
      </c>
      <c r="X372" s="376">
        <f t="shared" si="62"/>
        <v>0</v>
      </c>
      <c r="Y372" s="376"/>
      <c r="Z372" s="376" t="s">
        <v>69</v>
      </c>
      <c r="AA372" s="380"/>
      <c r="AB372" s="381"/>
      <c r="AC372" s="374" t="s">
        <v>40</v>
      </c>
      <c r="AD372" s="373" t="s">
        <v>253</v>
      </c>
      <c r="AE372" s="378"/>
      <c r="AF372" s="378"/>
      <c r="AG372" s="383"/>
      <c r="AH372" s="378"/>
    </row>
    <row r="373" spans="1:34" ht="14.25" customHeight="1">
      <c r="B373" s="2"/>
      <c r="C373" s="11"/>
      <c r="D373" s="11" t="s">
        <v>35</v>
      </c>
      <c r="E373" s="2"/>
      <c r="J373" s="10"/>
      <c r="K373" s="10"/>
      <c r="U373" s="10"/>
      <c r="V373" s="10"/>
      <c r="W373" s="10"/>
      <c r="X373" s="10"/>
      <c r="Y373" s="10"/>
      <c r="Z373" s="10"/>
      <c r="AA373" s="61"/>
      <c r="AC373" s="14"/>
      <c r="AG373" s="300"/>
    </row>
    <row r="374" spans="1:34" ht="14.25" customHeight="1">
      <c r="B374" s="2"/>
      <c r="C374" s="11"/>
      <c r="D374" s="11" t="s">
        <v>35</v>
      </c>
      <c r="E374" s="2"/>
      <c r="G374" s="92" t="s">
        <v>677</v>
      </c>
      <c r="I374" s="18">
        <f>SUM(H364:H372)</f>
        <v>0</v>
      </c>
      <c r="J374" s="19"/>
      <c r="K374" s="19"/>
      <c r="R374" s="19">
        <f>SUM(Q364:Q372)</f>
        <v>0</v>
      </c>
      <c r="S374" s="19"/>
      <c r="T374" s="19">
        <f>SUM(R362:R373)</f>
        <v>397150</v>
      </c>
      <c r="U374" s="19">
        <f>SUM(T364:T372)</f>
        <v>0</v>
      </c>
      <c r="V374" s="19"/>
      <c r="W374" s="19">
        <f>SUM(V364:V372)</f>
        <v>0</v>
      </c>
      <c r="X374" s="19"/>
      <c r="Y374" s="19"/>
      <c r="Z374" s="19"/>
      <c r="AA374" s="62"/>
      <c r="AB374" s="19">
        <v>5350000</v>
      </c>
      <c r="AC374" s="14"/>
      <c r="AG374" s="300"/>
    </row>
    <row r="375" spans="1:34" ht="14.25" customHeight="1">
      <c r="B375" s="2"/>
      <c r="C375" s="11"/>
      <c r="D375" s="11" t="s">
        <v>35</v>
      </c>
      <c r="E375" s="2"/>
      <c r="I375" s="18"/>
      <c r="J375" s="19"/>
      <c r="K375" s="19"/>
      <c r="R375" s="19"/>
      <c r="S375" s="19"/>
      <c r="T375" s="19"/>
      <c r="U375" s="19"/>
      <c r="V375" s="19"/>
      <c r="W375" s="19"/>
      <c r="X375" s="19"/>
      <c r="Y375" s="19"/>
      <c r="Z375" s="19"/>
      <c r="AA375" s="62"/>
      <c r="AB375" s="19"/>
      <c r="AC375" s="14"/>
      <c r="AG375" s="300"/>
    </row>
    <row r="376" spans="1:34" ht="14.25" customHeight="1">
      <c r="A376" t="s">
        <v>928</v>
      </c>
      <c r="B376" s="2"/>
      <c r="C376" s="11"/>
      <c r="D376" s="11" t="s">
        <v>35</v>
      </c>
      <c r="E376" s="2"/>
      <c r="H376" s="6" t="s">
        <v>256</v>
      </c>
      <c r="J376" s="10"/>
      <c r="K376" s="10"/>
      <c r="L376" s="32"/>
      <c r="V376" s="10"/>
      <c r="X376" s="10"/>
      <c r="Y376" s="10"/>
      <c r="Z376" s="10"/>
      <c r="AA376" s="61"/>
      <c r="AB376" s="19"/>
      <c r="AC376" s="14"/>
      <c r="AG376" s="300"/>
    </row>
    <row r="377" spans="1:34" ht="14.25" customHeight="1">
      <c r="B377" s="2"/>
      <c r="C377" s="11"/>
      <c r="D377" s="11" t="s">
        <v>35</v>
      </c>
      <c r="E377" s="2"/>
      <c r="H377" s="6"/>
      <c r="I377" s="24"/>
      <c r="J377" s="10"/>
      <c r="K377" s="10"/>
      <c r="L377" s="20"/>
      <c r="M377" s="21"/>
      <c r="U377" s="10"/>
      <c r="V377" s="10"/>
      <c r="W377" s="10"/>
      <c r="X377" s="10"/>
      <c r="Y377" s="10"/>
      <c r="Z377" s="10"/>
      <c r="AA377" s="61"/>
      <c r="AB377" s="19"/>
      <c r="AC377" s="14"/>
      <c r="AG377" s="300"/>
    </row>
    <row r="378" spans="1:34" ht="60">
      <c r="A378" s="370" t="s">
        <v>471</v>
      </c>
      <c r="B378" s="371"/>
      <c r="C378" s="372" t="s">
        <v>44</v>
      </c>
      <c r="D378" s="372" t="s">
        <v>35</v>
      </c>
      <c r="E378" s="371">
        <v>550900</v>
      </c>
      <c r="F378" s="373" t="s">
        <v>256</v>
      </c>
      <c r="G378" s="373" t="s">
        <v>246</v>
      </c>
      <c r="H378" s="374" t="s">
        <v>37</v>
      </c>
      <c r="I378" s="375">
        <v>8445</v>
      </c>
      <c r="J378" s="376" t="str">
        <f>H378</f>
        <v>Office</v>
      </c>
      <c r="K378" s="376">
        <v>8500</v>
      </c>
      <c r="L378" s="373" t="s">
        <v>257</v>
      </c>
      <c r="M378" s="384">
        <v>44390</v>
      </c>
      <c r="N378" s="377">
        <v>48041</v>
      </c>
      <c r="O378" s="378"/>
      <c r="P378" s="377">
        <v>46216</v>
      </c>
      <c r="Q378" s="377">
        <v>46215</v>
      </c>
      <c r="R378" s="376">
        <v>450500</v>
      </c>
      <c r="S378" s="376">
        <f>Q378</f>
        <v>46215</v>
      </c>
      <c r="T378" s="378"/>
      <c r="U378" s="376">
        <v>450500</v>
      </c>
      <c r="V378" s="376">
        <f>T378</f>
        <v>0</v>
      </c>
      <c r="W378" s="376">
        <v>495300</v>
      </c>
      <c r="X378" s="376">
        <f>V378</f>
        <v>0</v>
      </c>
      <c r="Y378" s="379" t="e">
        <f>T378/H378</f>
        <v>#VALUE!</v>
      </c>
      <c r="Z378" s="376" t="s">
        <v>39</v>
      </c>
      <c r="AA378" s="380"/>
      <c r="AB378" s="394"/>
      <c r="AC378" s="374" t="s">
        <v>40</v>
      </c>
      <c r="AD378" s="373" t="s">
        <v>258</v>
      </c>
      <c r="AE378" s="378"/>
      <c r="AF378" s="378"/>
      <c r="AG378" s="383"/>
      <c r="AH378" s="378"/>
    </row>
    <row r="379" spans="1:34" ht="28.5" customHeight="1">
      <c r="A379" s="378" t="s">
        <v>471</v>
      </c>
      <c r="B379" s="371"/>
      <c r="C379" s="372" t="s">
        <v>44</v>
      </c>
      <c r="D379" s="372" t="s">
        <v>35</v>
      </c>
      <c r="E379" s="371">
        <v>550900</v>
      </c>
      <c r="F379" s="373" t="s">
        <v>256</v>
      </c>
      <c r="G379" s="373" t="s">
        <v>678</v>
      </c>
      <c r="H379" s="374" t="s">
        <v>541</v>
      </c>
      <c r="I379" s="375">
        <v>0</v>
      </c>
      <c r="J379" s="376" t="str">
        <f>H379</f>
        <v>Sub-Station</v>
      </c>
      <c r="K379" s="376"/>
      <c r="L379" s="373" t="s">
        <v>448</v>
      </c>
      <c r="M379" s="384">
        <v>38840</v>
      </c>
      <c r="N379" s="377">
        <v>46144</v>
      </c>
      <c r="O379" s="378"/>
      <c r="P379" s="378"/>
      <c r="Q379" s="378"/>
      <c r="R379" s="376">
        <v>1100</v>
      </c>
      <c r="S379" s="376">
        <f>Q379</f>
        <v>0</v>
      </c>
      <c r="T379" s="378"/>
      <c r="U379" s="376">
        <v>1100</v>
      </c>
      <c r="V379" s="376">
        <f>T379</f>
        <v>0</v>
      </c>
      <c r="W379" s="376">
        <v>1100</v>
      </c>
      <c r="X379" s="376">
        <f>V379</f>
        <v>0</v>
      </c>
      <c r="Y379" s="376"/>
      <c r="Z379" s="376"/>
      <c r="AA379" s="380"/>
      <c r="AB379" s="394"/>
      <c r="AC379" s="374" t="s">
        <v>40</v>
      </c>
      <c r="AD379" s="373" t="s">
        <v>679</v>
      </c>
      <c r="AE379" s="378"/>
      <c r="AF379" s="378"/>
      <c r="AG379" s="383"/>
      <c r="AH379" s="378"/>
    </row>
    <row r="380" spans="1:34" ht="14.25" customHeight="1">
      <c r="B380" s="2"/>
      <c r="C380" s="11"/>
      <c r="D380" s="11" t="s">
        <v>35</v>
      </c>
      <c r="E380" s="2"/>
      <c r="J380" s="10"/>
      <c r="K380" s="10"/>
      <c r="U380" s="10"/>
      <c r="V380" s="10"/>
      <c r="W380" s="10"/>
      <c r="X380" s="10"/>
      <c r="Y380" s="10"/>
      <c r="Z380" s="10"/>
      <c r="AA380" s="61"/>
      <c r="AB380" s="19"/>
      <c r="AC380" s="14"/>
      <c r="AG380" s="300"/>
    </row>
    <row r="381" spans="1:34" ht="14.25" customHeight="1">
      <c r="B381" s="2"/>
      <c r="C381" s="11"/>
      <c r="D381" s="11" t="s">
        <v>35</v>
      </c>
      <c r="E381" s="2"/>
      <c r="G381" s="92" t="s">
        <v>256</v>
      </c>
      <c r="I381" s="18">
        <f>SUM(H378:H379)</f>
        <v>0</v>
      </c>
      <c r="J381" s="19"/>
      <c r="K381" s="19"/>
      <c r="R381" s="19">
        <f>SUM(Q378:Q379)</f>
        <v>46215</v>
      </c>
      <c r="S381" s="19"/>
      <c r="T381" s="19">
        <f>SUM(R376:R380)</f>
        <v>451600</v>
      </c>
      <c r="U381" s="19">
        <f>SUM(T378:T379)</f>
        <v>0</v>
      </c>
      <c r="V381" s="19"/>
      <c r="W381" s="19">
        <f>SUM(V378:V379)</f>
        <v>0</v>
      </c>
      <c r="X381" s="19"/>
      <c r="Y381" s="19"/>
      <c r="Z381" s="19"/>
      <c r="AA381" s="62"/>
      <c r="AB381" s="19">
        <v>7250000</v>
      </c>
      <c r="AC381" s="14"/>
      <c r="AG381" s="300"/>
    </row>
    <row r="382" spans="1:34" ht="14.25" customHeight="1">
      <c r="B382" s="2"/>
      <c r="C382" s="11"/>
      <c r="D382" s="11" t="s">
        <v>35</v>
      </c>
      <c r="E382" s="2"/>
      <c r="J382" s="10"/>
      <c r="K382" s="10"/>
      <c r="U382" s="10"/>
      <c r="V382" s="10"/>
      <c r="W382" s="10"/>
      <c r="X382" s="10"/>
      <c r="Y382" s="10"/>
      <c r="Z382" s="10"/>
      <c r="AA382" s="61"/>
      <c r="AC382" s="14"/>
      <c r="AG382" s="300"/>
    </row>
    <row r="383" spans="1:34" ht="14.25" customHeight="1">
      <c r="A383" t="s">
        <v>928</v>
      </c>
      <c r="B383" s="2"/>
      <c r="C383" s="11"/>
      <c r="D383" s="11" t="s">
        <v>35</v>
      </c>
      <c r="E383" s="2"/>
      <c r="H383" s="6" t="s">
        <v>259</v>
      </c>
      <c r="J383" s="10"/>
      <c r="K383" s="10"/>
      <c r="L383" s="32"/>
      <c r="V383" s="10"/>
      <c r="X383" s="10"/>
      <c r="Y383" s="10"/>
      <c r="Z383" s="10"/>
      <c r="AA383" s="61"/>
      <c r="AC383" s="14"/>
      <c r="AG383" s="300"/>
    </row>
    <row r="384" spans="1:34" ht="14.25" customHeight="1">
      <c r="B384" s="2"/>
      <c r="C384" s="11"/>
      <c r="D384" s="11" t="s">
        <v>35</v>
      </c>
      <c r="E384" s="2"/>
      <c r="J384" s="10"/>
      <c r="K384" s="10"/>
      <c r="U384" s="10"/>
      <c r="V384" s="10"/>
      <c r="W384" s="10"/>
      <c r="X384" s="10"/>
      <c r="Y384" s="10"/>
      <c r="Z384" s="10"/>
      <c r="AA384" s="61"/>
      <c r="AC384" s="14"/>
      <c r="AG384" s="300"/>
    </row>
    <row r="385" spans="1:34" ht="30" customHeight="1">
      <c r="A385" t="s">
        <v>471</v>
      </c>
      <c r="B385" s="2"/>
      <c r="C385" s="11" t="s">
        <v>44</v>
      </c>
      <c r="D385" s="11" t="s">
        <v>35</v>
      </c>
      <c r="E385" s="2">
        <v>550350</v>
      </c>
      <c r="F385" s="4" t="s">
        <v>259</v>
      </c>
      <c r="G385" s="4" t="s">
        <v>246</v>
      </c>
      <c r="H385" s="14" t="s">
        <v>37</v>
      </c>
      <c r="I385" s="18">
        <v>6563</v>
      </c>
      <c r="J385" s="10" t="str">
        <f>H385</f>
        <v>Office</v>
      </c>
      <c r="K385" s="10">
        <v>6500</v>
      </c>
      <c r="L385" s="4" t="s">
        <v>260</v>
      </c>
      <c r="M385" s="8">
        <v>45062</v>
      </c>
      <c r="N385" s="9">
        <v>48714</v>
      </c>
      <c r="P385" s="9">
        <v>46889</v>
      </c>
      <c r="R385" s="19">
        <v>350000</v>
      </c>
      <c r="S385" s="10">
        <f>Q385</f>
        <v>0</v>
      </c>
      <c r="T385" s="19">
        <f>R385</f>
        <v>350000</v>
      </c>
      <c r="U385" s="19">
        <v>350000</v>
      </c>
      <c r="V385" s="10">
        <f>T385</f>
        <v>350000</v>
      </c>
      <c r="W385" s="19">
        <v>350000</v>
      </c>
      <c r="X385" s="10">
        <f>V385</f>
        <v>350000</v>
      </c>
      <c r="Y385" s="299" t="e">
        <f>T385/H385</f>
        <v>#VALUE!</v>
      </c>
      <c r="Z385" s="10" t="s">
        <v>69</v>
      </c>
      <c r="AA385" s="61"/>
      <c r="AB385" s="47">
        <v>6575000</v>
      </c>
      <c r="AC385" s="14" t="s">
        <v>40</v>
      </c>
      <c r="AG385" s="300"/>
    </row>
    <row r="386" spans="1:34" ht="14.25" customHeight="1">
      <c r="B386" s="2"/>
      <c r="C386" s="11"/>
      <c r="D386" s="11" t="s">
        <v>35</v>
      </c>
      <c r="E386" s="2"/>
      <c r="I386" s="18"/>
      <c r="J386" s="19"/>
      <c r="K386" s="19"/>
      <c r="R386" s="19"/>
      <c r="S386" s="19"/>
      <c r="T386" s="19"/>
      <c r="U386" s="19"/>
      <c r="V386" s="19"/>
      <c r="W386" s="19"/>
      <c r="X386" s="19"/>
      <c r="Y386" s="19"/>
      <c r="Z386" s="19"/>
      <c r="AA386" s="62"/>
      <c r="AB386" s="47"/>
      <c r="AC386" s="14"/>
      <c r="AG386" s="300"/>
    </row>
    <row r="387" spans="1:34" ht="14.25" customHeight="1">
      <c r="B387" s="2"/>
      <c r="C387" s="11"/>
      <c r="D387" s="11" t="s">
        <v>35</v>
      </c>
      <c r="E387" s="2"/>
      <c r="G387" s="92" t="s">
        <v>261</v>
      </c>
      <c r="I387" s="33">
        <f>SUM(H385:H386)</f>
        <v>0</v>
      </c>
      <c r="J387" s="18"/>
      <c r="K387" s="18"/>
      <c r="L387" s="34"/>
      <c r="M387" s="35"/>
      <c r="N387" s="36"/>
      <c r="O387" s="36"/>
      <c r="P387" s="36"/>
      <c r="Q387" s="36"/>
      <c r="R387" s="18"/>
      <c r="S387" s="18"/>
      <c r="T387" s="18"/>
      <c r="U387" s="33">
        <f>SUM(T385:T386)</f>
        <v>350000</v>
      </c>
      <c r="V387" s="33"/>
      <c r="W387" s="33">
        <f>SUM(V385:V386)</f>
        <v>350000</v>
      </c>
      <c r="X387" s="33"/>
      <c r="Y387" s="33"/>
      <c r="Z387" s="33"/>
      <c r="AA387" s="63"/>
      <c r="AB387" s="47"/>
      <c r="AC387" s="14"/>
      <c r="AG387" s="300"/>
    </row>
    <row r="388" spans="1:34" ht="14.25" customHeight="1">
      <c r="B388" s="2"/>
      <c r="C388" s="11"/>
      <c r="D388" s="11" t="s">
        <v>35</v>
      </c>
      <c r="E388" s="2"/>
      <c r="I388" s="18"/>
      <c r="J388" s="19"/>
      <c r="K388" s="19"/>
      <c r="R388" s="19"/>
      <c r="S388" s="19"/>
      <c r="T388" s="19"/>
      <c r="U388" s="19"/>
      <c r="V388" s="19"/>
      <c r="W388" s="19"/>
      <c r="X388" s="19"/>
      <c r="Y388" s="19"/>
      <c r="Z388" s="19"/>
      <c r="AA388" s="62"/>
      <c r="AB388" s="47"/>
      <c r="AC388" s="14"/>
      <c r="AG388" s="300"/>
    </row>
    <row r="389" spans="1:34" ht="14.25" customHeight="1">
      <c r="A389" t="s">
        <v>928</v>
      </c>
      <c r="B389" s="2"/>
      <c r="C389" s="11"/>
      <c r="D389" s="11" t="s">
        <v>35</v>
      </c>
      <c r="E389" s="2"/>
      <c r="H389" s="6" t="s">
        <v>262</v>
      </c>
      <c r="J389" s="10"/>
      <c r="K389" s="10"/>
      <c r="L389" s="32"/>
      <c r="V389" s="10"/>
      <c r="X389" s="10"/>
      <c r="Y389" s="10"/>
      <c r="Z389" s="10"/>
      <c r="AA389" s="61"/>
      <c r="AB389" s="47"/>
      <c r="AC389" s="14"/>
      <c r="AG389" s="300"/>
    </row>
    <row r="390" spans="1:34" ht="14.25" customHeight="1">
      <c r="B390" s="2"/>
      <c r="C390" s="11"/>
      <c r="D390" s="11" t="s">
        <v>35</v>
      </c>
      <c r="E390" s="2"/>
      <c r="J390" s="10"/>
      <c r="K390" s="10"/>
      <c r="U390" s="10"/>
      <c r="V390" s="10"/>
      <c r="W390" s="10"/>
      <c r="X390" s="10"/>
      <c r="Y390" s="10"/>
      <c r="Z390" s="10"/>
      <c r="AA390" s="61"/>
      <c r="AB390" s="47"/>
      <c r="AC390" s="14"/>
      <c r="AG390" s="300"/>
    </row>
    <row r="391" spans="1:34" ht="17.25" customHeight="1">
      <c r="A391" s="370" t="s">
        <v>471</v>
      </c>
      <c r="B391" s="371"/>
      <c r="C391" s="372" t="s">
        <v>34</v>
      </c>
      <c r="D391" s="372" t="s">
        <v>35</v>
      </c>
      <c r="E391" s="371">
        <v>550360</v>
      </c>
      <c r="F391" s="373" t="s">
        <v>262</v>
      </c>
      <c r="G391" s="373" t="s">
        <v>87</v>
      </c>
      <c r="H391" s="374" t="s">
        <v>46</v>
      </c>
      <c r="I391" s="375">
        <v>5735</v>
      </c>
      <c r="J391" s="376" t="str">
        <f>H391</f>
        <v>Retail</v>
      </c>
      <c r="K391" s="376">
        <v>5750</v>
      </c>
      <c r="L391" s="373" t="s">
        <v>263</v>
      </c>
      <c r="M391" s="384">
        <v>45240</v>
      </c>
      <c r="N391" s="377">
        <v>48892</v>
      </c>
      <c r="O391" s="378"/>
      <c r="P391" s="377">
        <v>47067</v>
      </c>
      <c r="Q391" s="377">
        <v>47066</v>
      </c>
      <c r="R391" s="376">
        <v>282288</v>
      </c>
      <c r="S391" s="376">
        <f>Q391</f>
        <v>47066</v>
      </c>
      <c r="T391" s="394"/>
      <c r="U391" s="376">
        <v>258600</v>
      </c>
      <c r="V391" s="376">
        <f>T391</f>
        <v>0</v>
      </c>
      <c r="W391" s="376">
        <v>282288</v>
      </c>
      <c r="X391" s="376">
        <f>V391</f>
        <v>0</v>
      </c>
      <c r="Y391" s="379" t="e">
        <f>T391/H391</f>
        <v>#VALUE!</v>
      </c>
      <c r="Z391" s="376" t="s">
        <v>39</v>
      </c>
      <c r="AA391" s="380"/>
      <c r="AB391" s="410"/>
      <c r="AC391" s="374" t="s">
        <v>40</v>
      </c>
      <c r="AD391" s="373" t="s">
        <v>264</v>
      </c>
      <c r="AE391" s="378"/>
      <c r="AF391" s="378"/>
      <c r="AG391" s="383"/>
      <c r="AH391" s="378"/>
    </row>
    <row r="392" spans="1:34" ht="60">
      <c r="A392" s="378" t="s">
        <v>471</v>
      </c>
      <c r="B392" s="371"/>
      <c r="C392" s="372" t="s">
        <v>34</v>
      </c>
      <c r="D392" s="372" t="s">
        <v>35</v>
      </c>
      <c r="E392" s="371">
        <v>550360</v>
      </c>
      <c r="F392" s="373" t="s">
        <v>262</v>
      </c>
      <c r="G392" s="373" t="s">
        <v>494</v>
      </c>
      <c r="H392" s="374" t="s">
        <v>37</v>
      </c>
      <c r="I392" s="375">
        <v>2400</v>
      </c>
      <c r="J392" s="376" t="str">
        <f>H392</f>
        <v>Office</v>
      </c>
      <c r="K392" s="376">
        <v>2500</v>
      </c>
      <c r="L392" s="373" t="s">
        <v>615</v>
      </c>
      <c r="M392" s="384">
        <v>44665</v>
      </c>
      <c r="N392" s="377">
        <v>48852</v>
      </c>
      <c r="O392" s="378"/>
      <c r="P392" s="377">
        <v>46491</v>
      </c>
      <c r="Q392" s="377">
        <v>47026</v>
      </c>
      <c r="R392" s="376">
        <v>152500</v>
      </c>
      <c r="S392" s="376">
        <f>Q392</f>
        <v>47026</v>
      </c>
      <c r="T392" s="394"/>
      <c r="U392" s="376">
        <v>152400</v>
      </c>
      <c r="V392" s="376">
        <f>T392</f>
        <v>0</v>
      </c>
      <c r="W392" s="376">
        <v>152400</v>
      </c>
      <c r="X392" s="376">
        <f>V392</f>
        <v>0</v>
      </c>
      <c r="Y392" s="379" t="e">
        <f>T392/H392</f>
        <v>#VALUE!</v>
      </c>
      <c r="Z392" s="376" t="s">
        <v>76</v>
      </c>
      <c r="AA392" s="380"/>
      <c r="AB392" s="410"/>
      <c r="AC392" s="374" t="s">
        <v>40</v>
      </c>
      <c r="AD392" s="373" t="s">
        <v>680</v>
      </c>
      <c r="AE392" s="378"/>
      <c r="AF392" s="378"/>
      <c r="AG392" s="383"/>
      <c r="AH392" s="378"/>
    </row>
    <row r="393" spans="1:34" ht="24">
      <c r="A393" s="378" t="s">
        <v>471</v>
      </c>
      <c r="B393" s="371"/>
      <c r="C393" s="372" t="s">
        <v>34</v>
      </c>
      <c r="D393" s="372" t="s">
        <v>35</v>
      </c>
      <c r="E393" s="371">
        <v>550360</v>
      </c>
      <c r="F393" s="373" t="s">
        <v>262</v>
      </c>
      <c r="G393" s="373" t="s">
        <v>497</v>
      </c>
      <c r="H393" s="374" t="s">
        <v>37</v>
      </c>
      <c r="I393" s="375">
        <v>2516</v>
      </c>
      <c r="J393" s="376" t="str">
        <f>H393</f>
        <v>Office</v>
      </c>
      <c r="K393" s="376">
        <v>2500</v>
      </c>
      <c r="L393" s="373" t="s">
        <v>615</v>
      </c>
      <c r="M393" s="384">
        <v>44445</v>
      </c>
      <c r="N393" s="377">
        <v>47026</v>
      </c>
      <c r="O393" s="378"/>
      <c r="P393" s="377">
        <v>46271</v>
      </c>
      <c r="Q393" s="378"/>
      <c r="R393" s="376">
        <v>150000</v>
      </c>
      <c r="S393" s="376">
        <f>Q393</f>
        <v>0</v>
      </c>
      <c r="T393" s="394"/>
      <c r="U393" s="376">
        <v>158800</v>
      </c>
      <c r="V393" s="376">
        <f>T393</f>
        <v>0</v>
      </c>
      <c r="W393" s="376">
        <v>159800</v>
      </c>
      <c r="X393" s="376">
        <f>V393</f>
        <v>0</v>
      </c>
      <c r="Y393" s="379" t="e">
        <f>T393/H393</f>
        <v>#VALUE!</v>
      </c>
      <c r="Z393" s="376" t="s">
        <v>76</v>
      </c>
      <c r="AA393" s="380"/>
      <c r="AB393" s="410"/>
      <c r="AC393" s="374" t="s">
        <v>40</v>
      </c>
      <c r="AD393" s="373" t="s">
        <v>681</v>
      </c>
      <c r="AE393" s="378"/>
      <c r="AF393" s="378"/>
      <c r="AG393" s="383"/>
      <c r="AH393" s="378"/>
    </row>
    <row r="394" spans="1:34" ht="24">
      <c r="A394" s="378" t="s">
        <v>471</v>
      </c>
      <c r="B394" s="371"/>
      <c r="C394" s="372" t="s">
        <v>34</v>
      </c>
      <c r="D394" s="372" t="s">
        <v>35</v>
      </c>
      <c r="E394" s="371">
        <v>550360</v>
      </c>
      <c r="F394" s="373" t="s">
        <v>262</v>
      </c>
      <c r="G394" s="373" t="s">
        <v>682</v>
      </c>
      <c r="H394" s="374" t="s">
        <v>37</v>
      </c>
      <c r="I394" s="375">
        <v>4902</v>
      </c>
      <c r="J394" s="376" t="str">
        <f>H394</f>
        <v>Office</v>
      </c>
      <c r="K394" s="376">
        <v>5000</v>
      </c>
      <c r="L394" s="373" t="s">
        <v>615</v>
      </c>
      <c r="M394" s="384">
        <v>45259</v>
      </c>
      <c r="N394" s="377">
        <v>47026</v>
      </c>
      <c r="O394" s="378"/>
      <c r="P394" s="378"/>
      <c r="Q394" s="378"/>
      <c r="R394" s="376">
        <v>307687</v>
      </c>
      <c r="S394" s="376">
        <f>Q394</f>
        <v>0</v>
      </c>
      <c r="T394" s="394"/>
      <c r="U394" s="376">
        <v>314300</v>
      </c>
      <c r="V394" s="376">
        <f>T394</f>
        <v>0</v>
      </c>
      <c r="W394" s="376">
        <v>311300</v>
      </c>
      <c r="X394" s="376">
        <f>V394</f>
        <v>0</v>
      </c>
      <c r="Y394" s="379" t="e">
        <f>T394/H394</f>
        <v>#VALUE!</v>
      </c>
      <c r="Z394" s="376" t="s">
        <v>76</v>
      </c>
      <c r="AA394" s="380"/>
      <c r="AB394" s="410"/>
      <c r="AC394" s="374" t="s">
        <v>40</v>
      </c>
      <c r="AD394" s="373" t="s">
        <v>683</v>
      </c>
      <c r="AE394" s="378"/>
      <c r="AF394" s="378"/>
      <c r="AG394" s="383"/>
      <c r="AH394" s="378"/>
    </row>
    <row r="395" spans="1:34" ht="24.75" customHeight="1">
      <c r="A395" s="378" t="s">
        <v>471</v>
      </c>
      <c r="B395" s="371"/>
      <c r="C395" s="372" t="s">
        <v>34</v>
      </c>
      <c r="D395" s="372" t="s">
        <v>35</v>
      </c>
      <c r="E395" s="371">
        <v>550360</v>
      </c>
      <c r="F395" s="373" t="s">
        <v>262</v>
      </c>
      <c r="G395" s="373" t="s">
        <v>546</v>
      </c>
      <c r="H395" s="374" t="s">
        <v>37</v>
      </c>
      <c r="I395" s="375">
        <v>2251</v>
      </c>
      <c r="J395" s="376" t="str">
        <f>H395</f>
        <v>Office</v>
      </c>
      <c r="K395" s="376">
        <v>2250</v>
      </c>
      <c r="L395" s="373" t="s">
        <v>615</v>
      </c>
      <c r="M395" s="384">
        <v>45259</v>
      </c>
      <c r="N395" s="377">
        <v>47026</v>
      </c>
      <c r="O395" s="378"/>
      <c r="P395" s="378"/>
      <c r="Q395" s="378"/>
      <c r="R395" s="376">
        <v>138500</v>
      </c>
      <c r="S395" s="376">
        <f>Q395</f>
        <v>0</v>
      </c>
      <c r="T395" s="394"/>
      <c r="U395" s="376">
        <v>138500</v>
      </c>
      <c r="V395" s="376">
        <f>T395</f>
        <v>0</v>
      </c>
      <c r="W395" s="376">
        <v>140700</v>
      </c>
      <c r="X395" s="376">
        <f>V395</f>
        <v>0</v>
      </c>
      <c r="Y395" s="379" t="e">
        <f>T395/H395</f>
        <v>#VALUE!</v>
      </c>
      <c r="Z395" s="376" t="s">
        <v>76</v>
      </c>
      <c r="AA395" s="380"/>
      <c r="AB395" s="410"/>
      <c r="AC395" s="374" t="s">
        <v>40</v>
      </c>
      <c r="AD395" s="373" t="s">
        <v>683</v>
      </c>
      <c r="AE395" s="378"/>
      <c r="AF395" s="378"/>
      <c r="AG395" s="383"/>
      <c r="AH395" s="378"/>
    </row>
    <row r="396" spans="1:34" ht="14.25" customHeight="1">
      <c r="B396" s="2"/>
      <c r="C396" s="11"/>
      <c r="D396" s="11" t="s">
        <v>35</v>
      </c>
      <c r="E396" s="2"/>
      <c r="G396" s="92" t="s">
        <v>684</v>
      </c>
      <c r="I396" s="33"/>
      <c r="J396" s="18"/>
      <c r="K396" s="18"/>
      <c r="L396" s="34"/>
      <c r="M396" s="35"/>
      <c r="N396" s="36"/>
      <c r="O396" s="36"/>
      <c r="P396" s="36"/>
      <c r="Q396" s="36"/>
      <c r="R396" s="33"/>
      <c r="S396" s="33"/>
      <c r="T396" s="33"/>
      <c r="U396" s="33"/>
      <c r="V396" s="33"/>
      <c r="W396" s="33"/>
      <c r="X396" s="33"/>
      <c r="Y396" s="33"/>
      <c r="Z396" s="33"/>
      <c r="AA396" s="63"/>
      <c r="AB396" s="47"/>
      <c r="AC396" s="14"/>
      <c r="AG396" s="300"/>
    </row>
    <row r="397" spans="1:34" ht="14.25" customHeight="1">
      <c r="B397" s="2"/>
      <c r="C397" s="11"/>
      <c r="D397" s="11" t="s">
        <v>35</v>
      </c>
      <c r="E397" s="2"/>
      <c r="G397" s="92"/>
      <c r="I397" s="47">
        <f>SUM(H391:H395)</f>
        <v>0</v>
      </c>
      <c r="J397" s="18"/>
      <c r="K397" s="18"/>
      <c r="L397" s="34"/>
      <c r="M397" s="35"/>
      <c r="N397" s="36"/>
      <c r="O397" s="36"/>
      <c r="P397" s="36"/>
      <c r="Q397" s="36"/>
      <c r="R397" s="47">
        <f>SUM(Q391:Q395)</f>
        <v>94092</v>
      </c>
      <c r="S397" s="47"/>
      <c r="T397" s="19">
        <f>SUM(R391:R396)</f>
        <v>1030975</v>
      </c>
      <c r="U397" s="47">
        <f>SUM(T391:T395)</f>
        <v>0</v>
      </c>
      <c r="V397" s="47"/>
      <c r="W397" s="47">
        <f>SUM(V391:V395)</f>
        <v>0</v>
      </c>
      <c r="X397" s="47"/>
      <c r="Y397" s="47"/>
      <c r="Z397" s="47"/>
      <c r="AA397" s="67"/>
      <c r="AB397" s="47">
        <v>14250000</v>
      </c>
      <c r="AC397" s="14"/>
      <c r="AF397" s="29"/>
      <c r="AG397" s="301"/>
      <c r="AH397" s="29"/>
    </row>
    <row r="398" spans="1:34" ht="14.25" customHeight="1">
      <c r="B398" s="2"/>
      <c r="C398" s="11"/>
      <c r="D398" s="11" t="s">
        <v>35</v>
      </c>
      <c r="E398" s="2"/>
      <c r="G398" s="92"/>
      <c r="I398" s="33"/>
      <c r="J398" s="18"/>
      <c r="K398" s="18"/>
      <c r="L398" s="34"/>
      <c r="M398" s="35"/>
      <c r="N398" s="36"/>
      <c r="O398" s="36"/>
      <c r="P398" s="36"/>
      <c r="Q398" s="36"/>
      <c r="R398" s="33"/>
      <c r="S398" s="33"/>
      <c r="T398" s="33"/>
      <c r="U398" s="33"/>
      <c r="V398" s="33"/>
      <c r="W398" s="33"/>
      <c r="X398" s="33"/>
      <c r="Y398" s="33"/>
      <c r="Z398" s="33"/>
      <c r="AA398" s="63"/>
      <c r="AB398" s="47"/>
      <c r="AC398" s="14"/>
      <c r="AG398" s="300"/>
    </row>
    <row r="399" spans="1:34" ht="14.25" customHeight="1">
      <c r="A399" t="s">
        <v>928</v>
      </c>
      <c r="B399" s="2"/>
      <c r="C399" s="11"/>
      <c r="D399" s="11" t="s">
        <v>35</v>
      </c>
      <c r="E399" s="2"/>
      <c r="H399" s="6" t="s">
        <v>265</v>
      </c>
      <c r="J399" s="10"/>
      <c r="K399" s="10"/>
      <c r="L399" s="32"/>
      <c r="V399" s="10"/>
      <c r="X399" s="10"/>
      <c r="Y399" s="10"/>
      <c r="Z399" s="10"/>
      <c r="AA399" s="61"/>
      <c r="AB399" s="47"/>
      <c r="AC399" s="14"/>
      <c r="AG399" s="300"/>
    </row>
    <row r="400" spans="1:34" ht="14.25" customHeight="1">
      <c r="B400" s="2"/>
      <c r="C400" s="11"/>
      <c r="D400" s="11" t="s">
        <v>35</v>
      </c>
      <c r="E400" s="2"/>
      <c r="J400" s="10"/>
      <c r="K400" s="10"/>
      <c r="U400" s="10"/>
      <c r="V400" s="10"/>
      <c r="W400" s="10"/>
      <c r="X400" s="10"/>
      <c r="Y400" s="10"/>
      <c r="Z400" s="10"/>
      <c r="AA400" s="61"/>
      <c r="AB400" s="47"/>
      <c r="AC400" s="14"/>
      <c r="AG400" s="300"/>
    </row>
    <row r="401" spans="1:34">
      <c r="A401" s="370" t="s">
        <v>471</v>
      </c>
      <c r="B401" s="371"/>
      <c r="C401" s="372" t="s">
        <v>34</v>
      </c>
      <c r="D401" s="372" t="s">
        <v>35</v>
      </c>
      <c r="E401" s="371">
        <v>550370</v>
      </c>
      <c r="F401" s="373" t="s">
        <v>265</v>
      </c>
      <c r="G401" s="373" t="s">
        <v>266</v>
      </c>
      <c r="H401" s="374" t="s">
        <v>37</v>
      </c>
      <c r="I401" s="375">
        <v>2161</v>
      </c>
      <c r="J401" s="375" t="str">
        <f t="shared" ref="J401:J407" si="63">H401</f>
        <v>Office</v>
      </c>
      <c r="K401" s="375">
        <v>2000</v>
      </c>
      <c r="L401" s="373" t="s">
        <v>68</v>
      </c>
      <c r="M401" s="378"/>
      <c r="N401" s="378"/>
      <c r="O401" s="377">
        <v>44063</v>
      </c>
      <c r="P401" s="378"/>
      <c r="Q401" s="378"/>
      <c r="R401" s="376">
        <v>0</v>
      </c>
      <c r="S401" s="376">
        <f t="shared" ref="S401:S407" si="64">Q401</f>
        <v>0</v>
      </c>
      <c r="T401" s="378"/>
      <c r="U401" s="376">
        <v>53800</v>
      </c>
      <c r="V401" s="376">
        <f t="shared" ref="V401:V407" si="65">T401</f>
        <v>0</v>
      </c>
      <c r="W401" s="376">
        <v>54000</v>
      </c>
      <c r="X401" s="376">
        <f t="shared" ref="X401:X407" si="66">V401</f>
        <v>0</v>
      </c>
      <c r="Y401" s="379" t="e">
        <f t="shared" ref="Y401:Y407" si="67">T401/H401</f>
        <v>#VALUE!</v>
      </c>
      <c r="Z401" s="376" t="s">
        <v>76</v>
      </c>
      <c r="AA401" s="380"/>
      <c r="AB401" s="410"/>
      <c r="AC401" s="374" t="s">
        <v>40</v>
      </c>
      <c r="AD401" s="373" t="s">
        <v>267</v>
      </c>
      <c r="AE401" s="378"/>
      <c r="AF401" s="373">
        <v>2</v>
      </c>
      <c r="AG401" s="383">
        <v>8</v>
      </c>
      <c r="AH401" s="373" t="s">
        <v>160</v>
      </c>
    </row>
    <row r="402" spans="1:34" ht="24">
      <c r="A402" s="378" t="s">
        <v>471</v>
      </c>
      <c r="B402" s="371"/>
      <c r="C402" s="372" t="s">
        <v>34</v>
      </c>
      <c r="D402" s="372" t="s">
        <v>35</v>
      </c>
      <c r="E402" s="371">
        <v>550370</v>
      </c>
      <c r="F402" s="373" t="s">
        <v>265</v>
      </c>
      <c r="G402" s="373" t="s">
        <v>78</v>
      </c>
      <c r="H402" s="374" t="s">
        <v>37</v>
      </c>
      <c r="I402" s="375">
        <v>2185</v>
      </c>
      <c r="J402" s="375" t="str">
        <f t="shared" si="63"/>
        <v>Office</v>
      </c>
      <c r="K402" s="375">
        <v>2000</v>
      </c>
      <c r="L402" s="373" t="s">
        <v>263</v>
      </c>
      <c r="M402" s="384">
        <v>45240</v>
      </c>
      <c r="N402" s="377">
        <v>48892</v>
      </c>
      <c r="O402" s="378"/>
      <c r="P402" s="377">
        <v>47067</v>
      </c>
      <c r="Q402" s="377">
        <v>47066</v>
      </c>
      <c r="R402" s="376">
        <v>132000</v>
      </c>
      <c r="S402" s="376">
        <f t="shared" si="64"/>
        <v>47066</v>
      </c>
      <c r="T402" s="378"/>
      <c r="U402" s="376">
        <v>130000</v>
      </c>
      <c r="V402" s="376">
        <f t="shared" si="65"/>
        <v>0</v>
      </c>
      <c r="W402" s="376">
        <v>132000</v>
      </c>
      <c r="X402" s="376">
        <f t="shared" si="66"/>
        <v>0</v>
      </c>
      <c r="Y402" s="379" t="e">
        <f t="shared" si="67"/>
        <v>#VALUE!</v>
      </c>
      <c r="Z402" s="376" t="s">
        <v>39</v>
      </c>
      <c r="AA402" s="380"/>
      <c r="AB402" s="410"/>
      <c r="AC402" s="374" t="s">
        <v>40</v>
      </c>
      <c r="AD402" s="373" t="s">
        <v>268</v>
      </c>
      <c r="AE402" s="378"/>
      <c r="AF402" s="378"/>
      <c r="AG402" s="383"/>
      <c r="AH402" s="378"/>
    </row>
    <row r="403" spans="1:34" ht="14.25" customHeight="1">
      <c r="A403" s="378" t="s">
        <v>471</v>
      </c>
      <c r="B403" s="371"/>
      <c r="C403" s="372" t="s">
        <v>34</v>
      </c>
      <c r="D403" s="372" t="s">
        <v>35</v>
      </c>
      <c r="E403" s="371">
        <v>550370</v>
      </c>
      <c r="F403" s="373" t="s">
        <v>265</v>
      </c>
      <c r="G403" s="373" t="s">
        <v>494</v>
      </c>
      <c r="H403" s="374" t="s">
        <v>37</v>
      </c>
      <c r="I403" s="375">
        <v>1606</v>
      </c>
      <c r="J403" s="375" t="str">
        <f t="shared" si="63"/>
        <v>Office</v>
      </c>
      <c r="K403" s="375">
        <v>1500</v>
      </c>
      <c r="L403" s="373" t="s">
        <v>68</v>
      </c>
      <c r="M403" s="378"/>
      <c r="N403" s="378"/>
      <c r="O403" s="377">
        <v>44403</v>
      </c>
      <c r="P403" s="378"/>
      <c r="Q403" s="378"/>
      <c r="R403" s="376">
        <v>0</v>
      </c>
      <c r="S403" s="376">
        <f t="shared" si="64"/>
        <v>0</v>
      </c>
      <c r="T403" s="378"/>
      <c r="U403" s="376">
        <v>85800</v>
      </c>
      <c r="V403" s="376">
        <f t="shared" si="65"/>
        <v>0</v>
      </c>
      <c r="W403" s="376">
        <v>100400</v>
      </c>
      <c r="X403" s="376">
        <f t="shared" si="66"/>
        <v>0</v>
      </c>
      <c r="Y403" s="379" t="e">
        <f t="shared" si="67"/>
        <v>#VALUE!</v>
      </c>
      <c r="Z403" s="376" t="s">
        <v>69</v>
      </c>
      <c r="AA403" s="380"/>
      <c r="AB403" s="410"/>
      <c r="AC403" s="374" t="s">
        <v>40</v>
      </c>
      <c r="AD403" s="373" t="s">
        <v>510</v>
      </c>
      <c r="AE403" s="388">
        <v>65</v>
      </c>
      <c r="AF403" s="378"/>
      <c r="AG403" s="383">
        <v>1</v>
      </c>
      <c r="AH403" s="373" t="s">
        <v>160</v>
      </c>
    </row>
    <row r="404" spans="1:34" ht="24">
      <c r="A404" s="378" t="s">
        <v>471</v>
      </c>
      <c r="B404" s="371"/>
      <c r="C404" s="372" t="s">
        <v>34</v>
      </c>
      <c r="D404" s="372" t="s">
        <v>35</v>
      </c>
      <c r="E404" s="371">
        <v>550370</v>
      </c>
      <c r="F404" s="373" t="s">
        <v>265</v>
      </c>
      <c r="G404" s="373" t="s">
        <v>497</v>
      </c>
      <c r="H404" s="396" t="s">
        <v>37</v>
      </c>
      <c r="I404" s="375">
        <v>1296</v>
      </c>
      <c r="J404" s="375" t="str">
        <f t="shared" si="63"/>
        <v>Office</v>
      </c>
      <c r="K404" s="375">
        <v>1250</v>
      </c>
      <c r="L404" s="373" t="s">
        <v>685</v>
      </c>
      <c r="M404" s="384">
        <v>44798</v>
      </c>
      <c r="N404" s="377">
        <v>46623</v>
      </c>
      <c r="O404" s="378"/>
      <c r="P404" s="378"/>
      <c r="Q404" s="378"/>
      <c r="R404" s="376">
        <v>73700</v>
      </c>
      <c r="S404" s="376">
        <f t="shared" si="64"/>
        <v>0</v>
      </c>
      <c r="T404" s="378"/>
      <c r="U404" s="376">
        <v>73500</v>
      </c>
      <c r="V404" s="376">
        <f t="shared" si="65"/>
        <v>0</v>
      </c>
      <c r="W404" s="376">
        <v>81000</v>
      </c>
      <c r="X404" s="376">
        <f t="shared" si="66"/>
        <v>0</v>
      </c>
      <c r="Y404" s="379" t="e">
        <f t="shared" si="67"/>
        <v>#VALUE!</v>
      </c>
      <c r="Z404" s="376" t="s">
        <v>69</v>
      </c>
      <c r="AA404" s="380"/>
      <c r="AB404" s="410"/>
      <c r="AC404" s="374" t="s">
        <v>40</v>
      </c>
      <c r="AD404" s="378"/>
      <c r="AE404" s="378"/>
      <c r="AF404" s="378"/>
      <c r="AG404" s="383"/>
      <c r="AH404" s="378"/>
    </row>
    <row r="405" spans="1:34" ht="14.25" customHeight="1">
      <c r="A405" s="378" t="s">
        <v>471</v>
      </c>
      <c r="B405" s="371"/>
      <c r="C405" s="372" t="s">
        <v>34</v>
      </c>
      <c r="D405" s="372" t="s">
        <v>35</v>
      </c>
      <c r="E405" s="371">
        <v>550370</v>
      </c>
      <c r="F405" s="373" t="s">
        <v>265</v>
      </c>
      <c r="G405" s="373" t="s">
        <v>498</v>
      </c>
      <c r="H405" s="374" t="s">
        <v>37</v>
      </c>
      <c r="I405" s="375">
        <v>1129</v>
      </c>
      <c r="J405" s="375" t="str">
        <f t="shared" si="63"/>
        <v>Office</v>
      </c>
      <c r="K405" s="375">
        <v>1000</v>
      </c>
      <c r="L405" s="373" t="s">
        <v>68</v>
      </c>
      <c r="M405" s="378"/>
      <c r="N405" s="378"/>
      <c r="O405" s="377">
        <v>44097</v>
      </c>
      <c r="P405" s="378"/>
      <c r="Q405" s="378"/>
      <c r="R405" s="376">
        <v>0</v>
      </c>
      <c r="S405" s="376">
        <f t="shared" si="64"/>
        <v>0</v>
      </c>
      <c r="T405" s="378"/>
      <c r="U405" s="376">
        <v>65600</v>
      </c>
      <c r="V405" s="376">
        <f t="shared" si="65"/>
        <v>0</v>
      </c>
      <c r="W405" s="376">
        <v>70600</v>
      </c>
      <c r="X405" s="376">
        <f t="shared" si="66"/>
        <v>0</v>
      </c>
      <c r="Y405" s="379" t="e">
        <f t="shared" si="67"/>
        <v>#VALUE!</v>
      </c>
      <c r="Z405" s="376" t="s">
        <v>69</v>
      </c>
      <c r="AA405" s="380"/>
      <c r="AB405" s="410"/>
      <c r="AC405" s="374" t="s">
        <v>40</v>
      </c>
      <c r="AD405" s="373" t="s">
        <v>510</v>
      </c>
      <c r="AE405" s="388">
        <v>65</v>
      </c>
      <c r="AF405" s="378"/>
      <c r="AG405" s="383"/>
      <c r="AH405" s="378"/>
    </row>
    <row r="406" spans="1:34">
      <c r="A406" s="378" t="s">
        <v>471</v>
      </c>
      <c r="B406" s="371"/>
      <c r="C406" s="372" t="s">
        <v>34</v>
      </c>
      <c r="D406" s="372" t="s">
        <v>35</v>
      </c>
      <c r="E406" s="371">
        <v>550370</v>
      </c>
      <c r="F406" s="373" t="s">
        <v>265</v>
      </c>
      <c r="G406" s="373" t="s">
        <v>509</v>
      </c>
      <c r="H406" s="374" t="s">
        <v>37</v>
      </c>
      <c r="I406" s="375">
        <v>856</v>
      </c>
      <c r="J406" s="375" t="str">
        <f t="shared" si="63"/>
        <v>Office</v>
      </c>
      <c r="K406" s="375">
        <v>1000</v>
      </c>
      <c r="L406" s="373" t="s">
        <v>68</v>
      </c>
      <c r="M406" s="378"/>
      <c r="N406" s="378"/>
      <c r="O406" s="377">
        <v>44814</v>
      </c>
      <c r="P406" s="378"/>
      <c r="Q406" s="378"/>
      <c r="R406" s="376">
        <v>0</v>
      </c>
      <c r="S406" s="376">
        <f t="shared" si="64"/>
        <v>0</v>
      </c>
      <c r="T406" s="378"/>
      <c r="U406" s="376">
        <v>45000</v>
      </c>
      <c r="V406" s="376">
        <f t="shared" si="65"/>
        <v>0</v>
      </c>
      <c r="W406" s="376">
        <v>53500</v>
      </c>
      <c r="X406" s="376">
        <f t="shared" si="66"/>
        <v>0</v>
      </c>
      <c r="Y406" s="379" t="e">
        <f t="shared" si="67"/>
        <v>#VALUE!</v>
      </c>
      <c r="Z406" s="376" t="s">
        <v>76</v>
      </c>
      <c r="AA406" s="380"/>
      <c r="AB406" s="410"/>
      <c r="AC406" s="374" t="s">
        <v>40</v>
      </c>
      <c r="AD406" s="373" t="s">
        <v>510</v>
      </c>
      <c r="AE406" s="388">
        <v>65</v>
      </c>
      <c r="AF406" s="378"/>
      <c r="AG406" s="383"/>
      <c r="AH406" s="378"/>
    </row>
    <row r="407" spans="1:34">
      <c r="A407" s="378" t="s">
        <v>471</v>
      </c>
      <c r="B407" s="371"/>
      <c r="C407" s="372" t="s">
        <v>34</v>
      </c>
      <c r="D407" s="372" t="s">
        <v>35</v>
      </c>
      <c r="E407" s="371">
        <v>550370</v>
      </c>
      <c r="F407" s="373" t="s">
        <v>265</v>
      </c>
      <c r="G407" s="391" t="s">
        <v>546</v>
      </c>
      <c r="H407" s="374" t="s">
        <v>37</v>
      </c>
      <c r="I407" s="375">
        <v>766</v>
      </c>
      <c r="J407" s="375" t="str">
        <f t="shared" si="63"/>
        <v>Office</v>
      </c>
      <c r="K407" s="375">
        <v>750</v>
      </c>
      <c r="L407" s="373" t="s">
        <v>68</v>
      </c>
      <c r="M407" s="378"/>
      <c r="N407" s="378"/>
      <c r="O407" s="377">
        <v>44063</v>
      </c>
      <c r="P407" s="378"/>
      <c r="Q407" s="378"/>
      <c r="R407" s="376">
        <v>0</v>
      </c>
      <c r="S407" s="376">
        <f t="shared" si="64"/>
        <v>0</v>
      </c>
      <c r="T407" s="378"/>
      <c r="U407" s="376">
        <v>39300</v>
      </c>
      <c r="V407" s="376">
        <f t="shared" si="65"/>
        <v>0</v>
      </c>
      <c r="W407" s="376">
        <v>43100</v>
      </c>
      <c r="X407" s="376">
        <f t="shared" si="66"/>
        <v>0</v>
      </c>
      <c r="Y407" s="379" t="e">
        <f t="shared" si="67"/>
        <v>#VALUE!</v>
      </c>
      <c r="Z407" s="376" t="s">
        <v>76</v>
      </c>
      <c r="AA407" s="380"/>
      <c r="AB407" s="410"/>
      <c r="AC407" s="374" t="s">
        <v>40</v>
      </c>
      <c r="AD407" s="373" t="s">
        <v>510</v>
      </c>
      <c r="AE407" s="388">
        <v>65</v>
      </c>
      <c r="AF407" s="378"/>
      <c r="AG407" s="383"/>
      <c r="AH407" s="378"/>
    </row>
    <row r="408" spans="1:34" ht="14.25" customHeight="1">
      <c r="B408" s="2"/>
      <c r="C408" s="11"/>
      <c r="D408" s="11" t="s">
        <v>35</v>
      </c>
      <c r="E408" s="2"/>
      <c r="J408" s="10"/>
      <c r="K408" s="10"/>
      <c r="U408" s="10"/>
      <c r="V408" s="10"/>
      <c r="W408" s="10"/>
      <c r="X408" s="10"/>
      <c r="Y408" s="10"/>
      <c r="Z408" s="10"/>
      <c r="AA408" s="61"/>
      <c r="AB408" s="47"/>
      <c r="AC408" s="14"/>
      <c r="AG408" s="300"/>
    </row>
    <row r="409" spans="1:34" ht="14.25" customHeight="1">
      <c r="B409" s="2"/>
      <c r="C409" s="11"/>
      <c r="D409" s="11" t="s">
        <v>35</v>
      </c>
      <c r="E409" s="2"/>
      <c r="G409" s="92" t="s">
        <v>686</v>
      </c>
      <c r="I409" s="18">
        <f>SUM(H401:H407)</f>
        <v>0</v>
      </c>
      <c r="J409" s="19"/>
      <c r="K409" s="19"/>
      <c r="R409" s="19">
        <f>SUM(Q401:Q408)</f>
        <v>47066</v>
      </c>
      <c r="S409" s="19"/>
      <c r="T409" s="19">
        <f>SUM(R399:R408)</f>
        <v>205700</v>
      </c>
      <c r="U409" s="19">
        <f>SUM(T401:T407)</f>
        <v>0</v>
      </c>
      <c r="V409" s="19"/>
      <c r="W409" s="19">
        <f>SUM(V401:V407)</f>
        <v>0</v>
      </c>
      <c r="X409" s="19"/>
      <c r="Y409" s="19"/>
      <c r="Z409" s="19"/>
      <c r="AA409" s="62"/>
      <c r="AB409" s="47">
        <v>6525000</v>
      </c>
      <c r="AC409" s="14"/>
      <c r="AF409" s="29"/>
      <c r="AG409" s="301"/>
      <c r="AH409" s="29"/>
    </row>
    <row r="410" spans="1:34" ht="14.25" customHeight="1">
      <c r="B410" s="2"/>
      <c r="C410" s="11"/>
      <c r="D410" s="11" t="s">
        <v>35</v>
      </c>
      <c r="E410" s="2"/>
      <c r="I410" s="18"/>
      <c r="J410" s="19"/>
      <c r="K410" s="19"/>
      <c r="R410" s="19"/>
      <c r="S410" s="19"/>
      <c r="T410" s="19"/>
      <c r="U410" s="19"/>
      <c r="V410" s="19"/>
      <c r="W410" s="19"/>
      <c r="X410" s="19"/>
      <c r="Y410" s="19"/>
      <c r="Z410" s="19"/>
      <c r="AA410" s="62"/>
      <c r="AB410" s="54"/>
      <c r="AC410" s="14"/>
      <c r="AG410" s="300"/>
    </row>
    <row r="411" spans="1:34" ht="14.25" customHeight="1">
      <c r="A411" t="s">
        <v>928</v>
      </c>
      <c r="B411" s="2"/>
      <c r="C411" s="11"/>
      <c r="D411" s="11" t="s">
        <v>35</v>
      </c>
      <c r="E411" s="2"/>
      <c r="H411" s="6" t="s">
        <v>269</v>
      </c>
      <c r="J411" s="10"/>
      <c r="K411" s="10"/>
      <c r="L411" s="32"/>
      <c r="V411" s="10"/>
      <c r="X411" s="10"/>
      <c r="Y411" s="10"/>
      <c r="Z411" s="10"/>
      <c r="AA411" s="61"/>
      <c r="AC411" s="14"/>
      <c r="AG411" s="300"/>
    </row>
    <row r="412" spans="1:34" ht="14.25" customHeight="1">
      <c r="B412" s="2"/>
      <c r="C412" s="11"/>
      <c r="D412" s="11" t="s">
        <v>35</v>
      </c>
      <c r="E412" s="2"/>
      <c r="H412" s="6"/>
      <c r="I412" s="24"/>
      <c r="J412" s="10"/>
      <c r="K412" s="10"/>
      <c r="U412" s="10"/>
      <c r="V412" s="10"/>
      <c r="W412" s="10"/>
      <c r="X412" s="10"/>
      <c r="Y412" s="10"/>
      <c r="Z412" s="10"/>
      <c r="AA412" s="61"/>
      <c r="AC412" s="14"/>
      <c r="AG412" s="300"/>
    </row>
    <row r="413" spans="1:34" ht="24">
      <c r="A413" s="370" t="s">
        <v>471</v>
      </c>
      <c r="B413" s="371"/>
      <c r="C413" s="372" t="s">
        <v>34</v>
      </c>
      <c r="D413" s="372" t="s">
        <v>35</v>
      </c>
      <c r="E413" s="371">
        <v>550380</v>
      </c>
      <c r="F413" s="373" t="s">
        <v>269</v>
      </c>
      <c r="G413" s="391" t="s">
        <v>104</v>
      </c>
      <c r="H413" s="374" t="s">
        <v>187</v>
      </c>
      <c r="I413" s="375">
        <v>2481</v>
      </c>
      <c r="J413" s="375" t="str">
        <f t="shared" ref="J413:J423" si="68">H413</f>
        <v>Office/ Showroom</v>
      </c>
      <c r="K413" s="375">
        <v>2500</v>
      </c>
      <c r="L413" s="411" t="s">
        <v>270</v>
      </c>
      <c r="M413" s="384">
        <v>44758</v>
      </c>
      <c r="N413" s="377">
        <v>46583</v>
      </c>
      <c r="O413" s="378"/>
      <c r="P413" s="378"/>
      <c r="Q413" s="378"/>
      <c r="R413" s="376">
        <v>69440</v>
      </c>
      <c r="S413" s="376">
        <f t="shared" ref="S413:S423" si="69">Q413</f>
        <v>0</v>
      </c>
      <c r="T413" s="378"/>
      <c r="U413" s="376">
        <v>69500</v>
      </c>
      <c r="V413" s="376">
        <f t="shared" ref="V413:V423" si="70">T413</f>
        <v>0</v>
      </c>
      <c r="W413" s="376">
        <v>69500</v>
      </c>
      <c r="X413" s="376">
        <f t="shared" ref="X413:X423" si="71">V413</f>
        <v>0</v>
      </c>
      <c r="Y413" s="379" t="e">
        <f t="shared" ref="Y413:Y423" si="72">T413/H413</f>
        <v>#VALUE!</v>
      </c>
      <c r="Z413" s="376" t="s">
        <v>76</v>
      </c>
      <c r="AA413" s="380"/>
      <c r="AB413" s="381"/>
      <c r="AC413" s="374" t="s">
        <v>40</v>
      </c>
      <c r="AD413" s="378"/>
      <c r="AE413" s="378"/>
      <c r="AF413" s="378"/>
      <c r="AG413" s="383"/>
      <c r="AH413" s="378"/>
    </row>
    <row r="414" spans="1:34" ht="24">
      <c r="A414" s="378" t="s">
        <v>471</v>
      </c>
      <c r="B414" s="371"/>
      <c r="C414" s="372" t="s">
        <v>34</v>
      </c>
      <c r="D414" s="372" t="s">
        <v>35</v>
      </c>
      <c r="E414" s="371">
        <v>550380</v>
      </c>
      <c r="F414" s="373" t="s">
        <v>269</v>
      </c>
      <c r="G414" s="373" t="s">
        <v>271</v>
      </c>
      <c r="H414" s="374" t="s">
        <v>120</v>
      </c>
      <c r="I414" s="375">
        <v>1616</v>
      </c>
      <c r="J414" s="375" t="str">
        <f t="shared" si="68"/>
        <v>Showroom</v>
      </c>
      <c r="K414" s="375">
        <v>1500</v>
      </c>
      <c r="L414" s="373" t="s">
        <v>263</v>
      </c>
      <c r="M414" s="384">
        <v>45240</v>
      </c>
      <c r="N414" s="377">
        <v>48892</v>
      </c>
      <c r="O414" s="378"/>
      <c r="P414" s="377">
        <v>47067</v>
      </c>
      <c r="Q414" s="377">
        <v>47066</v>
      </c>
      <c r="R414" s="376">
        <v>85500</v>
      </c>
      <c r="S414" s="376">
        <f t="shared" si="69"/>
        <v>47066</v>
      </c>
      <c r="T414" s="378"/>
      <c r="U414" s="376">
        <v>84800</v>
      </c>
      <c r="V414" s="376">
        <f t="shared" si="70"/>
        <v>0</v>
      </c>
      <c r="W414" s="376">
        <v>85000</v>
      </c>
      <c r="X414" s="376">
        <f t="shared" si="71"/>
        <v>0</v>
      </c>
      <c r="Y414" s="379" t="e">
        <f t="shared" si="72"/>
        <v>#VALUE!</v>
      </c>
      <c r="Z414" s="376" t="s">
        <v>69</v>
      </c>
      <c r="AA414" s="380"/>
      <c r="AB414" s="381"/>
      <c r="AC414" s="374" t="s">
        <v>40</v>
      </c>
      <c r="AD414" s="373" t="s">
        <v>268</v>
      </c>
      <c r="AE414" s="378"/>
      <c r="AF414" s="378"/>
      <c r="AG414" s="383"/>
      <c r="AH414" s="378"/>
    </row>
    <row r="415" spans="1:34" ht="22.5" customHeight="1">
      <c r="A415" s="378" t="s">
        <v>471</v>
      </c>
      <c r="B415" s="371"/>
      <c r="C415" s="372" t="s">
        <v>34</v>
      </c>
      <c r="D415" s="372" t="s">
        <v>35</v>
      </c>
      <c r="E415" s="371">
        <v>550380</v>
      </c>
      <c r="F415" s="373" t="s">
        <v>269</v>
      </c>
      <c r="G415" s="391" t="s">
        <v>272</v>
      </c>
      <c r="H415" s="374" t="s">
        <v>187</v>
      </c>
      <c r="I415" s="375">
        <v>1485</v>
      </c>
      <c r="J415" s="375" t="str">
        <f t="shared" si="68"/>
        <v>Office/ Showroom</v>
      </c>
      <c r="K415" s="375">
        <v>1500</v>
      </c>
      <c r="L415" s="373" t="s">
        <v>273</v>
      </c>
      <c r="M415" s="384">
        <v>45525</v>
      </c>
      <c r="N415" s="377">
        <v>47350</v>
      </c>
      <c r="O415" s="378"/>
      <c r="P415" s="378"/>
      <c r="Q415" s="377">
        <v>46620</v>
      </c>
      <c r="R415" s="376">
        <v>90000</v>
      </c>
      <c r="S415" s="376">
        <f t="shared" si="69"/>
        <v>46620</v>
      </c>
      <c r="T415" s="378"/>
      <c r="U415" s="376">
        <v>78000</v>
      </c>
      <c r="V415" s="376">
        <f t="shared" si="70"/>
        <v>0</v>
      </c>
      <c r="W415" s="376">
        <v>90000</v>
      </c>
      <c r="X415" s="376">
        <f t="shared" si="71"/>
        <v>0</v>
      </c>
      <c r="Y415" s="379" t="e">
        <f t="shared" si="72"/>
        <v>#VALUE!</v>
      </c>
      <c r="Z415" s="376" t="s">
        <v>76</v>
      </c>
      <c r="AA415" s="380"/>
      <c r="AB415" s="381"/>
      <c r="AC415" s="374" t="s">
        <v>40</v>
      </c>
      <c r="AD415" s="373" t="s">
        <v>192</v>
      </c>
      <c r="AE415" s="378"/>
      <c r="AF415" s="378"/>
      <c r="AG415" s="383"/>
      <c r="AH415" s="378"/>
    </row>
    <row r="416" spans="1:34" ht="36">
      <c r="A416" s="378" t="s">
        <v>471</v>
      </c>
      <c r="B416" s="371"/>
      <c r="C416" s="372" t="s">
        <v>34</v>
      </c>
      <c r="D416" s="372" t="s">
        <v>35</v>
      </c>
      <c r="E416" s="371">
        <v>550380</v>
      </c>
      <c r="F416" s="373" t="s">
        <v>269</v>
      </c>
      <c r="G416" s="373" t="s">
        <v>494</v>
      </c>
      <c r="H416" s="374" t="s">
        <v>37</v>
      </c>
      <c r="I416" s="375">
        <v>1855</v>
      </c>
      <c r="J416" s="375" t="str">
        <f t="shared" si="68"/>
        <v>Office</v>
      </c>
      <c r="K416" s="375">
        <v>2000</v>
      </c>
      <c r="L416" s="373" t="s">
        <v>270</v>
      </c>
      <c r="M416" s="384">
        <v>44758</v>
      </c>
      <c r="N416" s="377">
        <v>46583</v>
      </c>
      <c r="O416" s="378"/>
      <c r="P416" s="378"/>
      <c r="Q416" s="378"/>
      <c r="R416" s="376">
        <v>106663</v>
      </c>
      <c r="S416" s="376">
        <f t="shared" si="69"/>
        <v>0</v>
      </c>
      <c r="T416" s="378"/>
      <c r="U416" s="376">
        <v>106700</v>
      </c>
      <c r="V416" s="376">
        <f t="shared" si="70"/>
        <v>0</v>
      </c>
      <c r="W416" s="376">
        <v>106700</v>
      </c>
      <c r="X416" s="376">
        <f t="shared" si="71"/>
        <v>0</v>
      </c>
      <c r="Y416" s="379" t="e">
        <f t="shared" si="72"/>
        <v>#VALUE!</v>
      </c>
      <c r="Z416" s="376" t="s">
        <v>76</v>
      </c>
      <c r="AA416" s="380"/>
      <c r="AB416" s="381"/>
      <c r="AC416" s="374" t="s">
        <v>40</v>
      </c>
      <c r="AD416" s="378"/>
      <c r="AE416" s="378"/>
      <c r="AF416" s="378"/>
      <c r="AG416" s="383"/>
      <c r="AH416" s="378"/>
    </row>
    <row r="417" spans="1:34" ht="24" customHeight="1">
      <c r="A417" s="378" t="s">
        <v>471</v>
      </c>
      <c r="B417" s="371"/>
      <c r="C417" s="372" t="s">
        <v>34</v>
      </c>
      <c r="D417" s="372" t="s">
        <v>35</v>
      </c>
      <c r="E417" s="371">
        <v>550380</v>
      </c>
      <c r="F417" s="373" t="s">
        <v>269</v>
      </c>
      <c r="G417" s="373" t="s">
        <v>687</v>
      </c>
      <c r="H417" s="374" t="s">
        <v>37</v>
      </c>
      <c r="I417" s="375">
        <v>726</v>
      </c>
      <c r="J417" s="375" t="str">
        <f t="shared" si="68"/>
        <v>Office</v>
      </c>
      <c r="K417" s="375">
        <v>750</v>
      </c>
      <c r="L417" s="373" t="s">
        <v>270</v>
      </c>
      <c r="M417" s="384">
        <v>44758</v>
      </c>
      <c r="N417" s="377">
        <v>46583</v>
      </c>
      <c r="O417" s="378"/>
      <c r="P417" s="378"/>
      <c r="Q417" s="378"/>
      <c r="R417" s="376">
        <v>41975</v>
      </c>
      <c r="S417" s="376">
        <f t="shared" si="69"/>
        <v>0</v>
      </c>
      <c r="T417" s="378"/>
      <c r="U417" s="376">
        <v>41700</v>
      </c>
      <c r="V417" s="376">
        <f t="shared" si="70"/>
        <v>0</v>
      </c>
      <c r="W417" s="376">
        <v>41700</v>
      </c>
      <c r="X417" s="376">
        <f t="shared" si="71"/>
        <v>0</v>
      </c>
      <c r="Y417" s="379" t="e">
        <f t="shared" si="72"/>
        <v>#VALUE!</v>
      </c>
      <c r="Z417" s="376" t="s">
        <v>76</v>
      </c>
      <c r="AA417" s="380"/>
      <c r="AB417" s="381"/>
      <c r="AC417" s="374" t="s">
        <v>40</v>
      </c>
      <c r="AD417" s="378"/>
      <c r="AE417" s="378"/>
      <c r="AF417" s="378"/>
      <c r="AG417" s="383"/>
      <c r="AH417" s="378"/>
    </row>
    <row r="418" spans="1:34" ht="23.25" customHeight="1">
      <c r="A418" s="378" t="s">
        <v>471</v>
      </c>
      <c r="B418" s="371"/>
      <c r="C418" s="372" t="s">
        <v>34</v>
      </c>
      <c r="D418" s="372" t="s">
        <v>35</v>
      </c>
      <c r="E418" s="371">
        <v>550380</v>
      </c>
      <c r="F418" s="373" t="s">
        <v>269</v>
      </c>
      <c r="G418" s="391" t="s">
        <v>688</v>
      </c>
      <c r="H418" s="372" t="s">
        <v>37</v>
      </c>
      <c r="I418" s="375">
        <v>1220</v>
      </c>
      <c r="J418" s="375" t="str">
        <f t="shared" si="68"/>
        <v>Office</v>
      </c>
      <c r="K418" s="375">
        <v>1250</v>
      </c>
      <c r="L418" s="373" t="s">
        <v>689</v>
      </c>
      <c r="M418" s="384">
        <v>45438</v>
      </c>
      <c r="N418" s="377">
        <v>47263</v>
      </c>
      <c r="O418" s="378"/>
      <c r="P418" s="378"/>
      <c r="Q418" s="377">
        <v>46532</v>
      </c>
      <c r="R418" s="376">
        <v>70200</v>
      </c>
      <c r="S418" s="376">
        <f t="shared" si="69"/>
        <v>46532</v>
      </c>
      <c r="T418" s="378"/>
      <c r="U418" s="376">
        <v>70200</v>
      </c>
      <c r="V418" s="376">
        <f t="shared" si="70"/>
        <v>0</v>
      </c>
      <c r="W418" s="376">
        <v>70200</v>
      </c>
      <c r="X418" s="376">
        <f t="shared" si="71"/>
        <v>0</v>
      </c>
      <c r="Y418" s="379" t="e">
        <f t="shared" si="72"/>
        <v>#VALUE!</v>
      </c>
      <c r="Z418" s="376" t="s">
        <v>69</v>
      </c>
      <c r="AA418" s="380"/>
      <c r="AB418" s="381"/>
      <c r="AC418" s="374" t="s">
        <v>40</v>
      </c>
      <c r="AD418" s="373" t="s">
        <v>690</v>
      </c>
      <c r="AE418" s="378"/>
      <c r="AF418" s="378"/>
      <c r="AG418" s="383"/>
      <c r="AH418" s="378"/>
    </row>
    <row r="419" spans="1:34" ht="36">
      <c r="A419" s="378" t="s">
        <v>471</v>
      </c>
      <c r="B419" s="371"/>
      <c r="C419" s="372" t="s">
        <v>34</v>
      </c>
      <c r="D419" s="372" t="s">
        <v>35</v>
      </c>
      <c r="E419" s="371">
        <v>550380</v>
      </c>
      <c r="F419" s="373" t="s">
        <v>269</v>
      </c>
      <c r="G419" s="373" t="s">
        <v>498</v>
      </c>
      <c r="H419" s="374" t="s">
        <v>37</v>
      </c>
      <c r="I419" s="375">
        <v>1963</v>
      </c>
      <c r="J419" s="375" t="str">
        <f t="shared" si="68"/>
        <v>Office</v>
      </c>
      <c r="K419" s="375">
        <v>2000</v>
      </c>
      <c r="L419" s="373" t="s">
        <v>270</v>
      </c>
      <c r="M419" s="384">
        <v>44758</v>
      </c>
      <c r="N419" s="377">
        <v>46583</v>
      </c>
      <c r="O419" s="378"/>
      <c r="P419" s="378"/>
      <c r="Q419" s="378"/>
      <c r="R419" s="376">
        <v>107965</v>
      </c>
      <c r="S419" s="376">
        <f t="shared" si="69"/>
        <v>0</v>
      </c>
      <c r="T419" s="378"/>
      <c r="U419" s="376">
        <v>108000</v>
      </c>
      <c r="V419" s="376">
        <f t="shared" si="70"/>
        <v>0</v>
      </c>
      <c r="W419" s="376">
        <v>108000</v>
      </c>
      <c r="X419" s="376">
        <f t="shared" si="71"/>
        <v>0</v>
      </c>
      <c r="Y419" s="379" t="e">
        <f t="shared" si="72"/>
        <v>#VALUE!</v>
      </c>
      <c r="Z419" s="376" t="s">
        <v>76</v>
      </c>
      <c r="AA419" s="380"/>
      <c r="AB419" s="381"/>
      <c r="AC419" s="374" t="s">
        <v>40</v>
      </c>
      <c r="AD419" s="378"/>
      <c r="AE419" s="378"/>
      <c r="AF419" s="378"/>
      <c r="AG419" s="383"/>
      <c r="AH419" s="378"/>
    </row>
    <row r="420" spans="1:34" ht="28.5" customHeight="1">
      <c r="A420" s="378" t="s">
        <v>471</v>
      </c>
      <c r="B420" s="371"/>
      <c r="C420" s="372" t="s">
        <v>34</v>
      </c>
      <c r="D420" s="372" t="s">
        <v>35</v>
      </c>
      <c r="E420" s="371">
        <v>550380</v>
      </c>
      <c r="F420" s="373" t="s">
        <v>269</v>
      </c>
      <c r="G420" s="373" t="s">
        <v>691</v>
      </c>
      <c r="H420" s="374" t="s">
        <v>37</v>
      </c>
      <c r="I420" s="375">
        <v>94</v>
      </c>
      <c r="J420" s="375" t="str">
        <f t="shared" si="68"/>
        <v>Office</v>
      </c>
      <c r="K420" s="375">
        <v>100</v>
      </c>
      <c r="L420" s="373" t="s">
        <v>692</v>
      </c>
      <c r="M420" s="384">
        <v>43909</v>
      </c>
      <c r="N420" s="377">
        <v>45734</v>
      </c>
      <c r="O420" s="378"/>
      <c r="P420" s="378"/>
      <c r="Q420" s="378"/>
      <c r="R420" s="376">
        <v>6950</v>
      </c>
      <c r="S420" s="376">
        <f t="shared" si="69"/>
        <v>0</v>
      </c>
      <c r="T420" s="378"/>
      <c r="U420" s="376">
        <v>5410</v>
      </c>
      <c r="V420" s="376">
        <f t="shared" si="70"/>
        <v>0</v>
      </c>
      <c r="W420" s="376">
        <v>5410</v>
      </c>
      <c r="X420" s="376">
        <f t="shared" si="71"/>
        <v>0</v>
      </c>
      <c r="Y420" s="379" t="e">
        <f t="shared" si="72"/>
        <v>#VALUE!</v>
      </c>
      <c r="Z420" s="376" t="s">
        <v>76</v>
      </c>
      <c r="AA420" s="380" t="s">
        <v>25</v>
      </c>
      <c r="AB420" s="381"/>
      <c r="AC420" s="374" t="s">
        <v>40</v>
      </c>
      <c r="AD420" s="373" t="s">
        <v>693</v>
      </c>
      <c r="AE420" s="378"/>
      <c r="AF420" s="378"/>
      <c r="AG420" s="383"/>
      <c r="AH420" s="378"/>
    </row>
    <row r="421" spans="1:34">
      <c r="A421" s="378" t="s">
        <v>471</v>
      </c>
      <c r="B421" s="371"/>
      <c r="C421" s="372" t="s">
        <v>34</v>
      </c>
      <c r="D421" s="372" t="s">
        <v>35</v>
      </c>
      <c r="E421" s="371">
        <v>550380</v>
      </c>
      <c r="F421" s="373" t="s">
        <v>269</v>
      </c>
      <c r="G421" s="373" t="s">
        <v>694</v>
      </c>
      <c r="H421" s="374" t="s">
        <v>37</v>
      </c>
      <c r="I421" s="375">
        <v>284</v>
      </c>
      <c r="J421" s="375" t="str">
        <f t="shared" si="68"/>
        <v>Office</v>
      </c>
      <c r="K421" s="375">
        <v>250</v>
      </c>
      <c r="L421" s="373" t="s">
        <v>68</v>
      </c>
      <c r="M421" s="378"/>
      <c r="N421" s="378"/>
      <c r="O421" s="377">
        <v>43909</v>
      </c>
      <c r="P421" s="378"/>
      <c r="Q421" s="378"/>
      <c r="R421" s="376">
        <v>0</v>
      </c>
      <c r="S421" s="376">
        <f t="shared" si="69"/>
        <v>0</v>
      </c>
      <c r="T421" s="378"/>
      <c r="U421" s="376">
        <v>16300</v>
      </c>
      <c r="V421" s="376">
        <f t="shared" si="70"/>
        <v>0</v>
      </c>
      <c r="W421" s="376">
        <v>16300</v>
      </c>
      <c r="X421" s="376">
        <f t="shared" si="71"/>
        <v>0</v>
      </c>
      <c r="Y421" s="379" t="e">
        <f t="shared" si="72"/>
        <v>#VALUE!</v>
      </c>
      <c r="Z421" s="376" t="s">
        <v>76</v>
      </c>
      <c r="AA421" s="380" t="s">
        <v>25</v>
      </c>
      <c r="AB421" s="381"/>
      <c r="AC421" s="374"/>
      <c r="AD421" s="373" t="s">
        <v>510</v>
      </c>
      <c r="AE421" s="378"/>
      <c r="AF421" s="378"/>
      <c r="AG421" s="383"/>
      <c r="AH421" s="378"/>
    </row>
    <row r="422" spans="1:34">
      <c r="A422" s="378" t="s">
        <v>471</v>
      </c>
      <c r="B422" s="371"/>
      <c r="C422" s="372" t="s">
        <v>34</v>
      </c>
      <c r="D422" s="372" t="s">
        <v>35</v>
      </c>
      <c r="E422" s="371">
        <v>550380</v>
      </c>
      <c r="F422" s="373" t="s">
        <v>269</v>
      </c>
      <c r="G422" s="391" t="s">
        <v>695</v>
      </c>
      <c r="H422" s="374" t="s">
        <v>37</v>
      </c>
      <c r="I422" s="375">
        <v>619</v>
      </c>
      <c r="J422" s="375" t="str">
        <f t="shared" si="68"/>
        <v>Office</v>
      </c>
      <c r="K422" s="375">
        <v>500</v>
      </c>
      <c r="L422" s="373" t="s">
        <v>68</v>
      </c>
      <c r="M422" s="378"/>
      <c r="N422" s="378"/>
      <c r="O422" s="377">
        <v>45678</v>
      </c>
      <c r="P422" s="378"/>
      <c r="Q422" s="378"/>
      <c r="R422" s="376">
        <v>0</v>
      </c>
      <c r="S422" s="376">
        <f t="shared" si="69"/>
        <v>0</v>
      </c>
      <c r="T422" s="378"/>
      <c r="U422" s="376">
        <v>35600</v>
      </c>
      <c r="V422" s="376">
        <f t="shared" si="70"/>
        <v>0</v>
      </c>
      <c r="W422" s="376">
        <v>35600</v>
      </c>
      <c r="X422" s="376">
        <f t="shared" si="71"/>
        <v>0</v>
      </c>
      <c r="Y422" s="379" t="e">
        <f t="shared" si="72"/>
        <v>#VALUE!</v>
      </c>
      <c r="Z422" s="376" t="s">
        <v>76</v>
      </c>
      <c r="AA422" s="380"/>
      <c r="AB422" s="381"/>
      <c r="AC422" s="374" t="s">
        <v>40</v>
      </c>
      <c r="AD422" s="373" t="s">
        <v>482</v>
      </c>
      <c r="AE422" s="378"/>
      <c r="AF422" s="378"/>
      <c r="AG422" s="383"/>
      <c r="AH422" s="378"/>
    </row>
    <row r="423" spans="1:34" ht="17.25" customHeight="1">
      <c r="A423" s="378" t="s">
        <v>471</v>
      </c>
      <c r="B423" s="371"/>
      <c r="C423" s="372" t="s">
        <v>34</v>
      </c>
      <c r="D423" s="372" t="s">
        <v>35</v>
      </c>
      <c r="E423" s="371">
        <v>550380</v>
      </c>
      <c r="F423" s="373" t="s">
        <v>269</v>
      </c>
      <c r="G423" s="391" t="s">
        <v>696</v>
      </c>
      <c r="H423" s="374" t="s">
        <v>37</v>
      </c>
      <c r="I423" s="375">
        <v>653</v>
      </c>
      <c r="J423" s="375" t="str">
        <f t="shared" si="68"/>
        <v>Office</v>
      </c>
      <c r="K423" s="375">
        <v>750</v>
      </c>
      <c r="L423" s="373" t="s">
        <v>68</v>
      </c>
      <c r="M423" s="378"/>
      <c r="N423" s="378"/>
      <c r="O423" s="377">
        <v>44555</v>
      </c>
      <c r="P423" s="378"/>
      <c r="Q423" s="378"/>
      <c r="R423" s="376">
        <v>0</v>
      </c>
      <c r="S423" s="376">
        <f t="shared" si="69"/>
        <v>0</v>
      </c>
      <c r="T423" s="378"/>
      <c r="U423" s="376">
        <v>37500</v>
      </c>
      <c r="V423" s="376">
        <f t="shared" si="70"/>
        <v>0</v>
      </c>
      <c r="W423" s="376">
        <v>37500</v>
      </c>
      <c r="X423" s="376">
        <f t="shared" si="71"/>
        <v>0</v>
      </c>
      <c r="Y423" s="379" t="e">
        <f t="shared" si="72"/>
        <v>#VALUE!</v>
      </c>
      <c r="Z423" s="376" t="s">
        <v>76</v>
      </c>
      <c r="AA423" s="380"/>
      <c r="AB423" s="381"/>
      <c r="AC423" s="374" t="s">
        <v>40</v>
      </c>
      <c r="AD423" s="373" t="s">
        <v>510</v>
      </c>
      <c r="AE423" s="388">
        <v>62.5</v>
      </c>
      <c r="AF423" s="378"/>
      <c r="AG423" s="383">
        <v>1</v>
      </c>
      <c r="AH423" s="373" t="s">
        <v>160</v>
      </c>
    </row>
    <row r="424" spans="1:34" ht="14.25" customHeight="1">
      <c r="B424" s="2"/>
      <c r="C424" s="11"/>
      <c r="D424" s="11" t="s">
        <v>35</v>
      </c>
      <c r="E424" s="2"/>
      <c r="G424" s="37"/>
      <c r="J424" s="10"/>
      <c r="K424" s="10"/>
      <c r="L424" s="37"/>
      <c r="U424" s="10"/>
      <c r="V424" s="10"/>
      <c r="W424" s="10"/>
      <c r="X424" s="10"/>
      <c r="Y424" s="10"/>
      <c r="Z424" s="10"/>
      <c r="AA424" s="61"/>
      <c r="AC424" s="14"/>
      <c r="AG424" s="300"/>
    </row>
    <row r="425" spans="1:34" ht="14.25" customHeight="1">
      <c r="B425" s="2"/>
      <c r="C425" s="11"/>
      <c r="D425" s="11" t="s">
        <v>35</v>
      </c>
      <c r="E425" s="2"/>
      <c r="G425" s="92" t="s">
        <v>697</v>
      </c>
      <c r="I425" s="18">
        <f>SUM(H413:H423)</f>
        <v>0</v>
      </c>
      <c r="J425" s="19"/>
      <c r="K425" s="19"/>
      <c r="R425" s="19">
        <f>SUM(Q413:Q423)</f>
        <v>140218</v>
      </c>
      <c r="S425" s="19"/>
      <c r="T425" s="19">
        <f>SUM(R413:R423)</f>
        <v>578693</v>
      </c>
      <c r="U425" s="19">
        <f>SUM(T413:T423)</f>
        <v>0</v>
      </c>
      <c r="V425" s="19"/>
      <c r="W425" s="19">
        <f>SUM(V413:V423)</f>
        <v>0</v>
      </c>
      <c r="X425" s="19"/>
      <c r="Y425" s="19"/>
      <c r="Z425" s="19"/>
      <c r="AA425" s="62"/>
      <c r="AB425" s="19">
        <v>10100000</v>
      </c>
      <c r="AC425" s="14"/>
      <c r="AG425" s="300"/>
    </row>
    <row r="426" spans="1:34" ht="14.25" customHeight="1">
      <c r="B426" s="2"/>
      <c r="C426" s="11"/>
      <c r="D426" s="11" t="s">
        <v>35</v>
      </c>
      <c r="E426" s="2"/>
      <c r="I426" s="18"/>
      <c r="J426" s="19"/>
      <c r="K426" s="19"/>
      <c r="R426" s="19"/>
      <c r="S426" s="19"/>
      <c r="T426" s="19"/>
      <c r="U426" s="19"/>
      <c r="V426" s="19"/>
      <c r="W426" s="19"/>
      <c r="X426" s="19"/>
      <c r="Y426" s="19"/>
      <c r="Z426" s="19"/>
      <c r="AA426" s="62"/>
      <c r="AB426" s="19"/>
      <c r="AC426" s="14"/>
      <c r="AG426" s="300"/>
    </row>
    <row r="427" spans="1:34" ht="14.25" customHeight="1">
      <c r="A427" t="s">
        <v>928</v>
      </c>
      <c r="B427" s="2"/>
      <c r="C427" s="11"/>
      <c r="D427" s="11" t="s">
        <v>35</v>
      </c>
      <c r="E427" s="2"/>
      <c r="H427" s="6" t="s">
        <v>274</v>
      </c>
      <c r="J427" s="10"/>
      <c r="K427" s="10"/>
      <c r="L427" s="32"/>
      <c r="V427" s="10"/>
      <c r="X427" s="10"/>
      <c r="Y427" s="10"/>
      <c r="Z427" s="10"/>
      <c r="AA427" s="61"/>
      <c r="AB427" s="19"/>
      <c r="AC427" s="14"/>
      <c r="AG427" s="300"/>
    </row>
    <row r="428" spans="1:34" ht="14.25" customHeight="1">
      <c r="B428" s="2"/>
      <c r="C428" s="11"/>
      <c r="D428" s="11" t="s">
        <v>35</v>
      </c>
      <c r="E428" s="2"/>
      <c r="H428" s="20"/>
      <c r="I428" s="26"/>
      <c r="J428" s="19"/>
      <c r="K428" s="19"/>
      <c r="L428" s="26"/>
      <c r="R428" s="19"/>
      <c r="S428" s="19"/>
      <c r="T428" s="19"/>
      <c r="U428" s="19"/>
      <c r="V428" s="19"/>
      <c r="W428" s="19"/>
      <c r="X428" s="19"/>
      <c r="Y428" s="19"/>
      <c r="Z428" s="19"/>
      <c r="AA428" s="62"/>
      <c r="AB428" s="19"/>
      <c r="AC428" s="14"/>
      <c r="AG428" s="300"/>
    </row>
    <row r="429" spans="1:34" ht="24" customHeight="1">
      <c r="A429" s="370" t="s">
        <v>471</v>
      </c>
      <c r="B429" s="371"/>
      <c r="C429" s="372" t="s">
        <v>34</v>
      </c>
      <c r="D429" s="372" t="s">
        <v>35</v>
      </c>
      <c r="E429" s="371">
        <v>550950</v>
      </c>
      <c r="F429" s="373" t="s">
        <v>274</v>
      </c>
      <c r="G429" s="373" t="s">
        <v>232</v>
      </c>
      <c r="H429" s="374" t="s">
        <v>37</v>
      </c>
      <c r="I429" s="375">
        <v>2370</v>
      </c>
      <c r="J429" s="375" t="str">
        <f t="shared" ref="J429:J434" si="73">H429</f>
        <v>Office</v>
      </c>
      <c r="K429" s="378"/>
      <c r="L429" s="373" t="s">
        <v>237</v>
      </c>
      <c r="M429" s="384">
        <v>43794</v>
      </c>
      <c r="N429" s="377">
        <v>47446</v>
      </c>
      <c r="O429" s="378"/>
      <c r="P429" s="377">
        <v>45621</v>
      </c>
      <c r="Q429" s="378"/>
      <c r="R429" s="376">
        <v>104885</v>
      </c>
      <c r="S429" s="376">
        <f t="shared" ref="S429:S434" si="74">Q429</f>
        <v>0</v>
      </c>
      <c r="T429" s="378"/>
      <c r="U429" s="376">
        <v>100700</v>
      </c>
      <c r="V429" s="376">
        <f t="shared" ref="V429:V434" si="75">T429</f>
        <v>0</v>
      </c>
      <c r="W429" s="376">
        <v>100700</v>
      </c>
      <c r="X429" s="376">
        <f t="shared" ref="X429:X434" si="76">V429</f>
        <v>0</v>
      </c>
      <c r="Y429" s="379" t="e">
        <f t="shared" ref="Y429:Y434" si="77">T429/H429</f>
        <v>#VALUE!</v>
      </c>
      <c r="Z429" s="376" t="s">
        <v>69</v>
      </c>
      <c r="AA429" s="380"/>
      <c r="AB429" s="394"/>
      <c r="AC429" s="374" t="s">
        <v>40</v>
      </c>
      <c r="AD429" s="373" t="s">
        <v>275</v>
      </c>
      <c r="AE429" s="378"/>
      <c r="AF429" s="378"/>
      <c r="AG429" s="383"/>
      <c r="AH429" s="378"/>
    </row>
    <row r="430" spans="1:34">
      <c r="A430" s="378" t="s">
        <v>471</v>
      </c>
      <c r="B430" s="371"/>
      <c r="C430" s="372" t="s">
        <v>34</v>
      </c>
      <c r="D430" s="372" t="s">
        <v>35</v>
      </c>
      <c r="E430" s="371">
        <v>550950</v>
      </c>
      <c r="F430" s="373" t="s">
        <v>274</v>
      </c>
      <c r="G430" s="373" t="s">
        <v>494</v>
      </c>
      <c r="H430" s="374" t="s">
        <v>37</v>
      </c>
      <c r="I430" s="375">
        <v>980</v>
      </c>
      <c r="J430" s="375" t="str">
        <f t="shared" si="73"/>
        <v>Office</v>
      </c>
      <c r="K430" s="375">
        <v>1000</v>
      </c>
      <c r="L430" s="373" t="s">
        <v>68</v>
      </c>
      <c r="M430" s="378"/>
      <c r="N430" s="378"/>
      <c r="O430" s="377">
        <v>43323</v>
      </c>
      <c r="P430" s="378"/>
      <c r="Q430" s="378"/>
      <c r="R430" s="376">
        <v>0</v>
      </c>
      <c r="S430" s="376">
        <f t="shared" si="74"/>
        <v>0</v>
      </c>
      <c r="T430" s="378"/>
      <c r="U430" s="376">
        <v>53900</v>
      </c>
      <c r="V430" s="376">
        <f t="shared" si="75"/>
        <v>0</v>
      </c>
      <c r="W430" s="376">
        <v>56400</v>
      </c>
      <c r="X430" s="376">
        <f t="shared" si="76"/>
        <v>0</v>
      </c>
      <c r="Y430" s="379" t="e">
        <f t="shared" si="77"/>
        <v>#VALUE!</v>
      </c>
      <c r="Z430" s="376" t="s">
        <v>69</v>
      </c>
      <c r="AA430" s="380"/>
      <c r="AB430" s="394"/>
      <c r="AC430" s="374" t="s">
        <v>40</v>
      </c>
      <c r="AD430" s="373" t="s">
        <v>698</v>
      </c>
      <c r="AE430" s="388">
        <v>61.5</v>
      </c>
      <c r="AF430" s="378"/>
      <c r="AG430" s="383"/>
      <c r="AH430" s="378"/>
    </row>
    <row r="431" spans="1:34">
      <c r="A431" s="378" t="s">
        <v>471</v>
      </c>
      <c r="B431" s="371"/>
      <c r="C431" s="372" t="s">
        <v>34</v>
      </c>
      <c r="D431" s="372" t="s">
        <v>35</v>
      </c>
      <c r="E431" s="371">
        <v>550950</v>
      </c>
      <c r="F431" s="373" t="s">
        <v>274</v>
      </c>
      <c r="G431" s="373" t="s">
        <v>497</v>
      </c>
      <c r="H431" s="374" t="s">
        <v>37</v>
      </c>
      <c r="I431" s="375">
        <v>980</v>
      </c>
      <c r="J431" s="375" t="str">
        <f t="shared" si="73"/>
        <v>Office</v>
      </c>
      <c r="K431" s="375">
        <v>1000</v>
      </c>
      <c r="L431" s="373" t="s">
        <v>699</v>
      </c>
      <c r="M431" s="384">
        <v>45210</v>
      </c>
      <c r="N431" s="377">
        <v>46305</v>
      </c>
      <c r="O431" s="378"/>
      <c r="P431" s="378"/>
      <c r="Q431" s="378"/>
      <c r="R431" s="376">
        <v>52800</v>
      </c>
      <c r="S431" s="376">
        <f t="shared" si="74"/>
        <v>0</v>
      </c>
      <c r="T431" s="378"/>
      <c r="U431" s="376">
        <v>53900</v>
      </c>
      <c r="V431" s="376">
        <f t="shared" si="75"/>
        <v>0</v>
      </c>
      <c r="W431" s="376">
        <v>56400</v>
      </c>
      <c r="X431" s="376">
        <f t="shared" si="76"/>
        <v>0</v>
      </c>
      <c r="Y431" s="379" t="e">
        <f t="shared" si="77"/>
        <v>#VALUE!</v>
      </c>
      <c r="Z431" s="376" t="s">
        <v>76</v>
      </c>
      <c r="AA431" s="380"/>
      <c r="AB431" s="394"/>
      <c r="AC431" s="374" t="s">
        <v>40</v>
      </c>
      <c r="AD431" s="378"/>
      <c r="AE431" s="378"/>
      <c r="AF431" s="378"/>
      <c r="AG431" s="383"/>
      <c r="AH431" s="378"/>
    </row>
    <row r="432" spans="1:34" ht="48">
      <c r="A432" s="378" t="s">
        <v>471</v>
      </c>
      <c r="B432" s="371"/>
      <c r="C432" s="372" t="s">
        <v>34</v>
      </c>
      <c r="D432" s="372" t="s">
        <v>35</v>
      </c>
      <c r="E432" s="371">
        <v>550950</v>
      </c>
      <c r="F432" s="373" t="s">
        <v>274</v>
      </c>
      <c r="G432" s="373" t="s">
        <v>498</v>
      </c>
      <c r="H432" s="374" t="s">
        <v>37</v>
      </c>
      <c r="I432" s="375">
        <v>836</v>
      </c>
      <c r="J432" s="375" t="str">
        <f t="shared" si="73"/>
        <v>Office</v>
      </c>
      <c r="K432" s="375">
        <v>1000</v>
      </c>
      <c r="L432" s="373" t="s">
        <v>700</v>
      </c>
      <c r="M432" s="384">
        <v>44869</v>
      </c>
      <c r="N432" s="377">
        <v>46694</v>
      </c>
      <c r="O432" s="378"/>
      <c r="P432" s="378"/>
      <c r="Q432" s="377">
        <v>45964</v>
      </c>
      <c r="R432" s="376">
        <v>48300</v>
      </c>
      <c r="S432" s="376">
        <f t="shared" si="74"/>
        <v>45964</v>
      </c>
      <c r="T432" s="378"/>
      <c r="U432" s="376">
        <v>46000</v>
      </c>
      <c r="V432" s="376">
        <f t="shared" si="75"/>
        <v>0</v>
      </c>
      <c r="W432" s="376">
        <v>48100</v>
      </c>
      <c r="X432" s="376">
        <f t="shared" si="76"/>
        <v>0</v>
      </c>
      <c r="Y432" s="379" t="e">
        <f t="shared" si="77"/>
        <v>#VALUE!</v>
      </c>
      <c r="Z432" s="376" t="s">
        <v>76</v>
      </c>
      <c r="AA432" s="380"/>
      <c r="AB432" s="394"/>
      <c r="AC432" s="374" t="s">
        <v>40</v>
      </c>
      <c r="AD432" s="373" t="s">
        <v>130</v>
      </c>
      <c r="AE432" s="378"/>
      <c r="AF432" s="378"/>
      <c r="AG432" s="383"/>
      <c r="AH432" s="378"/>
    </row>
    <row r="433" spans="1:34" ht="48">
      <c r="A433" s="378" t="s">
        <v>471</v>
      </c>
      <c r="B433" s="371"/>
      <c r="C433" s="372" t="s">
        <v>34</v>
      </c>
      <c r="D433" s="372" t="s">
        <v>35</v>
      </c>
      <c r="E433" s="371">
        <v>550950</v>
      </c>
      <c r="F433" s="373" t="s">
        <v>274</v>
      </c>
      <c r="G433" s="373" t="s">
        <v>509</v>
      </c>
      <c r="H433" s="374" t="s">
        <v>37</v>
      </c>
      <c r="I433" s="375">
        <v>830</v>
      </c>
      <c r="J433" s="375" t="str">
        <f t="shared" si="73"/>
        <v>Office</v>
      </c>
      <c r="K433" s="375">
        <v>1000</v>
      </c>
      <c r="L433" s="373" t="s">
        <v>700</v>
      </c>
      <c r="M433" s="384">
        <v>45436</v>
      </c>
      <c r="N433" s="377">
        <v>46694</v>
      </c>
      <c r="O433" s="378"/>
      <c r="P433" s="378"/>
      <c r="Q433" s="377">
        <v>45964</v>
      </c>
      <c r="R433" s="376">
        <v>47725</v>
      </c>
      <c r="S433" s="376">
        <f t="shared" si="74"/>
        <v>45964</v>
      </c>
      <c r="T433" s="378"/>
      <c r="U433" s="376">
        <v>45700</v>
      </c>
      <c r="V433" s="376">
        <f t="shared" si="75"/>
        <v>0</v>
      </c>
      <c r="W433" s="376">
        <v>47700</v>
      </c>
      <c r="X433" s="376">
        <f t="shared" si="76"/>
        <v>0</v>
      </c>
      <c r="Y433" s="379" t="e">
        <f t="shared" si="77"/>
        <v>#VALUE!</v>
      </c>
      <c r="Z433" s="376" t="s">
        <v>69</v>
      </c>
      <c r="AA433" s="380"/>
      <c r="AB433" s="394"/>
      <c r="AC433" s="374" t="s">
        <v>40</v>
      </c>
      <c r="AD433" s="373" t="s">
        <v>130</v>
      </c>
      <c r="AE433" s="378"/>
      <c r="AF433" s="378"/>
      <c r="AG433" s="383"/>
      <c r="AH433" s="378"/>
    </row>
    <row r="434" spans="1:34">
      <c r="A434" s="378" t="s">
        <v>471</v>
      </c>
      <c r="B434" s="371"/>
      <c r="C434" s="372" t="s">
        <v>34</v>
      </c>
      <c r="D434" s="372" t="s">
        <v>35</v>
      </c>
      <c r="E434" s="371">
        <v>550950</v>
      </c>
      <c r="F434" s="373" t="s">
        <v>274</v>
      </c>
      <c r="G434" s="373" t="s">
        <v>546</v>
      </c>
      <c r="H434" s="374" t="s">
        <v>37</v>
      </c>
      <c r="I434" s="375">
        <v>685</v>
      </c>
      <c r="J434" s="375" t="str">
        <f t="shared" si="73"/>
        <v>Office</v>
      </c>
      <c r="K434" s="375">
        <v>750</v>
      </c>
      <c r="L434" s="373" t="s">
        <v>68</v>
      </c>
      <c r="M434" s="378"/>
      <c r="N434" s="378"/>
      <c r="O434" s="377">
        <v>45627</v>
      </c>
      <c r="P434" s="378"/>
      <c r="Q434" s="378"/>
      <c r="R434" s="376">
        <v>0</v>
      </c>
      <c r="S434" s="376">
        <f t="shared" si="74"/>
        <v>0</v>
      </c>
      <c r="T434" s="378"/>
      <c r="U434" s="376">
        <v>37700</v>
      </c>
      <c r="V434" s="376">
        <f t="shared" si="75"/>
        <v>0</v>
      </c>
      <c r="W434" s="376">
        <v>39400</v>
      </c>
      <c r="X434" s="376">
        <f t="shared" si="76"/>
        <v>0</v>
      </c>
      <c r="Y434" s="379" t="e">
        <f t="shared" si="77"/>
        <v>#VALUE!</v>
      </c>
      <c r="Z434" s="376" t="s">
        <v>76</v>
      </c>
      <c r="AA434" s="380"/>
      <c r="AB434" s="394"/>
      <c r="AC434" s="374" t="s">
        <v>40</v>
      </c>
      <c r="AD434" s="373" t="s">
        <v>482</v>
      </c>
      <c r="AE434" s="378"/>
      <c r="AF434" s="378"/>
      <c r="AG434" s="383"/>
      <c r="AH434" s="378"/>
    </row>
    <row r="435" spans="1:34" ht="14.25" customHeight="1">
      <c r="B435" s="2"/>
      <c r="C435" s="11"/>
      <c r="D435" s="11" t="s">
        <v>35</v>
      </c>
      <c r="E435" s="2"/>
      <c r="J435" s="10"/>
      <c r="K435" s="10"/>
      <c r="U435" s="10"/>
      <c r="V435" s="10"/>
      <c r="W435" s="10"/>
      <c r="X435" s="10"/>
      <c r="Y435" s="10"/>
      <c r="Z435" s="10"/>
      <c r="AA435" s="61"/>
      <c r="AB435" s="19"/>
      <c r="AC435" s="14"/>
      <c r="AG435" s="300"/>
    </row>
    <row r="436" spans="1:34" ht="14.25" customHeight="1">
      <c r="B436" s="2"/>
      <c r="C436" s="11"/>
      <c r="D436" s="11" t="s">
        <v>35</v>
      </c>
      <c r="E436" s="2"/>
      <c r="G436" s="92" t="s">
        <v>274</v>
      </c>
      <c r="I436" s="18">
        <f>SUM(H429:H434)</f>
        <v>0</v>
      </c>
      <c r="J436" s="19"/>
      <c r="K436" s="19"/>
      <c r="R436" s="19">
        <f>SUM(Q429:Q434)</f>
        <v>91928</v>
      </c>
      <c r="S436" s="19"/>
      <c r="T436" s="19">
        <f>SUM(R428:R435)</f>
        <v>253710</v>
      </c>
      <c r="U436" s="19">
        <f>SUM(T429:T434)</f>
        <v>0</v>
      </c>
      <c r="V436" s="19"/>
      <c r="W436" s="19">
        <f>SUM(V429:V434)</f>
        <v>0</v>
      </c>
      <c r="X436" s="19"/>
      <c r="Y436" s="19"/>
      <c r="Z436" s="19"/>
      <c r="AA436" s="62"/>
      <c r="AB436" s="19">
        <v>5050000</v>
      </c>
      <c r="AC436" s="14"/>
      <c r="AG436" s="300"/>
    </row>
    <row r="437" spans="1:34" ht="14.25" customHeight="1">
      <c r="B437" s="2"/>
      <c r="C437" s="11"/>
      <c r="D437" s="11" t="s">
        <v>35</v>
      </c>
      <c r="E437" s="2"/>
      <c r="J437" s="19"/>
      <c r="K437" s="19"/>
      <c r="R437" s="19"/>
      <c r="S437" s="19"/>
      <c r="T437" s="19"/>
      <c r="U437" s="19"/>
      <c r="V437" s="19"/>
      <c r="W437" s="19"/>
      <c r="X437" s="19"/>
      <c r="Y437" s="19"/>
      <c r="Z437" s="19"/>
      <c r="AA437" s="62"/>
      <c r="AB437" s="54"/>
      <c r="AC437" s="14"/>
      <c r="AG437" s="300"/>
    </row>
    <row r="438" spans="1:34" ht="14.25" customHeight="1">
      <c r="A438" t="s">
        <v>928</v>
      </c>
      <c r="B438" s="2"/>
      <c r="C438" s="11"/>
      <c r="D438" s="11" t="s">
        <v>35</v>
      </c>
      <c r="E438" s="2"/>
      <c r="H438" s="6" t="s">
        <v>276</v>
      </c>
      <c r="J438" s="10"/>
      <c r="K438" s="10"/>
      <c r="L438" s="32"/>
      <c r="V438" s="10"/>
      <c r="X438" s="10"/>
      <c r="Y438" s="10"/>
      <c r="Z438" s="10"/>
      <c r="AA438" s="61"/>
      <c r="AC438" s="14"/>
      <c r="AG438" s="300"/>
    </row>
    <row r="439" spans="1:34" ht="14.25" customHeight="1">
      <c r="B439" s="2"/>
      <c r="C439" s="11"/>
      <c r="D439" s="11" t="s">
        <v>35</v>
      </c>
      <c r="E439" s="2"/>
      <c r="J439" s="10"/>
      <c r="K439" s="10"/>
      <c r="V439" s="10"/>
      <c r="X439" s="10"/>
      <c r="Y439" s="10"/>
      <c r="Z439" s="10"/>
      <c r="AA439" s="61"/>
      <c r="AC439" s="14"/>
      <c r="AG439" s="300"/>
    </row>
    <row r="440" spans="1:34" ht="39" customHeight="1">
      <c r="A440" s="370" t="s">
        <v>471</v>
      </c>
      <c r="B440" s="371"/>
      <c r="C440" s="372" t="s">
        <v>60</v>
      </c>
      <c r="D440" s="372" t="s">
        <v>35</v>
      </c>
      <c r="E440" s="371">
        <v>550730</v>
      </c>
      <c r="F440" s="373" t="s">
        <v>276</v>
      </c>
      <c r="G440" s="373" t="s">
        <v>66</v>
      </c>
      <c r="H440" s="374" t="s">
        <v>120</v>
      </c>
      <c r="I440" s="375">
        <v>1946</v>
      </c>
      <c r="J440" s="375" t="str">
        <f t="shared" ref="J440:J445" si="78">H440</f>
        <v>Showroom</v>
      </c>
      <c r="K440" s="375">
        <v>2000</v>
      </c>
      <c r="L440" s="373" t="s">
        <v>277</v>
      </c>
      <c r="M440" s="384">
        <v>45457</v>
      </c>
      <c r="N440" s="377">
        <v>47282</v>
      </c>
      <c r="O440" s="378"/>
      <c r="P440" s="378"/>
      <c r="Q440" s="377">
        <v>46186</v>
      </c>
      <c r="R440" s="376">
        <v>94417</v>
      </c>
      <c r="S440" s="376">
        <f t="shared" ref="S440:S445" si="79">Q440</f>
        <v>46186</v>
      </c>
      <c r="T440" s="378"/>
      <c r="U440" s="376">
        <v>86800</v>
      </c>
      <c r="V440" s="376">
        <f t="shared" ref="V440:V446" si="80">T440</f>
        <v>0</v>
      </c>
      <c r="W440" s="376">
        <v>94417</v>
      </c>
      <c r="X440" s="376">
        <f t="shared" ref="X440:X446" si="81">V440</f>
        <v>0</v>
      </c>
      <c r="Y440" s="379" t="e">
        <f t="shared" ref="Y440:Y445" si="82">T440/H440</f>
        <v>#VALUE!</v>
      </c>
      <c r="Z440" s="376" t="s">
        <v>76</v>
      </c>
      <c r="AA440" s="380"/>
      <c r="AB440" s="381"/>
      <c r="AC440" s="374" t="s">
        <v>40</v>
      </c>
      <c r="AD440" s="373" t="s">
        <v>278</v>
      </c>
      <c r="AE440" s="378"/>
      <c r="AF440" s="378"/>
      <c r="AG440" s="383"/>
      <c r="AH440" s="378"/>
    </row>
    <row r="441" spans="1:34" ht="14.25" customHeight="1">
      <c r="A441" s="378" t="s">
        <v>471</v>
      </c>
      <c r="B441" s="371"/>
      <c r="C441" s="372" t="s">
        <v>60</v>
      </c>
      <c r="D441" s="372" t="s">
        <v>35</v>
      </c>
      <c r="E441" s="371">
        <v>550730</v>
      </c>
      <c r="F441" s="373" t="s">
        <v>276</v>
      </c>
      <c r="G441" s="373" t="s">
        <v>494</v>
      </c>
      <c r="H441" s="374" t="s">
        <v>37</v>
      </c>
      <c r="I441" s="375">
        <v>804</v>
      </c>
      <c r="J441" s="375" t="str">
        <f t="shared" si="78"/>
        <v>Office</v>
      </c>
      <c r="K441" s="375">
        <v>750</v>
      </c>
      <c r="L441" s="373" t="s">
        <v>68</v>
      </c>
      <c r="M441" s="378"/>
      <c r="N441" s="378"/>
      <c r="O441" s="377">
        <v>43132</v>
      </c>
      <c r="P441" s="378"/>
      <c r="Q441" s="378"/>
      <c r="R441" s="376">
        <v>0</v>
      </c>
      <c r="S441" s="376">
        <f t="shared" si="79"/>
        <v>0</v>
      </c>
      <c r="T441" s="378"/>
      <c r="U441" s="376">
        <v>44200</v>
      </c>
      <c r="V441" s="376">
        <f t="shared" si="80"/>
        <v>0</v>
      </c>
      <c r="W441" s="376">
        <v>46200</v>
      </c>
      <c r="X441" s="376">
        <f t="shared" si="81"/>
        <v>0</v>
      </c>
      <c r="Y441" s="379" t="e">
        <f t="shared" si="82"/>
        <v>#VALUE!</v>
      </c>
      <c r="Z441" s="376" t="s">
        <v>76</v>
      </c>
      <c r="AA441" s="380"/>
      <c r="AB441" s="381"/>
      <c r="AC441" s="374" t="s">
        <v>40</v>
      </c>
      <c r="AD441" s="373" t="s">
        <v>510</v>
      </c>
      <c r="AE441" s="388">
        <v>62.5</v>
      </c>
      <c r="AF441" s="373">
        <v>1</v>
      </c>
      <c r="AG441" s="383">
        <v>2</v>
      </c>
      <c r="AH441" s="373" t="s">
        <v>160</v>
      </c>
    </row>
    <row r="442" spans="1:34" ht="14.25" customHeight="1">
      <c r="A442" s="378" t="s">
        <v>471</v>
      </c>
      <c r="B442" s="371"/>
      <c r="C442" s="372" t="s">
        <v>60</v>
      </c>
      <c r="D442" s="372" t="s">
        <v>35</v>
      </c>
      <c r="E442" s="371">
        <v>550730</v>
      </c>
      <c r="F442" s="373" t="s">
        <v>276</v>
      </c>
      <c r="G442" s="373" t="s">
        <v>497</v>
      </c>
      <c r="H442" s="374" t="s">
        <v>37</v>
      </c>
      <c r="I442" s="375">
        <v>813</v>
      </c>
      <c r="J442" s="375" t="str">
        <f t="shared" si="78"/>
        <v>Office</v>
      </c>
      <c r="K442" s="375">
        <v>750</v>
      </c>
      <c r="L442" s="373" t="s">
        <v>68</v>
      </c>
      <c r="M442" s="378"/>
      <c r="N442" s="378"/>
      <c r="O442" s="377">
        <v>42819</v>
      </c>
      <c r="P442" s="378"/>
      <c r="Q442" s="378"/>
      <c r="R442" s="376">
        <v>0</v>
      </c>
      <c r="S442" s="376">
        <f t="shared" si="79"/>
        <v>0</v>
      </c>
      <c r="T442" s="405"/>
      <c r="U442" s="376">
        <v>44700</v>
      </c>
      <c r="V442" s="376">
        <f t="shared" si="80"/>
        <v>0</v>
      </c>
      <c r="W442" s="376">
        <v>46700</v>
      </c>
      <c r="X442" s="376">
        <f t="shared" si="81"/>
        <v>0</v>
      </c>
      <c r="Y442" s="379" t="e">
        <f t="shared" si="82"/>
        <v>#VALUE!</v>
      </c>
      <c r="Z442" s="376" t="s">
        <v>76</v>
      </c>
      <c r="AA442" s="380"/>
      <c r="AB442" s="381"/>
      <c r="AC442" s="374" t="s">
        <v>40</v>
      </c>
      <c r="AD442" s="373" t="s">
        <v>510</v>
      </c>
      <c r="AE442" s="388">
        <v>62.5</v>
      </c>
      <c r="AF442" s="373">
        <v>1</v>
      </c>
      <c r="AG442" s="383">
        <v>2</v>
      </c>
      <c r="AH442" s="373" t="s">
        <v>160</v>
      </c>
    </row>
    <row r="443" spans="1:34" ht="24">
      <c r="A443" s="378" t="s">
        <v>471</v>
      </c>
      <c r="B443" s="371"/>
      <c r="C443" s="372" t="s">
        <v>60</v>
      </c>
      <c r="D443" s="372" t="s">
        <v>35</v>
      </c>
      <c r="E443" s="371">
        <v>550730</v>
      </c>
      <c r="F443" s="373" t="s">
        <v>276</v>
      </c>
      <c r="G443" s="373" t="s">
        <v>498</v>
      </c>
      <c r="H443" s="374" t="s">
        <v>37</v>
      </c>
      <c r="I443" s="375">
        <v>791</v>
      </c>
      <c r="J443" s="375" t="str">
        <f t="shared" si="78"/>
        <v>Office</v>
      </c>
      <c r="K443" s="375">
        <v>750</v>
      </c>
      <c r="L443" s="373" t="s">
        <v>701</v>
      </c>
      <c r="M443" s="384">
        <v>45533</v>
      </c>
      <c r="N443" s="377">
        <v>47358</v>
      </c>
      <c r="O443" s="378"/>
      <c r="P443" s="378"/>
      <c r="Q443" s="378"/>
      <c r="R443" s="390">
        <v>46273</v>
      </c>
      <c r="S443" s="376">
        <f t="shared" si="79"/>
        <v>0</v>
      </c>
      <c r="T443" s="378"/>
      <c r="U443" s="376">
        <v>43500</v>
      </c>
      <c r="V443" s="376">
        <f t="shared" si="80"/>
        <v>0</v>
      </c>
      <c r="W443" s="376">
        <v>45500</v>
      </c>
      <c r="X443" s="376">
        <f t="shared" si="81"/>
        <v>0</v>
      </c>
      <c r="Y443" s="379" t="e">
        <f t="shared" si="82"/>
        <v>#VALUE!</v>
      </c>
      <c r="Z443" s="376" t="s">
        <v>76</v>
      </c>
      <c r="AA443" s="380"/>
      <c r="AB443" s="381"/>
      <c r="AC443" s="374" t="s">
        <v>40</v>
      </c>
      <c r="AD443" s="378"/>
      <c r="AE443" s="378"/>
      <c r="AF443" s="385"/>
      <c r="AG443" s="386"/>
      <c r="AH443" s="385"/>
    </row>
    <row r="444" spans="1:34">
      <c r="A444" s="378" t="s">
        <v>471</v>
      </c>
      <c r="B444" s="371"/>
      <c r="C444" s="372" t="s">
        <v>60</v>
      </c>
      <c r="D444" s="372" t="s">
        <v>35</v>
      </c>
      <c r="E444" s="371">
        <v>550730</v>
      </c>
      <c r="F444" s="373" t="s">
        <v>276</v>
      </c>
      <c r="G444" s="373" t="s">
        <v>509</v>
      </c>
      <c r="H444" s="374" t="s">
        <v>37</v>
      </c>
      <c r="I444" s="375">
        <v>797</v>
      </c>
      <c r="J444" s="375" t="str">
        <f t="shared" si="78"/>
        <v>Office</v>
      </c>
      <c r="K444" s="375">
        <v>750</v>
      </c>
      <c r="L444" s="373" t="s">
        <v>68</v>
      </c>
      <c r="M444" s="378"/>
      <c r="N444" s="378"/>
      <c r="O444" s="377">
        <v>44439</v>
      </c>
      <c r="P444" s="378"/>
      <c r="Q444" s="378"/>
      <c r="R444" s="376">
        <v>0</v>
      </c>
      <c r="S444" s="376">
        <f t="shared" si="79"/>
        <v>0</v>
      </c>
      <c r="T444" s="378"/>
      <c r="U444" s="376">
        <v>43800</v>
      </c>
      <c r="V444" s="376">
        <f t="shared" si="80"/>
        <v>0</v>
      </c>
      <c r="W444" s="376">
        <v>45800</v>
      </c>
      <c r="X444" s="376">
        <f t="shared" si="81"/>
        <v>0</v>
      </c>
      <c r="Y444" s="379" t="e">
        <f t="shared" si="82"/>
        <v>#VALUE!</v>
      </c>
      <c r="Z444" s="376" t="s">
        <v>76</v>
      </c>
      <c r="AA444" s="380"/>
      <c r="AB444" s="381"/>
      <c r="AC444" s="374" t="s">
        <v>40</v>
      </c>
      <c r="AD444" s="373" t="s">
        <v>510</v>
      </c>
      <c r="AE444" s="388">
        <v>62.5</v>
      </c>
      <c r="AF444" s="373">
        <v>1</v>
      </c>
      <c r="AG444" s="383">
        <v>2</v>
      </c>
      <c r="AH444" s="373" t="s">
        <v>160</v>
      </c>
    </row>
    <row r="445" spans="1:34" ht="24">
      <c r="A445" s="378" t="s">
        <v>471</v>
      </c>
      <c r="B445" s="371"/>
      <c r="C445" s="372" t="s">
        <v>60</v>
      </c>
      <c r="D445" s="372" t="s">
        <v>35</v>
      </c>
      <c r="E445" s="371">
        <v>550730</v>
      </c>
      <c r="F445" s="373" t="s">
        <v>276</v>
      </c>
      <c r="G445" s="391" t="s">
        <v>546</v>
      </c>
      <c r="H445" s="374" t="s">
        <v>37</v>
      </c>
      <c r="I445" s="375">
        <v>747</v>
      </c>
      <c r="J445" s="375" t="str">
        <f t="shared" si="78"/>
        <v>Office</v>
      </c>
      <c r="K445" s="375">
        <v>750</v>
      </c>
      <c r="L445" s="373" t="s">
        <v>702</v>
      </c>
      <c r="M445" s="384">
        <v>45553</v>
      </c>
      <c r="N445" s="377">
        <v>46282</v>
      </c>
      <c r="O445" s="378"/>
      <c r="P445" s="378"/>
      <c r="Q445" s="378"/>
      <c r="R445" s="376">
        <v>41250</v>
      </c>
      <c r="S445" s="376">
        <f t="shared" si="79"/>
        <v>0</v>
      </c>
      <c r="T445" s="378"/>
      <c r="U445" s="376">
        <v>39200</v>
      </c>
      <c r="V445" s="376">
        <f t="shared" si="80"/>
        <v>0</v>
      </c>
      <c r="W445" s="376">
        <v>41100</v>
      </c>
      <c r="X445" s="376">
        <f t="shared" si="81"/>
        <v>0</v>
      </c>
      <c r="Y445" s="379" t="e">
        <f t="shared" si="82"/>
        <v>#VALUE!</v>
      </c>
      <c r="Z445" s="376" t="s">
        <v>76</v>
      </c>
      <c r="AA445" s="380"/>
      <c r="AB445" s="381"/>
      <c r="AC445" s="374" t="s">
        <v>40</v>
      </c>
      <c r="AD445" s="378"/>
      <c r="AE445" s="378"/>
      <c r="AF445" s="378"/>
      <c r="AG445" s="383"/>
      <c r="AH445" s="378"/>
    </row>
    <row r="446" spans="1:34" ht="14.25" customHeight="1">
      <c r="B446" s="2"/>
      <c r="C446" s="11"/>
      <c r="D446" s="11" t="s">
        <v>35</v>
      </c>
      <c r="E446" s="2"/>
      <c r="G446" s="37"/>
      <c r="J446" s="10"/>
      <c r="K446" s="10"/>
      <c r="U446" s="10"/>
      <c r="V446" s="10">
        <f t="shared" si="80"/>
        <v>0</v>
      </c>
      <c r="W446" s="10"/>
      <c r="X446" s="10">
        <f t="shared" si="81"/>
        <v>0</v>
      </c>
      <c r="Y446" s="10"/>
      <c r="Z446" s="10"/>
      <c r="AA446" s="61"/>
      <c r="AC446" s="14"/>
      <c r="AG446" s="300"/>
    </row>
    <row r="447" spans="1:34" ht="14.25" customHeight="1">
      <c r="B447" s="2"/>
      <c r="C447" s="11"/>
      <c r="D447" s="11" t="s">
        <v>35</v>
      </c>
      <c r="E447" s="2"/>
      <c r="G447" s="92" t="s">
        <v>276</v>
      </c>
      <c r="I447" s="18">
        <f>SUM(H440:H445)</f>
        <v>0</v>
      </c>
      <c r="J447" s="19"/>
      <c r="K447" s="19"/>
      <c r="R447" s="38">
        <f>SUM(Q440:Q445)</f>
        <v>46186</v>
      </c>
      <c r="S447" s="19"/>
      <c r="T447" s="19">
        <f>SUM(R438:R446)</f>
        <v>181940</v>
      </c>
      <c r="U447" s="19">
        <f>SUM(T440:T446)</f>
        <v>0</v>
      </c>
      <c r="V447" s="19"/>
      <c r="W447" s="19">
        <f>SUM(V440:V446)</f>
        <v>0</v>
      </c>
      <c r="X447" s="19"/>
      <c r="Y447" s="19"/>
      <c r="Z447" s="19"/>
      <c r="AA447" s="62"/>
      <c r="AB447" s="19">
        <v>4050000</v>
      </c>
      <c r="AC447" s="14"/>
      <c r="AF447" s="29"/>
      <c r="AG447" s="301"/>
      <c r="AH447" s="29"/>
    </row>
    <row r="448" spans="1:34" ht="14.25" customHeight="1">
      <c r="B448" s="2"/>
      <c r="C448" s="11"/>
      <c r="D448" s="11" t="s">
        <v>35</v>
      </c>
      <c r="E448" s="2"/>
      <c r="I448" s="18"/>
      <c r="J448" s="19"/>
      <c r="K448" s="19"/>
      <c r="R448" s="19"/>
      <c r="S448" s="19"/>
      <c r="T448" s="19"/>
      <c r="U448" s="19"/>
      <c r="V448" s="19"/>
      <c r="W448" s="19"/>
      <c r="X448" s="19"/>
      <c r="Y448" s="19"/>
      <c r="Z448" s="19"/>
      <c r="AA448" s="62"/>
      <c r="AB448" s="19"/>
      <c r="AC448" s="14"/>
      <c r="AG448" s="300"/>
    </row>
    <row r="449" spans="1:34" ht="14.25" customHeight="1">
      <c r="A449" t="s">
        <v>928</v>
      </c>
      <c r="B449" s="2"/>
      <c r="C449" s="11"/>
      <c r="D449" s="11" t="s">
        <v>35</v>
      </c>
      <c r="E449" s="2"/>
      <c r="H449" s="6" t="s">
        <v>279</v>
      </c>
      <c r="J449" s="10"/>
      <c r="K449" s="10"/>
      <c r="L449" s="32"/>
      <c r="V449" s="10"/>
      <c r="X449" s="10"/>
      <c r="Y449" s="10"/>
      <c r="Z449" s="10"/>
      <c r="AA449" s="61"/>
      <c r="AB449" s="19"/>
      <c r="AC449" s="14"/>
      <c r="AG449" s="300"/>
    </row>
    <row r="450" spans="1:34" ht="14.25" customHeight="1">
      <c r="B450" s="2"/>
      <c r="C450" s="11"/>
      <c r="D450" s="11" t="s">
        <v>35</v>
      </c>
      <c r="E450" s="2"/>
      <c r="H450" s="15"/>
      <c r="I450" s="24"/>
      <c r="J450" s="10"/>
      <c r="K450" s="10"/>
      <c r="U450" s="10"/>
      <c r="V450" s="10"/>
      <c r="W450" s="10"/>
      <c r="X450" s="10"/>
      <c r="Y450" s="10"/>
      <c r="Z450" s="10"/>
      <c r="AA450" s="61"/>
      <c r="AB450" s="19"/>
      <c r="AC450" s="14"/>
      <c r="AG450" s="300"/>
    </row>
    <row r="451" spans="1:34" ht="14.25" customHeight="1">
      <c r="A451" s="370" t="s">
        <v>471</v>
      </c>
      <c r="B451" s="371"/>
      <c r="C451" s="372" t="s">
        <v>119</v>
      </c>
      <c r="D451" s="372" t="s">
        <v>35</v>
      </c>
      <c r="E451" s="371">
        <v>550800</v>
      </c>
      <c r="F451" s="373" t="s">
        <v>279</v>
      </c>
      <c r="G451" s="373" t="s">
        <v>104</v>
      </c>
      <c r="H451" s="374" t="s">
        <v>120</v>
      </c>
      <c r="I451" s="375">
        <v>424</v>
      </c>
      <c r="J451" s="375" t="str">
        <f t="shared" ref="J451:J457" si="83">H451</f>
        <v>Showroom</v>
      </c>
      <c r="K451" s="375">
        <v>500</v>
      </c>
      <c r="L451" s="373" t="s">
        <v>280</v>
      </c>
      <c r="M451" s="384">
        <v>45262</v>
      </c>
      <c r="N451" s="377">
        <v>47088</v>
      </c>
      <c r="O451" s="378"/>
      <c r="P451" s="378"/>
      <c r="Q451" s="378"/>
      <c r="R451" s="376">
        <v>11872</v>
      </c>
      <c r="S451" s="376">
        <f t="shared" ref="S451:S457" si="84">Q451</f>
        <v>0</v>
      </c>
      <c r="T451" s="378"/>
      <c r="U451" s="376">
        <v>11660</v>
      </c>
      <c r="V451" s="376">
        <f t="shared" ref="V451:V457" si="85">T451</f>
        <v>0</v>
      </c>
      <c r="W451" s="376">
        <v>11660</v>
      </c>
      <c r="X451" s="376">
        <f t="shared" ref="X451:X457" si="86">V451</f>
        <v>0</v>
      </c>
      <c r="Y451" s="379" t="e">
        <f t="shared" ref="Y451:Y457" si="87">T451/H451</f>
        <v>#VALUE!</v>
      </c>
      <c r="Z451" s="376" t="s">
        <v>76</v>
      </c>
      <c r="AA451" s="380"/>
      <c r="AB451" s="394"/>
      <c r="AC451" s="374" t="s">
        <v>40</v>
      </c>
      <c r="AD451" s="378"/>
      <c r="AE451" s="382"/>
      <c r="AF451" s="378"/>
      <c r="AG451" s="383"/>
      <c r="AH451" s="378"/>
    </row>
    <row r="452" spans="1:34" ht="25.5" customHeight="1">
      <c r="A452" s="378" t="s">
        <v>471</v>
      </c>
      <c r="B452" s="371"/>
      <c r="C452" s="372" t="s">
        <v>119</v>
      </c>
      <c r="D452" s="372" t="s">
        <v>35</v>
      </c>
      <c r="E452" s="371">
        <v>550800</v>
      </c>
      <c r="F452" s="373" t="s">
        <v>279</v>
      </c>
      <c r="G452" s="373" t="s">
        <v>281</v>
      </c>
      <c r="H452" s="374" t="s">
        <v>46</v>
      </c>
      <c r="I452" s="375">
        <v>515</v>
      </c>
      <c r="J452" s="375" t="str">
        <f t="shared" si="83"/>
        <v>Retail</v>
      </c>
      <c r="K452" s="375">
        <v>500</v>
      </c>
      <c r="L452" s="373" t="s">
        <v>282</v>
      </c>
      <c r="M452" s="384">
        <v>44756</v>
      </c>
      <c r="N452" s="377">
        <v>47154</v>
      </c>
      <c r="O452" s="378"/>
      <c r="P452" s="377">
        <v>45328</v>
      </c>
      <c r="Q452" s="378"/>
      <c r="R452" s="376">
        <v>37500</v>
      </c>
      <c r="S452" s="376">
        <f t="shared" si="84"/>
        <v>0</v>
      </c>
      <c r="T452" s="378"/>
      <c r="U452" s="376">
        <v>37502</v>
      </c>
      <c r="V452" s="376">
        <f t="shared" si="85"/>
        <v>0</v>
      </c>
      <c r="W452" s="376">
        <v>37500</v>
      </c>
      <c r="X452" s="376">
        <f t="shared" si="86"/>
        <v>0</v>
      </c>
      <c r="Y452" s="379" t="e">
        <f t="shared" si="87"/>
        <v>#VALUE!</v>
      </c>
      <c r="Z452" s="376" t="s">
        <v>58</v>
      </c>
      <c r="AA452" s="380"/>
      <c r="AB452" s="394"/>
      <c r="AC452" s="374" t="s">
        <v>40</v>
      </c>
      <c r="AD452" s="378"/>
      <c r="AE452" s="378"/>
      <c r="AF452" s="378"/>
      <c r="AG452" s="383"/>
      <c r="AH452" s="378"/>
    </row>
    <row r="453" spans="1:34" ht="24">
      <c r="A453" s="378" t="s">
        <v>471</v>
      </c>
      <c r="B453" s="371"/>
      <c r="C453" s="372" t="s">
        <v>119</v>
      </c>
      <c r="D453" s="372" t="s">
        <v>35</v>
      </c>
      <c r="E453" s="371">
        <v>550800</v>
      </c>
      <c r="F453" s="373" t="s">
        <v>279</v>
      </c>
      <c r="G453" s="373" t="s">
        <v>703</v>
      </c>
      <c r="H453" s="374" t="s">
        <v>37</v>
      </c>
      <c r="I453" s="375">
        <v>172</v>
      </c>
      <c r="J453" s="375" t="str">
        <f t="shared" si="83"/>
        <v>Office</v>
      </c>
      <c r="K453" s="375">
        <v>250</v>
      </c>
      <c r="L453" s="373" t="s">
        <v>704</v>
      </c>
      <c r="M453" s="384">
        <v>44750</v>
      </c>
      <c r="N453" s="377">
        <v>46575</v>
      </c>
      <c r="O453" s="378"/>
      <c r="P453" s="378"/>
      <c r="Q453" s="378"/>
      <c r="R453" s="376">
        <v>9400</v>
      </c>
      <c r="S453" s="376">
        <f t="shared" si="84"/>
        <v>0</v>
      </c>
      <c r="T453" s="378"/>
      <c r="U453" s="376">
        <v>9460</v>
      </c>
      <c r="V453" s="376">
        <f t="shared" si="85"/>
        <v>0</v>
      </c>
      <c r="W453" s="376">
        <v>11180</v>
      </c>
      <c r="X453" s="376">
        <f t="shared" si="86"/>
        <v>0</v>
      </c>
      <c r="Y453" s="379" t="e">
        <f t="shared" si="87"/>
        <v>#VALUE!</v>
      </c>
      <c r="Z453" s="376" t="s">
        <v>76</v>
      </c>
      <c r="AA453" s="380"/>
      <c r="AB453" s="394"/>
      <c r="AC453" s="374" t="s">
        <v>40</v>
      </c>
      <c r="AD453" s="378"/>
      <c r="AE453" s="378"/>
      <c r="AF453" s="378"/>
      <c r="AG453" s="383"/>
      <c r="AH453" s="378"/>
    </row>
    <row r="454" spans="1:34" ht="24">
      <c r="A454" s="378" t="s">
        <v>471</v>
      </c>
      <c r="B454" s="371"/>
      <c r="C454" s="372" t="s">
        <v>119</v>
      </c>
      <c r="D454" s="372" t="s">
        <v>35</v>
      </c>
      <c r="E454" s="371">
        <v>550800</v>
      </c>
      <c r="F454" s="373" t="s">
        <v>279</v>
      </c>
      <c r="G454" s="373" t="s">
        <v>705</v>
      </c>
      <c r="H454" s="374" t="s">
        <v>37</v>
      </c>
      <c r="I454" s="375">
        <v>117</v>
      </c>
      <c r="J454" s="375" t="str">
        <f t="shared" si="83"/>
        <v>Office</v>
      </c>
      <c r="K454" s="375">
        <v>250</v>
      </c>
      <c r="L454" s="373" t="s">
        <v>706</v>
      </c>
      <c r="M454" s="384">
        <v>45194</v>
      </c>
      <c r="N454" s="377">
        <v>47020</v>
      </c>
      <c r="O454" s="378"/>
      <c r="P454" s="378"/>
      <c r="Q454" s="377">
        <v>46289</v>
      </c>
      <c r="R454" s="376">
        <v>7100</v>
      </c>
      <c r="S454" s="376">
        <f t="shared" si="84"/>
        <v>46289</v>
      </c>
      <c r="T454" s="378"/>
      <c r="U454" s="376">
        <v>7000</v>
      </c>
      <c r="V454" s="376">
        <f t="shared" si="85"/>
        <v>0</v>
      </c>
      <c r="W454" s="376">
        <v>7605</v>
      </c>
      <c r="X454" s="376">
        <f t="shared" si="86"/>
        <v>0</v>
      </c>
      <c r="Y454" s="379" t="e">
        <f t="shared" si="87"/>
        <v>#VALUE!</v>
      </c>
      <c r="Z454" s="376" t="s">
        <v>76</v>
      </c>
      <c r="AA454" s="380"/>
      <c r="AB454" s="394"/>
      <c r="AC454" s="374" t="s">
        <v>40</v>
      </c>
      <c r="AD454" s="373" t="s">
        <v>130</v>
      </c>
      <c r="AE454" s="378"/>
      <c r="AF454" s="378"/>
      <c r="AG454" s="383"/>
      <c r="AH454" s="378"/>
    </row>
    <row r="455" spans="1:34" ht="36">
      <c r="A455" s="378" t="s">
        <v>471</v>
      </c>
      <c r="B455" s="371"/>
      <c r="C455" s="372" t="s">
        <v>119</v>
      </c>
      <c r="D455" s="372" t="s">
        <v>35</v>
      </c>
      <c r="E455" s="371">
        <v>550800</v>
      </c>
      <c r="F455" s="373" t="s">
        <v>279</v>
      </c>
      <c r="G455" s="373" t="s">
        <v>707</v>
      </c>
      <c r="H455" s="374" t="s">
        <v>37</v>
      </c>
      <c r="I455" s="375">
        <v>170</v>
      </c>
      <c r="J455" s="375" t="str">
        <f t="shared" si="83"/>
        <v>Office</v>
      </c>
      <c r="K455" s="375">
        <v>250</v>
      </c>
      <c r="L455" s="373" t="s">
        <v>708</v>
      </c>
      <c r="M455" s="384">
        <v>45632</v>
      </c>
      <c r="N455" s="377">
        <v>47457</v>
      </c>
      <c r="O455" s="378"/>
      <c r="P455" s="378"/>
      <c r="Q455" s="377">
        <v>46519</v>
      </c>
      <c r="R455" s="376">
        <v>9400</v>
      </c>
      <c r="S455" s="376">
        <f t="shared" si="84"/>
        <v>46519</v>
      </c>
      <c r="T455" s="378"/>
      <c r="U455" s="376">
        <v>8925</v>
      </c>
      <c r="V455" s="376">
        <f t="shared" si="85"/>
        <v>0</v>
      </c>
      <c r="W455" s="376">
        <v>11050</v>
      </c>
      <c r="X455" s="376">
        <f t="shared" si="86"/>
        <v>0</v>
      </c>
      <c r="Y455" s="379" t="e">
        <f t="shared" si="87"/>
        <v>#VALUE!</v>
      </c>
      <c r="Z455" s="376" t="s">
        <v>76</v>
      </c>
      <c r="AA455" s="380"/>
      <c r="AB455" s="394"/>
      <c r="AC455" s="374" t="s">
        <v>40</v>
      </c>
      <c r="AD455" s="373" t="s">
        <v>709</v>
      </c>
      <c r="AE455" s="378"/>
      <c r="AF455" s="378"/>
      <c r="AG455" s="383"/>
      <c r="AH455" s="378"/>
    </row>
    <row r="456" spans="1:34">
      <c r="A456" s="378" t="s">
        <v>471</v>
      </c>
      <c r="B456" s="371"/>
      <c r="C456" s="372" t="s">
        <v>119</v>
      </c>
      <c r="D456" s="372" t="s">
        <v>35</v>
      </c>
      <c r="E456" s="371">
        <v>550800</v>
      </c>
      <c r="F456" s="373" t="s">
        <v>279</v>
      </c>
      <c r="G456" s="373" t="s">
        <v>710</v>
      </c>
      <c r="H456" s="374" t="s">
        <v>37</v>
      </c>
      <c r="I456" s="375">
        <v>130</v>
      </c>
      <c r="J456" s="375" t="str">
        <f t="shared" si="83"/>
        <v>Office</v>
      </c>
      <c r="K456" s="375">
        <v>250</v>
      </c>
      <c r="L456" s="373" t="s">
        <v>711</v>
      </c>
      <c r="M456" s="384">
        <v>44762</v>
      </c>
      <c r="N456" s="377">
        <v>46587</v>
      </c>
      <c r="O456" s="378"/>
      <c r="P456" s="378"/>
      <c r="Q456" s="377">
        <v>45857</v>
      </c>
      <c r="R456" s="376">
        <v>7605</v>
      </c>
      <c r="S456" s="376">
        <f t="shared" si="84"/>
        <v>45857</v>
      </c>
      <c r="T456" s="378"/>
      <c r="U456" s="376">
        <v>7605</v>
      </c>
      <c r="V456" s="376">
        <f t="shared" si="85"/>
        <v>0</v>
      </c>
      <c r="W456" s="376">
        <v>8450</v>
      </c>
      <c r="X456" s="376">
        <f t="shared" si="86"/>
        <v>0</v>
      </c>
      <c r="Y456" s="379" t="e">
        <f t="shared" si="87"/>
        <v>#VALUE!</v>
      </c>
      <c r="Z456" s="376" t="s">
        <v>76</v>
      </c>
      <c r="AA456" s="380"/>
      <c r="AB456" s="394"/>
      <c r="AC456" s="374" t="s">
        <v>40</v>
      </c>
      <c r="AD456" s="378"/>
      <c r="AE456" s="378"/>
      <c r="AF456" s="378"/>
      <c r="AG456" s="383"/>
      <c r="AH456" s="378"/>
    </row>
    <row r="457" spans="1:34" ht="36">
      <c r="A457" s="378" t="s">
        <v>471</v>
      </c>
      <c r="B457" s="371"/>
      <c r="C457" s="372" t="s">
        <v>119</v>
      </c>
      <c r="D457" s="372" t="s">
        <v>35</v>
      </c>
      <c r="E457" s="371">
        <v>550800</v>
      </c>
      <c r="F457" s="373" t="s">
        <v>279</v>
      </c>
      <c r="G457" s="373" t="s">
        <v>712</v>
      </c>
      <c r="H457" s="374" t="s">
        <v>210</v>
      </c>
      <c r="I457" s="375">
        <v>600</v>
      </c>
      <c r="J457" s="375" t="str">
        <f t="shared" si="83"/>
        <v>Residential</v>
      </c>
      <c r="K457" s="375">
        <v>500</v>
      </c>
      <c r="L457" s="373" t="s">
        <v>713</v>
      </c>
      <c r="M457" s="384">
        <v>45135</v>
      </c>
      <c r="N457" s="377">
        <v>45865</v>
      </c>
      <c r="O457" s="378"/>
      <c r="P457" s="378"/>
      <c r="Q457" s="378"/>
      <c r="R457" s="376">
        <v>40950</v>
      </c>
      <c r="S457" s="376">
        <f t="shared" si="84"/>
        <v>0</v>
      </c>
      <c r="T457" s="378"/>
      <c r="U457" s="376">
        <v>36140</v>
      </c>
      <c r="V457" s="376">
        <f t="shared" si="85"/>
        <v>0</v>
      </c>
      <c r="W457" s="376">
        <v>39000</v>
      </c>
      <c r="X457" s="376">
        <f t="shared" si="86"/>
        <v>0</v>
      </c>
      <c r="Y457" s="379" t="e">
        <f t="shared" si="87"/>
        <v>#VALUE!</v>
      </c>
      <c r="Z457" s="376" t="s">
        <v>76</v>
      </c>
      <c r="AA457" s="380"/>
      <c r="AB457" s="394"/>
      <c r="AC457" s="374" t="s">
        <v>40</v>
      </c>
      <c r="AD457" s="378"/>
      <c r="AE457" s="378"/>
      <c r="AF457" s="378"/>
      <c r="AG457" s="383"/>
      <c r="AH457" s="378"/>
    </row>
    <row r="458" spans="1:34" ht="14.25" customHeight="1">
      <c r="B458" s="2"/>
      <c r="C458" s="11"/>
      <c r="D458" s="11" t="s">
        <v>35</v>
      </c>
      <c r="E458" s="2"/>
      <c r="J458" s="10"/>
      <c r="K458" s="10"/>
      <c r="U458" s="10"/>
      <c r="V458" s="10"/>
      <c r="W458" s="10"/>
      <c r="X458" s="10"/>
      <c r="Y458" s="10"/>
      <c r="Z458" s="10"/>
      <c r="AA458" s="61"/>
      <c r="AB458" s="19"/>
      <c r="AC458" s="14"/>
      <c r="AG458" s="300"/>
    </row>
    <row r="459" spans="1:34" ht="14.25" customHeight="1">
      <c r="B459" s="2"/>
      <c r="C459" s="11"/>
      <c r="D459" s="11" t="s">
        <v>35</v>
      </c>
      <c r="E459" s="2"/>
      <c r="G459" s="92" t="s">
        <v>279</v>
      </c>
      <c r="I459" s="18">
        <f>SUM(H451:H457)</f>
        <v>0</v>
      </c>
      <c r="J459" s="19"/>
      <c r="K459" s="19"/>
      <c r="R459" s="19">
        <f>SUM(Q451:Q457)</f>
        <v>138665</v>
      </c>
      <c r="S459" s="19"/>
      <c r="T459" s="19">
        <f>SUM(R449:R458)</f>
        <v>123827</v>
      </c>
      <c r="U459" s="19">
        <f>SUM(T451:T457)</f>
        <v>0</v>
      </c>
      <c r="V459" s="19"/>
      <c r="W459" s="19">
        <f>SUM(V451:V457)</f>
        <v>0</v>
      </c>
      <c r="X459" s="19"/>
      <c r="Y459" s="19"/>
      <c r="Z459" s="19"/>
      <c r="AA459" s="62"/>
      <c r="AB459" s="19">
        <v>2175000</v>
      </c>
      <c r="AC459" s="14"/>
      <c r="AG459" s="300"/>
    </row>
    <row r="460" spans="1:34" ht="14.25" customHeight="1">
      <c r="B460" s="2"/>
      <c r="C460" s="11"/>
      <c r="D460" s="11" t="s">
        <v>35</v>
      </c>
      <c r="E460" s="2"/>
      <c r="I460" s="18"/>
      <c r="J460" s="19"/>
      <c r="K460" s="19"/>
      <c r="R460" s="19"/>
      <c r="S460" s="19"/>
      <c r="T460" s="19"/>
      <c r="U460" s="19"/>
      <c r="V460" s="19"/>
      <c r="W460" s="19"/>
      <c r="X460" s="19"/>
      <c r="Y460" s="19"/>
      <c r="Z460" s="19"/>
      <c r="AA460" s="62"/>
      <c r="AB460" s="54"/>
      <c r="AC460" s="14"/>
      <c r="AG460" s="300"/>
    </row>
    <row r="461" spans="1:34" ht="14.25" customHeight="1">
      <c r="A461" t="s">
        <v>928</v>
      </c>
      <c r="B461" s="2"/>
      <c r="C461" s="11"/>
      <c r="D461" s="11" t="s">
        <v>35</v>
      </c>
      <c r="E461" s="2"/>
      <c r="H461" s="6" t="s">
        <v>283</v>
      </c>
      <c r="J461" s="10"/>
      <c r="K461" s="10"/>
      <c r="L461" s="32"/>
      <c r="V461" s="10"/>
      <c r="X461" s="10"/>
      <c r="Y461" s="10"/>
      <c r="Z461" s="10"/>
      <c r="AA461" s="61"/>
      <c r="AC461" s="14"/>
      <c r="AG461" s="300"/>
    </row>
    <row r="462" spans="1:34" ht="14.25" customHeight="1">
      <c r="B462" s="2"/>
      <c r="C462" s="11"/>
      <c r="D462" s="11" t="s">
        <v>35</v>
      </c>
      <c r="E462" s="2"/>
      <c r="H462" s="6"/>
      <c r="I462" s="133"/>
      <c r="J462" s="10"/>
      <c r="K462" s="10"/>
      <c r="U462" s="10"/>
      <c r="V462" s="10"/>
      <c r="W462" s="10"/>
      <c r="X462" s="10"/>
      <c r="Y462" s="10"/>
      <c r="Z462" s="10"/>
      <c r="AA462" s="61"/>
      <c r="AC462" s="14"/>
      <c r="AG462" s="300"/>
    </row>
    <row r="463" spans="1:34" ht="36">
      <c r="A463" s="370" t="s">
        <v>471</v>
      </c>
      <c r="B463" s="371"/>
      <c r="C463" s="372" t="s">
        <v>44</v>
      </c>
      <c r="D463" s="372" t="s">
        <v>35</v>
      </c>
      <c r="E463" s="371">
        <v>550550</v>
      </c>
      <c r="F463" s="373" t="s">
        <v>283</v>
      </c>
      <c r="G463" s="373" t="s">
        <v>284</v>
      </c>
      <c r="H463" s="374" t="s">
        <v>285</v>
      </c>
      <c r="I463" s="375">
        <v>3664</v>
      </c>
      <c r="J463" s="375" t="str">
        <f t="shared" ref="J463:J474" si="88">H463</f>
        <v>Nightclub</v>
      </c>
      <c r="K463" s="375">
        <v>3500</v>
      </c>
      <c r="L463" s="373" t="s">
        <v>286</v>
      </c>
      <c r="M463" s="384">
        <v>40946</v>
      </c>
      <c r="N463" s="384">
        <v>46424</v>
      </c>
      <c r="O463" s="384"/>
      <c r="P463" s="378"/>
      <c r="Q463" s="378"/>
      <c r="R463" s="376">
        <v>230000</v>
      </c>
      <c r="S463" s="376">
        <f t="shared" ref="S463:S474" si="89">Q463</f>
        <v>0</v>
      </c>
      <c r="T463" s="378"/>
      <c r="U463" s="376">
        <v>225000</v>
      </c>
      <c r="V463" s="376">
        <f t="shared" ref="V463:V474" si="90">T463</f>
        <v>0</v>
      </c>
      <c r="W463" s="376">
        <v>200000</v>
      </c>
      <c r="X463" s="376">
        <f t="shared" ref="X463:X474" si="91">V463</f>
        <v>0</v>
      </c>
      <c r="Y463" s="379" t="e">
        <f t="shared" ref="Y463:Y474" si="92">T463/H463</f>
        <v>#VALUE!</v>
      </c>
      <c r="Z463" s="376" t="s">
        <v>58</v>
      </c>
      <c r="AA463" s="380"/>
      <c r="AB463" s="381"/>
      <c r="AC463" s="374" t="s">
        <v>40</v>
      </c>
      <c r="AD463" s="373" t="s">
        <v>287</v>
      </c>
      <c r="AE463" s="378"/>
      <c r="AF463" s="378"/>
      <c r="AG463" s="383"/>
      <c r="AH463" s="378"/>
    </row>
    <row r="464" spans="1:34" ht="36">
      <c r="A464" s="378" t="s">
        <v>471</v>
      </c>
      <c r="B464" s="371"/>
      <c r="C464" s="372" t="s">
        <v>44</v>
      </c>
      <c r="D464" s="372" t="s">
        <v>35</v>
      </c>
      <c r="E464" s="371">
        <v>550550</v>
      </c>
      <c r="F464" s="373" t="s">
        <v>283</v>
      </c>
      <c r="G464" s="391" t="s">
        <v>288</v>
      </c>
      <c r="H464" s="374" t="s">
        <v>46</v>
      </c>
      <c r="I464" s="375">
        <v>1496</v>
      </c>
      <c r="J464" s="375" t="str">
        <f t="shared" si="88"/>
        <v>Retail</v>
      </c>
      <c r="K464" s="375">
        <v>1500</v>
      </c>
      <c r="L464" s="373" t="s">
        <v>289</v>
      </c>
      <c r="M464" s="384">
        <v>45178</v>
      </c>
      <c r="N464" s="407">
        <v>47004</v>
      </c>
      <c r="O464" s="407"/>
      <c r="P464" s="378"/>
      <c r="Q464" s="378"/>
      <c r="R464" s="376">
        <v>53200</v>
      </c>
      <c r="S464" s="376">
        <f t="shared" si="89"/>
        <v>0</v>
      </c>
      <c r="T464" s="378"/>
      <c r="U464" s="376">
        <v>53200</v>
      </c>
      <c r="V464" s="376">
        <f t="shared" si="90"/>
        <v>0</v>
      </c>
      <c r="W464" s="376">
        <v>58000</v>
      </c>
      <c r="X464" s="376">
        <f t="shared" si="91"/>
        <v>0</v>
      </c>
      <c r="Y464" s="379" t="e">
        <f t="shared" si="92"/>
        <v>#VALUE!</v>
      </c>
      <c r="Z464" s="376" t="s">
        <v>58</v>
      </c>
      <c r="AA464" s="380"/>
      <c r="AB464" s="381"/>
      <c r="AC464" s="374" t="s">
        <v>40</v>
      </c>
      <c r="AD464" s="373" t="s">
        <v>290</v>
      </c>
      <c r="AE464" s="378"/>
      <c r="AF464" s="378"/>
      <c r="AG464" s="383"/>
      <c r="AH464" s="378"/>
    </row>
    <row r="465" spans="1:34" ht="60">
      <c r="A465" s="378" t="s">
        <v>471</v>
      </c>
      <c r="B465" s="371"/>
      <c r="C465" s="372" t="s">
        <v>44</v>
      </c>
      <c r="D465" s="372" t="s">
        <v>35</v>
      </c>
      <c r="E465" s="371">
        <v>550550</v>
      </c>
      <c r="F465" s="373" t="s">
        <v>283</v>
      </c>
      <c r="G465" s="373" t="s">
        <v>291</v>
      </c>
      <c r="H465" s="374" t="s">
        <v>83</v>
      </c>
      <c r="I465" s="375">
        <v>1592</v>
      </c>
      <c r="J465" s="375" t="str">
        <f t="shared" si="88"/>
        <v>Restaurant</v>
      </c>
      <c r="K465" s="375">
        <v>1500</v>
      </c>
      <c r="L465" s="391" t="s">
        <v>292</v>
      </c>
      <c r="M465" s="384">
        <v>44663</v>
      </c>
      <c r="N465" s="377">
        <v>50141</v>
      </c>
      <c r="O465" s="378"/>
      <c r="P465" s="377">
        <v>46489</v>
      </c>
      <c r="Q465" s="377">
        <v>48315</v>
      </c>
      <c r="R465" s="390">
        <v>95000</v>
      </c>
      <c r="S465" s="376">
        <f t="shared" si="89"/>
        <v>48315</v>
      </c>
      <c r="T465" s="378"/>
      <c r="U465" s="376">
        <v>100500</v>
      </c>
      <c r="V465" s="376">
        <f t="shared" si="90"/>
        <v>0</v>
      </c>
      <c r="W465" s="376">
        <v>100000</v>
      </c>
      <c r="X465" s="376">
        <f t="shared" si="91"/>
        <v>0</v>
      </c>
      <c r="Y465" s="379" t="e">
        <f t="shared" si="92"/>
        <v>#VALUE!</v>
      </c>
      <c r="Z465" s="376" t="s">
        <v>39</v>
      </c>
      <c r="AA465" s="380"/>
      <c r="AB465" s="381"/>
      <c r="AC465" s="374" t="s">
        <v>40</v>
      </c>
      <c r="AD465" s="373" t="s">
        <v>293</v>
      </c>
      <c r="AE465" s="378"/>
      <c r="AF465" s="378"/>
      <c r="AG465" s="383"/>
      <c r="AH465" s="378"/>
    </row>
    <row r="466" spans="1:34" ht="36">
      <c r="A466" s="378" t="s">
        <v>471</v>
      </c>
      <c r="B466" s="371"/>
      <c r="C466" s="372" t="s">
        <v>44</v>
      </c>
      <c r="D466" s="372" t="s">
        <v>35</v>
      </c>
      <c r="E466" s="371">
        <v>550550</v>
      </c>
      <c r="F466" s="373" t="s">
        <v>283</v>
      </c>
      <c r="G466" s="391" t="s">
        <v>294</v>
      </c>
      <c r="H466" s="374" t="s">
        <v>46</v>
      </c>
      <c r="I466" s="375">
        <v>1704</v>
      </c>
      <c r="J466" s="375" t="str">
        <f t="shared" si="88"/>
        <v>Retail</v>
      </c>
      <c r="K466" s="375">
        <v>1750</v>
      </c>
      <c r="L466" s="391" t="s">
        <v>295</v>
      </c>
      <c r="M466" s="384">
        <v>45111</v>
      </c>
      <c r="N466" s="377">
        <v>48763</v>
      </c>
      <c r="O466" s="378"/>
      <c r="P466" s="377">
        <v>46938</v>
      </c>
      <c r="Q466" s="378"/>
      <c r="R466" s="376">
        <v>105000</v>
      </c>
      <c r="S466" s="376">
        <f t="shared" si="89"/>
        <v>0</v>
      </c>
      <c r="T466" s="378"/>
      <c r="U466" s="376">
        <v>96300</v>
      </c>
      <c r="V466" s="376">
        <f t="shared" si="90"/>
        <v>0</v>
      </c>
      <c r="W466" s="376">
        <v>105000</v>
      </c>
      <c r="X466" s="376">
        <f t="shared" si="91"/>
        <v>0</v>
      </c>
      <c r="Y466" s="379" t="e">
        <f t="shared" si="92"/>
        <v>#VALUE!</v>
      </c>
      <c r="Z466" s="376" t="s">
        <v>39</v>
      </c>
      <c r="AA466" s="380"/>
      <c r="AB466" s="381"/>
      <c r="AC466" s="374" t="s">
        <v>40</v>
      </c>
      <c r="AD466" s="378"/>
      <c r="AE466" s="378"/>
      <c r="AF466" s="378"/>
      <c r="AG466" s="383"/>
      <c r="AH466" s="378"/>
    </row>
    <row r="467" spans="1:34">
      <c r="A467" s="378" t="s">
        <v>471</v>
      </c>
      <c r="B467" s="371"/>
      <c r="C467" s="372" t="s">
        <v>44</v>
      </c>
      <c r="D467" s="372" t="s">
        <v>35</v>
      </c>
      <c r="E467" s="371">
        <v>550550</v>
      </c>
      <c r="F467" s="373" t="s">
        <v>283</v>
      </c>
      <c r="G467" s="391" t="s">
        <v>330</v>
      </c>
      <c r="H467" s="374" t="s">
        <v>714</v>
      </c>
      <c r="I467" s="375">
        <v>2955</v>
      </c>
      <c r="J467" s="375" t="str">
        <f t="shared" si="88"/>
        <v>D1</v>
      </c>
      <c r="K467" s="375">
        <v>3000</v>
      </c>
      <c r="L467" s="373" t="s">
        <v>715</v>
      </c>
      <c r="M467" s="384">
        <v>45329</v>
      </c>
      <c r="N467" s="377">
        <v>46059</v>
      </c>
      <c r="O467" s="378"/>
      <c r="P467" s="378"/>
      <c r="Q467" s="378"/>
      <c r="R467" s="376">
        <v>150000</v>
      </c>
      <c r="S467" s="376">
        <f t="shared" si="89"/>
        <v>0</v>
      </c>
      <c r="T467" s="378"/>
      <c r="U467" s="376">
        <v>180000</v>
      </c>
      <c r="V467" s="376">
        <f t="shared" si="90"/>
        <v>0</v>
      </c>
      <c r="W467" s="376">
        <v>177300</v>
      </c>
      <c r="X467" s="376">
        <f t="shared" si="91"/>
        <v>0</v>
      </c>
      <c r="Y467" s="379" t="e">
        <f t="shared" si="92"/>
        <v>#VALUE!</v>
      </c>
      <c r="Z467" s="376" t="s">
        <v>39</v>
      </c>
      <c r="AA467" s="380"/>
      <c r="AB467" s="381"/>
      <c r="AC467" s="374" t="s">
        <v>40</v>
      </c>
      <c r="AD467" s="378"/>
      <c r="AE467" s="378"/>
      <c r="AF467" s="378"/>
      <c r="AG467" s="383"/>
      <c r="AH467" s="378"/>
    </row>
    <row r="468" spans="1:34" ht="24">
      <c r="A468" s="378" t="s">
        <v>471</v>
      </c>
      <c r="B468" s="371"/>
      <c r="C468" s="372" t="s">
        <v>44</v>
      </c>
      <c r="D468" s="372" t="s">
        <v>35</v>
      </c>
      <c r="E468" s="371">
        <v>550550</v>
      </c>
      <c r="F468" s="373" t="s">
        <v>283</v>
      </c>
      <c r="G468" s="391" t="s">
        <v>513</v>
      </c>
      <c r="H468" s="374" t="s">
        <v>37</v>
      </c>
      <c r="I468" s="375">
        <v>388</v>
      </c>
      <c r="J468" s="375" t="str">
        <f t="shared" si="88"/>
        <v>Office</v>
      </c>
      <c r="K468" s="375">
        <v>500</v>
      </c>
      <c r="L468" s="391" t="s">
        <v>716</v>
      </c>
      <c r="M468" s="384">
        <v>45429</v>
      </c>
      <c r="N468" s="377">
        <v>47254</v>
      </c>
      <c r="O468" s="378"/>
      <c r="P468" s="378"/>
      <c r="Q468" s="377">
        <v>46158</v>
      </c>
      <c r="R468" s="376">
        <v>20520</v>
      </c>
      <c r="S468" s="376">
        <f t="shared" si="89"/>
        <v>46158</v>
      </c>
      <c r="T468" s="378"/>
      <c r="U468" s="376">
        <v>19000</v>
      </c>
      <c r="V468" s="376">
        <f t="shared" si="90"/>
        <v>0</v>
      </c>
      <c r="W468" s="376">
        <v>21000</v>
      </c>
      <c r="X468" s="376">
        <f t="shared" si="91"/>
        <v>0</v>
      </c>
      <c r="Y468" s="379" t="e">
        <f t="shared" si="92"/>
        <v>#VALUE!</v>
      </c>
      <c r="Z468" s="376" t="s">
        <v>39</v>
      </c>
      <c r="AA468" s="380"/>
      <c r="AB468" s="381"/>
      <c r="AC468" s="374" t="s">
        <v>40</v>
      </c>
      <c r="AD468" s="373" t="s">
        <v>130</v>
      </c>
      <c r="AE468" s="378"/>
      <c r="AF468" s="378"/>
      <c r="AG468" s="383"/>
      <c r="AH468" s="378"/>
    </row>
    <row r="469" spans="1:34" ht="24" customHeight="1">
      <c r="A469" s="378" t="s">
        <v>471</v>
      </c>
      <c r="B469" s="371"/>
      <c r="C469" s="372" t="s">
        <v>44</v>
      </c>
      <c r="D469" s="372" t="s">
        <v>35</v>
      </c>
      <c r="E469" s="371">
        <v>550550</v>
      </c>
      <c r="F469" s="373" t="s">
        <v>283</v>
      </c>
      <c r="G469" s="391" t="s">
        <v>717</v>
      </c>
      <c r="H469" s="374" t="s">
        <v>37</v>
      </c>
      <c r="I469" s="375">
        <v>395</v>
      </c>
      <c r="J469" s="375" t="str">
        <f t="shared" si="88"/>
        <v>Office</v>
      </c>
      <c r="K469" s="375">
        <v>500</v>
      </c>
      <c r="L469" s="373" t="s">
        <v>718</v>
      </c>
      <c r="M469" s="384">
        <v>45450</v>
      </c>
      <c r="N469" s="377">
        <v>47275</v>
      </c>
      <c r="O469" s="378"/>
      <c r="P469" s="378"/>
      <c r="Q469" s="377">
        <v>46574</v>
      </c>
      <c r="R469" s="376">
        <v>21850</v>
      </c>
      <c r="S469" s="376">
        <f t="shared" si="89"/>
        <v>46574</v>
      </c>
      <c r="T469" s="378"/>
      <c r="U469" s="376">
        <v>18900</v>
      </c>
      <c r="V469" s="376">
        <f t="shared" si="90"/>
        <v>0</v>
      </c>
      <c r="W469" s="376">
        <v>21850</v>
      </c>
      <c r="X469" s="376">
        <f t="shared" si="91"/>
        <v>0</v>
      </c>
      <c r="Y469" s="379" t="e">
        <f t="shared" si="92"/>
        <v>#VALUE!</v>
      </c>
      <c r="Z469" s="376" t="s">
        <v>39</v>
      </c>
      <c r="AA469" s="380"/>
      <c r="AB469" s="381"/>
      <c r="AC469" s="374" t="s">
        <v>40</v>
      </c>
      <c r="AD469" s="373" t="s">
        <v>719</v>
      </c>
      <c r="AE469" s="378"/>
      <c r="AF469" s="378"/>
      <c r="AG469" s="383"/>
      <c r="AH469" s="378"/>
    </row>
    <row r="470" spans="1:34" ht="24.75" customHeight="1">
      <c r="A470" s="378" t="s">
        <v>471</v>
      </c>
      <c r="B470" s="371"/>
      <c r="C470" s="372" t="s">
        <v>44</v>
      </c>
      <c r="D470" s="372" t="s">
        <v>35</v>
      </c>
      <c r="E470" s="371">
        <v>550550</v>
      </c>
      <c r="F470" s="373" t="s">
        <v>283</v>
      </c>
      <c r="G470" s="373" t="s">
        <v>518</v>
      </c>
      <c r="H470" s="374" t="s">
        <v>37</v>
      </c>
      <c r="I470" s="375">
        <v>2610</v>
      </c>
      <c r="J470" s="375" t="str">
        <f t="shared" si="88"/>
        <v>Office</v>
      </c>
      <c r="K470" s="375">
        <v>2500</v>
      </c>
      <c r="L470" s="391" t="s">
        <v>68</v>
      </c>
      <c r="M470" s="378"/>
      <c r="N470" s="378"/>
      <c r="O470" s="377">
        <v>43783</v>
      </c>
      <c r="P470" s="378"/>
      <c r="Q470" s="378"/>
      <c r="R470" s="376">
        <v>0</v>
      </c>
      <c r="S470" s="376">
        <f t="shared" si="89"/>
        <v>0</v>
      </c>
      <c r="T470" s="378"/>
      <c r="U470" s="376">
        <v>182500</v>
      </c>
      <c r="V470" s="376">
        <f t="shared" si="90"/>
        <v>0</v>
      </c>
      <c r="W470" s="376">
        <v>169700</v>
      </c>
      <c r="X470" s="376">
        <f t="shared" si="91"/>
        <v>0</v>
      </c>
      <c r="Y470" s="379" t="e">
        <f t="shared" si="92"/>
        <v>#VALUE!</v>
      </c>
      <c r="Z470" s="376" t="s">
        <v>39</v>
      </c>
      <c r="AA470" s="380"/>
      <c r="AB470" s="381"/>
      <c r="AC470" s="374" t="s">
        <v>40</v>
      </c>
      <c r="AD470" s="373" t="s">
        <v>482</v>
      </c>
      <c r="AE470" s="388">
        <v>72.5</v>
      </c>
      <c r="AF470" s="373">
        <v>1</v>
      </c>
      <c r="AG470" s="383">
        <v>1</v>
      </c>
      <c r="AH470" s="378"/>
    </row>
    <row r="471" spans="1:34">
      <c r="A471" s="378" t="s">
        <v>471</v>
      </c>
      <c r="B471" s="371"/>
      <c r="C471" s="372" t="s">
        <v>44</v>
      </c>
      <c r="D471" s="372" t="s">
        <v>35</v>
      </c>
      <c r="E471" s="371">
        <v>550550</v>
      </c>
      <c r="F471" s="373" t="s">
        <v>283</v>
      </c>
      <c r="G471" s="373" t="s">
        <v>720</v>
      </c>
      <c r="H471" s="374" t="s">
        <v>37</v>
      </c>
      <c r="I471" s="375">
        <v>2508</v>
      </c>
      <c r="J471" s="375" t="str">
        <f t="shared" si="88"/>
        <v>Office</v>
      </c>
      <c r="K471" s="375">
        <v>2500</v>
      </c>
      <c r="L471" s="391" t="s">
        <v>68</v>
      </c>
      <c r="M471" s="378"/>
      <c r="N471" s="378"/>
      <c r="O471" s="377">
        <v>45504</v>
      </c>
      <c r="P471" s="378"/>
      <c r="Q471" s="378"/>
      <c r="R471" s="376">
        <v>0</v>
      </c>
      <c r="S471" s="376">
        <f t="shared" si="89"/>
        <v>0</v>
      </c>
      <c r="T471" s="378"/>
      <c r="U471" s="376">
        <v>138800</v>
      </c>
      <c r="V471" s="376">
        <f t="shared" si="90"/>
        <v>0</v>
      </c>
      <c r="W471" s="376">
        <v>141700</v>
      </c>
      <c r="X471" s="376">
        <f t="shared" si="91"/>
        <v>0</v>
      </c>
      <c r="Y471" s="379" t="e">
        <f t="shared" si="92"/>
        <v>#VALUE!</v>
      </c>
      <c r="Z471" s="376" t="s">
        <v>39</v>
      </c>
      <c r="AA471" s="380"/>
      <c r="AB471" s="381"/>
      <c r="AC471" s="374" t="s">
        <v>40</v>
      </c>
      <c r="AD471" s="373" t="s">
        <v>326</v>
      </c>
      <c r="AE471" s="388">
        <v>72.5</v>
      </c>
      <c r="AF471" s="385">
        <v>1</v>
      </c>
      <c r="AG471" s="386">
        <v>3</v>
      </c>
      <c r="AH471" s="385" t="s">
        <v>721</v>
      </c>
    </row>
    <row r="472" spans="1:34">
      <c r="A472" s="378" t="s">
        <v>471</v>
      </c>
      <c r="B472" s="371"/>
      <c r="C472" s="372" t="s">
        <v>44</v>
      </c>
      <c r="D472" s="372" t="s">
        <v>35</v>
      </c>
      <c r="E472" s="371">
        <v>550550</v>
      </c>
      <c r="F472" s="373" t="s">
        <v>283</v>
      </c>
      <c r="G472" s="391" t="s">
        <v>522</v>
      </c>
      <c r="H472" s="374" t="s">
        <v>37</v>
      </c>
      <c r="I472" s="375">
        <v>389</v>
      </c>
      <c r="J472" s="375" t="str">
        <f t="shared" si="88"/>
        <v>Office</v>
      </c>
      <c r="K472" s="375">
        <v>500</v>
      </c>
      <c r="L472" s="391" t="s">
        <v>68</v>
      </c>
      <c r="M472" s="378"/>
      <c r="N472" s="378"/>
      <c r="O472" s="377">
        <v>45635</v>
      </c>
      <c r="P472" s="378"/>
      <c r="Q472" s="378"/>
      <c r="R472" s="376">
        <v>0</v>
      </c>
      <c r="S472" s="376">
        <f t="shared" si="89"/>
        <v>0</v>
      </c>
      <c r="T472" s="378"/>
      <c r="U472" s="376">
        <v>19500</v>
      </c>
      <c r="V472" s="376">
        <f t="shared" si="90"/>
        <v>0</v>
      </c>
      <c r="W472" s="376">
        <v>19500</v>
      </c>
      <c r="X472" s="376">
        <f t="shared" si="91"/>
        <v>0</v>
      </c>
      <c r="Y472" s="379" t="e">
        <f t="shared" si="92"/>
        <v>#VALUE!</v>
      </c>
      <c r="Z472" s="376" t="s">
        <v>39</v>
      </c>
      <c r="AA472" s="380"/>
      <c r="AB472" s="381"/>
      <c r="AC472" s="374" t="s">
        <v>40</v>
      </c>
      <c r="AD472" s="373" t="s">
        <v>482</v>
      </c>
      <c r="AE472" s="382"/>
      <c r="AF472" s="378"/>
      <c r="AG472" s="383"/>
      <c r="AH472" s="378"/>
    </row>
    <row r="473" spans="1:34" s="56" customFormat="1" ht="25.5" customHeight="1">
      <c r="A473" s="378" t="s">
        <v>471</v>
      </c>
      <c r="B473" s="371"/>
      <c r="C473" s="372" t="s">
        <v>44</v>
      </c>
      <c r="D473" s="372" t="s">
        <v>35</v>
      </c>
      <c r="E473" s="371">
        <v>550550</v>
      </c>
      <c r="F473" s="373" t="s">
        <v>283</v>
      </c>
      <c r="G473" s="391" t="s">
        <v>527</v>
      </c>
      <c r="H473" s="374" t="s">
        <v>37</v>
      </c>
      <c r="I473" s="375">
        <v>390</v>
      </c>
      <c r="J473" s="375" t="str">
        <f t="shared" si="88"/>
        <v>Office</v>
      </c>
      <c r="K473" s="375">
        <v>500</v>
      </c>
      <c r="L473" s="373" t="s">
        <v>722</v>
      </c>
      <c r="M473" s="384">
        <v>45680</v>
      </c>
      <c r="N473" s="377">
        <v>47505</v>
      </c>
      <c r="O473" s="377"/>
      <c r="P473" s="377"/>
      <c r="Q473" s="377">
        <v>46774</v>
      </c>
      <c r="R473" s="390">
        <v>21060</v>
      </c>
      <c r="S473" s="376">
        <f t="shared" si="89"/>
        <v>46774</v>
      </c>
      <c r="T473" s="376"/>
      <c r="U473" s="376">
        <v>0</v>
      </c>
      <c r="V473" s="376">
        <f t="shared" si="90"/>
        <v>0</v>
      </c>
      <c r="W473" s="376">
        <v>19500</v>
      </c>
      <c r="X473" s="376">
        <f t="shared" si="91"/>
        <v>0</v>
      </c>
      <c r="Y473" s="379" t="e">
        <f t="shared" si="92"/>
        <v>#VALUE!</v>
      </c>
      <c r="Z473" s="376" t="s">
        <v>39</v>
      </c>
      <c r="AA473" s="380"/>
      <c r="AB473" s="381"/>
      <c r="AC473" s="374" t="s">
        <v>40</v>
      </c>
      <c r="AD473" s="373" t="s">
        <v>130</v>
      </c>
      <c r="AE473" s="388"/>
      <c r="AF473" s="373"/>
      <c r="AG473" s="383"/>
      <c r="AH473" s="373"/>
    </row>
    <row r="474" spans="1:34" s="56" customFormat="1">
      <c r="A474" s="378" t="s">
        <v>471</v>
      </c>
      <c r="B474" s="371"/>
      <c r="C474" s="372" t="s">
        <v>44</v>
      </c>
      <c r="D474" s="372" t="s">
        <v>35</v>
      </c>
      <c r="E474" s="371">
        <v>550550</v>
      </c>
      <c r="F474" s="373" t="s">
        <v>283</v>
      </c>
      <c r="G474" s="391" t="s">
        <v>529</v>
      </c>
      <c r="H474" s="374" t="s">
        <v>714</v>
      </c>
      <c r="I474" s="375">
        <v>691</v>
      </c>
      <c r="J474" s="375" t="str">
        <f t="shared" si="88"/>
        <v>D1</v>
      </c>
      <c r="K474" s="375">
        <v>750</v>
      </c>
      <c r="L474" s="373" t="s">
        <v>68</v>
      </c>
      <c r="M474" s="384"/>
      <c r="N474" s="377"/>
      <c r="O474" s="377">
        <v>45434</v>
      </c>
      <c r="P474" s="377"/>
      <c r="Q474" s="377"/>
      <c r="R474" s="376">
        <v>0</v>
      </c>
      <c r="S474" s="376">
        <f t="shared" si="89"/>
        <v>0</v>
      </c>
      <c r="T474" s="376"/>
      <c r="U474" s="376">
        <v>42000</v>
      </c>
      <c r="V474" s="376">
        <f t="shared" si="90"/>
        <v>0</v>
      </c>
      <c r="W474" s="376">
        <v>41500</v>
      </c>
      <c r="X474" s="376">
        <f t="shared" si="91"/>
        <v>0</v>
      </c>
      <c r="Y474" s="379" t="e">
        <f t="shared" si="92"/>
        <v>#VALUE!</v>
      </c>
      <c r="Z474" s="376" t="s">
        <v>39</v>
      </c>
      <c r="AA474" s="380"/>
      <c r="AB474" s="381"/>
      <c r="AC474" s="374" t="s">
        <v>40</v>
      </c>
      <c r="AD474" s="373" t="s">
        <v>326</v>
      </c>
      <c r="AE474" s="388">
        <v>62.5</v>
      </c>
      <c r="AF474" s="373"/>
      <c r="AG474" s="383"/>
      <c r="AH474" s="373"/>
    </row>
    <row r="475" spans="1:34" ht="14.25" customHeight="1">
      <c r="B475" s="2"/>
      <c r="C475" s="11"/>
      <c r="D475" s="11" t="s">
        <v>35</v>
      </c>
      <c r="E475" s="2"/>
      <c r="G475" s="37"/>
      <c r="J475" s="10"/>
      <c r="K475" s="10"/>
      <c r="U475" s="10"/>
      <c r="V475" s="10"/>
      <c r="W475" s="10"/>
      <c r="X475" s="10"/>
      <c r="Y475" s="10"/>
      <c r="Z475" s="10"/>
      <c r="AA475" s="61"/>
      <c r="AC475" s="14"/>
      <c r="AG475" s="300"/>
    </row>
    <row r="476" spans="1:34" ht="14.25" customHeight="1">
      <c r="B476" s="2"/>
      <c r="C476" s="11"/>
      <c r="D476" s="11" t="s">
        <v>35</v>
      </c>
      <c r="E476" s="2"/>
      <c r="G476" s="93" t="s">
        <v>283</v>
      </c>
      <c r="I476" s="18">
        <f>SUM(H463:H474)</f>
        <v>0</v>
      </c>
      <c r="J476" s="19"/>
      <c r="K476" s="19"/>
      <c r="R476" s="38">
        <f>SUM(Q463:Q474)</f>
        <v>187821</v>
      </c>
      <c r="S476" s="19"/>
      <c r="T476" s="19">
        <f>SUM(R461:R475)</f>
        <v>696630</v>
      </c>
      <c r="U476" s="19">
        <f>SUM(T463:T474)</f>
        <v>0</v>
      </c>
      <c r="V476" s="19"/>
      <c r="W476" s="19">
        <f>SUM(V463:V474)</f>
        <v>0</v>
      </c>
      <c r="X476" s="19"/>
      <c r="Y476" s="19"/>
      <c r="Z476" s="19"/>
      <c r="AA476" s="62"/>
      <c r="AB476" s="19">
        <v>16275000</v>
      </c>
      <c r="AC476" s="14"/>
      <c r="AF476" s="29"/>
      <c r="AG476" s="301"/>
      <c r="AH476" s="29"/>
    </row>
    <row r="477" spans="1:34" ht="14.25" customHeight="1">
      <c r="B477" s="2"/>
      <c r="C477" s="11"/>
      <c r="D477" s="11" t="s">
        <v>35</v>
      </c>
      <c r="E477" s="2"/>
      <c r="I477" s="2"/>
      <c r="J477" s="11"/>
      <c r="K477" s="11"/>
      <c r="R477" s="11"/>
      <c r="S477" s="11"/>
      <c r="T477" s="11"/>
      <c r="AC477" s="14"/>
      <c r="AG477" s="300"/>
    </row>
    <row r="478" spans="1:34" ht="14.25" customHeight="1">
      <c r="A478" t="s">
        <v>928</v>
      </c>
      <c r="B478" s="2"/>
      <c r="C478" s="11"/>
      <c r="D478" s="11" t="s">
        <v>35</v>
      </c>
      <c r="E478" s="2"/>
      <c r="H478" s="6" t="s">
        <v>296</v>
      </c>
      <c r="J478" s="10"/>
      <c r="K478" s="10"/>
      <c r="L478" s="32"/>
      <c r="V478" s="10"/>
      <c r="X478" s="10"/>
      <c r="Y478" s="10"/>
      <c r="Z478" s="10"/>
      <c r="AA478" s="61"/>
      <c r="AC478" s="14"/>
      <c r="AG478" s="300"/>
    </row>
    <row r="479" spans="1:34">
      <c r="B479" s="2"/>
      <c r="C479" s="11"/>
      <c r="D479" s="11" t="s">
        <v>35</v>
      </c>
      <c r="E479" s="2"/>
      <c r="J479" s="10"/>
      <c r="K479" s="10"/>
      <c r="U479" s="10"/>
      <c r="V479" s="10"/>
      <c r="W479" s="10"/>
      <c r="X479" s="10"/>
      <c r="Y479" s="10"/>
      <c r="Z479" s="10"/>
      <c r="AA479" s="61"/>
      <c r="AC479" s="14"/>
      <c r="AG479" s="300"/>
    </row>
    <row r="480" spans="1:34" ht="24">
      <c r="A480" s="370" t="s">
        <v>471</v>
      </c>
      <c r="B480" s="371"/>
      <c r="C480" s="372" t="s">
        <v>44</v>
      </c>
      <c r="D480" s="372" t="s">
        <v>35</v>
      </c>
      <c r="E480" s="371">
        <v>550510</v>
      </c>
      <c r="F480" s="373" t="s">
        <v>296</v>
      </c>
      <c r="G480" s="373" t="s">
        <v>297</v>
      </c>
      <c r="H480" s="374" t="s">
        <v>251</v>
      </c>
      <c r="I480" s="375">
        <v>120</v>
      </c>
      <c r="J480" s="375" t="str">
        <f t="shared" ref="J480:J492" si="93">H480</f>
        <v>Storage</v>
      </c>
      <c r="K480" s="375">
        <v>250</v>
      </c>
      <c r="L480" s="391" t="s">
        <v>298</v>
      </c>
      <c r="M480" s="384">
        <v>43881</v>
      </c>
      <c r="N480" s="384">
        <v>47240</v>
      </c>
      <c r="O480" s="384"/>
      <c r="P480" s="378"/>
      <c r="Q480" s="378"/>
      <c r="R480" s="376">
        <v>0</v>
      </c>
      <c r="S480" s="376">
        <f t="shared" ref="S480:S492" si="94">Q480</f>
        <v>0</v>
      </c>
      <c r="T480" s="378"/>
      <c r="U480" s="376">
        <v>0</v>
      </c>
      <c r="V480" s="376">
        <f t="shared" ref="V480:V492" si="95">T480</f>
        <v>0</v>
      </c>
      <c r="W480" s="376">
        <v>0</v>
      </c>
      <c r="X480" s="376">
        <f t="shared" ref="X480:X492" si="96">V480</f>
        <v>0</v>
      </c>
      <c r="Y480" s="379" t="e">
        <f t="shared" ref="Y480:Y492" si="97">T480/H480</f>
        <v>#VALUE!</v>
      </c>
      <c r="Z480" s="376"/>
      <c r="AA480" s="380" t="s">
        <v>25</v>
      </c>
      <c r="AB480" s="381"/>
      <c r="AC480" s="374" t="s">
        <v>40</v>
      </c>
      <c r="AD480" s="373" t="s">
        <v>299</v>
      </c>
      <c r="AE480" s="378"/>
      <c r="AF480" s="378"/>
      <c r="AG480" s="383"/>
      <c r="AH480" s="378"/>
    </row>
    <row r="481" spans="1:34" ht="24">
      <c r="A481" s="378" t="s">
        <v>471</v>
      </c>
      <c r="B481" s="371"/>
      <c r="C481" s="372" t="s">
        <v>44</v>
      </c>
      <c r="D481" s="372" t="s">
        <v>35</v>
      </c>
      <c r="E481" s="371">
        <v>550510</v>
      </c>
      <c r="F481" s="373" t="s">
        <v>296</v>
      </c>
      <c r="G481" s="373" t="s">
        <v>300</v>
      </c>
      <c r="H481" s="374" t="s">
        <v>128</v>
      </c>
      <c r="I481" s="375">
        <v>1032</v>
      </c>
      <c r="J481" s="375" t="str">
        <f t="shared" si="93"/>
        <v>Shop</v>
      </c>
      <c r="K481" s="375">
        <v>1000</v>
      </c>
      <c r="L481" s="391" t="s">
        <v>298</v>
      </c>
      <c r="M481" s="384">
        <v>43588</v>
      </c>
      <c r="N481" s="384">
        <v>47240</v>
      </c>
      <c r="O481" s="384"/>
      <c r="P481" s="377">
        <v>45415</v>
      </c>
      <c r="Q481" s="378"/>
      <c r="R481" s="376">
        <v>67500</v>
      </c>
      <c r="S481" s="376">
        <f t="shared" si="94"/>
        <v>0</v>
      </c>
      <c r="T481" s="378"/>
      <c r="U481" s="376">
        <v>57500</v>
      </c>
      <c r="V481" s="376">
        <f t="shared" si="95"/>
        <v>0</v>
      </c>
      <c r="W481" s="376">
        <v>57500</v>
      </c>
      <c r="X481" s="376">
        <f t="shared" si="96"/>
        <v>0</v>
      </c>
      <c r="Y481" s="379" t="e">
        <f t="shared" si="97"/>
        <v>#VALUE!</v>
      </c>
      <c r="Z481" s="376" t="s">
        <v>243</v>
      </c>
      <c r="AA481" s="380"/>
      <c r="AB481" s="381"/>
      <c r="AC481" s="374" t="s">
        <v>40</v>
      </c>
      <c r="AD481" s="378"/>
      <c r="AE481" s="378"/>
      <c r="AF481" s="378"/>
      <c r="AG481" s="383"/>
      <c r="AH481" s="378"/>
    </row>
    <row r="482" spans="1:34" ht="24">
      <c r="A482" s="378" t="s">
        <v>471</v>
      </c>
      <c r="B482" s="371"/>
      <c r="C482" s="372" t="s">
        <v>44</v>
      </c>
      <c r="D482" s="372" t="s">
        <v>35</v>
      </c>
      <c r="E482" s="371">
        <v>550510</v>
      </c>
      <c r="F482" s="373" t="s">
        <v>296</v>
      </c>
      <c r="G482" s="373" t="s">
        <v>301</v>
      </c>
      <c r="H482" s="374" t="s">
        <v>120</v>
      </c>
      <c r="I482" s="375">
        <v>1028</v>
      </c>
      <c r="J482" s="375" t="str">
        <f t="shared" si="93"/>
        <v>Showroom</v>
      </c>
      <c r="K482" s="375">
        <v>1000</v>
      </c>
      <c r="L482" s="373" t="s">
        <v>302</v>
      </c>
      <c r="M482" s="384">
        <v>44966</v>
      </c>
      <c r="N482" s="407">
        <v>46791</v>
      </c>
      <c r="O482" s="407"/>
      <c r="P482" s="378"/>
      <c r="Q482" s="378"/>
      <c r="R482" s="376">
        <v>35000</v>
      </c>
      <c r="S482" s="376">
        <f t="shared" si="94"/>
        <v>0</v>
      </c>
      <c r="T482" s="378"/>
      <c r="U482" s="376">
        <v>36000</v>
      </c>
      <c r="V482" s="376">
        <f t="shared" si="95"/>
        <v>0</v>
      </c>
      <c r="W482" s="376">
        <v>35000</v>
      </c>
      <c r="X482" s="376">
        <f t="shared" si="96"/>
        <v>0</v>
      </c>
      <c r="Y482" s="379" t="e">
        <f t="shared" si="97"/>
        <v>#VALUE!</v>
      </c>
      <c r="Z482" s="376" t="s">
        <v>69</v>
      </c>
      <c r="AA482" s="380"/>
      <c r="AB482" s="381"/>
      <c r="AC482" s="374" t="s">
        <v>40</v>
      </c>
      <c r="AD482" s="378"/>
      <c r="AE482" s="378"/>
      <c r="AF482" s="378"/>
      <c r="AG482" s="383">
        <v>2</v>
      </c>
      <c r="AH482" s="373" t="s">
        <v>160</v>
      </c>
    </row>
    <row r="483" spans="1:34" ht="24">
      <c r="A483" s="378" t="s">
        <v>471</v>
      </c>
      <c r="B483" s="371"/>
      <c r="C483" s="372" t="s">
        <v>44</v>
      </c>
      <c r="D483" s="372" t="s">
        <v>35</v>
      </c>
      <c r="E483" s="371">
        <v>550510</v>
      </c>
      <c r="F483" s="373" t="s">
        <v>296</v>
      </c>
      <c r="G483" s="373" t="s">
        <v>297</v>
      </c>
      <c r="H483" s="374" t="s">
        <v>251</v>
      </c>
      <c r="I483" s="375">
        <v>90</v>
      </c>
      <c r="J483" s="375" t="str">
        <f t="shared" si="93"/>
        <v>Storage</v>
      </c>
      <c r="K483" s="378"/>
      <c r="L483" s="373" t="s">
        <v>106</v>
      </c>
      <c r="M483" s="378"/>
      <c r="N483" s="407"/>
      <c r="O483" s="407">
        <v>44681</v>
      </c>
      <c r="P483" s="378"/>
      <c r="Q483" s="378"/>
      <c r="R483" s="376">
        <v>0</v>
      </c>
      <c r="S483" s="376">
        <f t="shared" si="94"/>
        <v>0</v>
      </c>
      <c r="T483" s="378"/>
      <c r="U483" s="376">
        <v>5665</v>
      </c>
      <c r="V483" s="376">
        <f t="shared" si="95"/>
        <v>0</v>
      </c>
      <c r="W483" s="376">
        <v>900</v>
      </c>
      <c r="X483" s="376">
        <f t="shared" si="96"/>
        <v>0</v>
      </c>
      <c r="Y483" s="379" t="e">
        <f t="shared" si="97"/>
        <v>#VALUE!</v>
      </c>
      <c r="Z483" s="376"/>
      <c r="AA483" s="380"/>
      <c r="AB483" s="381"/>
      <c r="AC483" s="374" t="s">
        <v>40</v>
      </c>
      <c r="AD483" s="378"/>
      <c r="AE483" s="378"/>
      <c r="AF483" s="378"/>
      <c r="AG483" s="383"/>
      <c r="AH483" s="378"/>
    </row>
    <row r="484" spans="1:34" ht="24" customHeight="1">
      <c r="A484" s="378" t="s">
        <v>471</v>
      </c>
      <c r="B484" s="371"/>
      <c r="C484" s="372" t="s">
        <v>44</v>
      </c>
      <c r="D484" s="372" t="s">
        <v>35</v>
      </c>
      <c r="E484" s="371">
        <v>550510</v>
      </c>
      <c r="F484" s="373" t="s">
        <v>296</v>
      </c>
      <c r="G484" s="391" t="s">
        <v>221</v>
      </c>
      <c r="H484" s="412" t="s">
        <v>128</v>
      </c>
      <c r="I484" s="375">
        <v>894</v>
      </c>
      <c r="J484" s="375" t="str">
        <f t="shared" si="93"/>
        <v>Shop</v>
      </c>
      <c r="K484" s="375">
        <v>1000</v>
      </c>
      <c r="L484" s="373" t="s">
        <v>303</v>
      </c>
      <c r="M484" s="384">
        <v>45413</v>
      </c>
      <c r="N484" s="377">
        <v>49064</v>
      </c>
      <c r="O484" s="378"/>
      <c r="P484" s="377">
        <v>47239</v>
      </c>
      <c r="Q484" s="377">
        <v>46507</v>
      </c>
      <c r="R484" s="376">
        <v>100000</v>
      </c>
      <c r="S484" s="376">
        <f t="shared" si="94"/>
        <v>46507</v>
      </c>
      <c r="T484" s="378"/>
      <c r="U484" s="376">
        <v>90000</v>
      </c>
      <c r="V484" s="376">
        <f t="shared" si="95"/>
        <v>0</v>
      </c>
      <c r="W484" s="376">
        <v>100000</v>
      </c>
      <c r="X484" s="376">
        <f t="shared" si="96"/>
        <v>0</v>
      </c>
      <c r="Y484" s="379" t="e">
        <f t="shared" si="97"/>
        <v>#VALUE!</v>
      </c>
      <c r="Z484" s="376" t="s">
        <v>69</v>
      </c>
      <c r="AA484" s="380"/>
      <c r="AB484" s="381"/>
      <c r="AC484" s="374" t="s">
        <v>40</v>
      </c>
      <c r="AD484" s="373" t="s">
        <v>304</v>
      </c>
      <c r="AE484" s="378"/>
      <c r="AF484" s="378"/>
      <c r="AG484" s="383"/>
      <c r="AH484" s="378"/>
    </row>
    <row r="485" spans="1:34" ht="24">
      <c r="A485" s="378" t="s">
        <v>471</v>
      </c>
      <c r="B485" s="371"/>
      <c r="C485" s="372" t="s">
        <v>44</v>
      </c>
      <c r="D485" s="372" t="s">
        <v>35</v>
      </c>
      <c r="E485" s="371">
        <v>550510</v>
      </c>
      <c r="F485" s="373" t="s">
        <v>296</v>
      </c>
      <c r="G485" s="391" t="s">
        <v>330</v>
      </c>
      <c r="H485" s="412" t="s">
        <v>37</v>
      </c>
      <c r="I485" s="375">
        <v>635</v>
      </c>
      <c r="J485" s="375" t="str">
        <f t="shared" si="93"/>
        <v>Office</v>
      </c>
      <c r="K485" s="375">
        <v>750</v>
      </c>
      <c r="L485" s="373" t="s">
        <v>723</v>
      </c>
      <c r="M485" s="384">
        <v>45431</v>
      </c>
      <c r="N485" s="377">
        <v>46525</v>
      </c>
      <c r="O485" s="378"/>
      <c r="P485" s="378"/>
      <c r="Q485" s="377">
        <v>45795</v>
      </c>
      <c r="R485" s="376">
        <v>36500</v>
      </c>
      <c r="S485" s="376">
        <f t="shared" si="94"/>
        <v>45795</v>
      </c>
      <c r="T485" s="378"/>
      <c r="U485" s="376">
        <v>36500</v>
      </c>
      <c r="V485" s="376">
        <f t="shared" si="95"/>
        <v>0</v>
      </c>
      <c r="W485" s="376">
        <v>36500</v>
      </c>
      <c r="X485" s="376">
        <f t="shared" si="96"/>
        <v>0</v>
      </c>
      <c r="Y485" s="379" t="e">
        <f t="shared" si="97"/>
        <v>#VALUE!</v>
      </c>
      <c r="Z485" s="376" t="s">
        <v>76</v>
      </c>
      <c r="AA485" s="380"/>
      <c r="AB485" s="381"/>
      <c r="AC485" s="374" t="s">
        <v>40</v>
      </c>
      <c r="AD485" s="373" t="s">
        <v>576</v>
      </c>
      <c r="AE485" s="378"/>
      <c r="AF485" s="378"/>
      <c r="AG485" s="383"/>
      <c r="AH485" s="378"/>
    </row>
    <row r="486" spans="1:34" ht="18" customHeight="1">
      <c r="A486" s="378" t="s">
        <v>471</v>
      </c>
      <c r="B486" s="371"/>
      <c r="C486" s="372" t="s">
        <v>44</v>
      </c>
      <c r="D486" s="372" t="s">
        <v>35</v>
      </c>
      <c r="E486" s="371">
        <v>550510</v>
      </c>
      <c r="F486" s="373" t="s">
        <v>296</v>
      </c>
      <c r="G486" s="391" t="s">
        <v>513</v>
      </c>
      <c r="H486" s="374" t="s">
        <v>37</v>
      </c>
      <c r="I486" s="413">
        <v>450</v>
      </c>
      <c r="J486" s="375" t="str">
        <f t="shared" si="93"/>
        <v>Office</v>
      </c>
      <c r="K486" s="375">
        <v>500</v>
      </c>
      <c r="L486" s="373" t="s">
        <v>68</v>
      </c>
      <c r="M486" s="378"/>
      <c r="N486" s="378"/>
      <c r="O486" s="407">
        <v>42943</v>
      </c>
      <c r="P486" s="378"/>
      <c r="Q486" s="378"/>
      <c r="R486" s="376">
        <v>0</v>
      </c>
      <c r="S486" s="376">
        <f t="shared" si="94"/>
        <v>0</v>
      </c>
      <c r="T486" s="378"/>
      <c r="U486" s="376">
        <v>23600</v>
      </c>
      <c r="V486" s="376">
        <f t="shared" si="95"/>
        <v>0</v>
      </c>
      <c r="W486" s="376">
        <v>24800</v>
      </c>
      <c r="X486" s="376">
        <f t="shared" si="96"/>
        <v>0</v>
      </c>
      <c r="Y486" s="379" t="e">
        <f t="shared" si="97"/>
        <v>#VALUE!</v>
      </c>
      <c r="Z486" s="376" t="s">
        <v>58</v>
      </c>
      <c r="AA486" s="380"/>
      <c r="AB486" s="381"/>
      <c r="AC486" s="374" t="s">
        <v>40</v>
      </c>
      <c r="AD486" s="378"/>
      <c r="AE486" s="378"/>
      <c r="AF486" s="378"/>
      <c r="AG486" s="383">
        <v>2</v>
      </c>
      <c r="AH486" s="373" t="s">
        <v>109</v>
      </c>
    </row>
    <row r="487" spans="1:34" ht="24.75" customHeight="1">
      <c r="A487" s="378" t="s">
        <v>471</v>
      </c>
      <c r="B487" s="371"/>
      <c r="C487" s="372" t="s">
        <v>44</v>
      </c>
      <c r="D487" s="372" t="s">
        <v>35</v>
      </c>
      <c r="E487" s="371">
        <v>550510</v>
      </c>
      <c r="F487" s="373" t="s">
        <v>296</v>
      </c>
      <c r="G487" s="373" t="s">
        <v>518</v>
      </c>
      <c r="H487" s="374" t="s">
        <v>37</v>
      </c>
      <c r="I487" s="375">
        <v>615</v>
      </c>
      <c r="J487" s="375" t="str">
        <f t="shared" si="93"/>
        <v>Office</v>
      </c>
      <c r="K487" s="375">
        <v>500</v>
      </c>
      <c r="L487" s="373" t="s">
        <v>724</v>
      </c>
      <c r="M487" s="384">
        <v>45092</v>
      </c>
      <c r="N487" s="377">
        <v>46918</v>
      </c>
      <c r="O487" s="378"/>
      <c r="P487" s="378"/>
      <c r="Q487" s="377">
        <v>46187</v>
      </c>
      <c r="R487" s="414">
        <v>35363</v>
      </c>
      <c r="S487" s="376">
        <f t="shared" si="94"/>
        <v>46187</v>
      </c>
      <c r="T487" s="378"/>
      <c r="U487" s="376">
        <v>32300</v>
      </c>
      <c r="V487" s="376">
        <f t="shared" si="95"/>
        <v>0</v>
      </c>
      <c r="W487" s="376">
        <v>35363</v>
      </c>
      <c r="X487" s="376">
        <f t="shared" si="96"/>
        <v>0</v>
      </c>
      <c r="Y487" s="379" t="e">
        <f t="shared" si="97"/>
        <v>#VALUE!</v>
      </c>
      <c r="Z487" s="376"/>
      <c r="AA487" s="380"/>
      <c r="AB487" s="381"/>
      <c r="AC487" s="374" t="s">
        <v>40</v>
      </c>
      <c r="AD487" s="373" t="s">
        <v>725</v>
      </c>
      <c r="AE487" s="378"/>
      <c r="AF487" s="378"/>
      <c r="AG487" s="383"/>
      <c r="AH487" s="378"/>
    </row>
    <row r="488" spans="1:34">
      <c r="A488" s="378" t="s">
        <v>471</v>
      </c>
      <c r="B488" s="371"/>
      <c r="C488" s="372" t="s">
        <v>44</v>
      </c>
      <c r="D488" s="372" t="s">
        <v>35</v>
      </c>
      <c r="E488" s="371">
        <v>550510</v>
      </c>
      <c r="F488" s="373" t="s">
        <v>296</v>
      </c>
      <c r="G488" s="373" t="s">
        <v>520</v>
      </c>
      <c r="H488" s="374" t="s">
        <v>37</v>
      </c>
      <c r="I488" s="375">
        <v>500</v>
      </c>
      <c r="J488" s="375" t="str">
        <f t="shared" si="93"/>
        <v>Office</v>
      </c>
      <c r="K488" s="375">
        <v>500</v>
      </c>
      <c r="L488" s="391" t="s">
        <v>68</v>
      </c>
      <c r="M488" s="378"/>
      <c r="N488" s="378"/>
      <c r="O488" s="377">
        <v>43820</v>
      </c>
      <c r="P488" s="378"/>
      <c r="Q488" s="378"/>
      <c r="R488" s="376">
        <v>0</v>
      </c>
      <c r="S488" s="376">
        <f t="shared" si="94"/>
        <v>0</v>
      </c>
      <c r="T488" s="378"/>
      <c r="U488" s="376">
        <v>26300</v>
      </c>
      <c r="V488" s="376">
        <f t="shared" si="95"/>
        <v>0</v>
      </c>
      <c r="W488" s="376">
        <v>27500</v>
      </c>
      <c r="X488" s="376">
        <f t="shared" si="96"/>
        <v>0</v>
      </c>
      <c r="Y488" s="379" t="e">
        <f t="shared" si="97"/>
        <v>#VALUE!</v>
      </c>
      <c r="Z488" s="376" t="s">
        <v>76</v>
      </c>
      <c r="AA488" s="380"/>
      <c r="AB488" s="381"/>
      <c r="AC488" s="374" t="s">
        <v>40</v>
      </c>
      <c r="AD488" s="373" t="s">
        <v>482</v>
      </c>
      <c r="AE488" s="388">
        <v>58.5</v>
      </c>
      <c r="AF488" s="378"/>
      <c r="AG488" s="383">
        <v>1</v>
      </c>
      <c r="AH488" s="373" t="s">
        <v>109</v>
      </c>
    </row>
    <row r="489" spans="1:34" ht="24">
      <c r="A489" s="378" t="s">
        <v>471</v>
      </c>
      <c r="B489" s="371"/>
      <c r="C489" s="372" t="s">
        <v>44</v>
      </c>
      <c r="D489" s="372" t="s">
        <v>35</v>
      </c>
      <c r="E489" s="371">
        <v>550510</v>
      </c>
      <c r="F489" s="373" t="s">
        <v>296</v>
      </c>
      <c r="G489" s="373" t="s">
        <v>522</v>
      </c>
      <c r="H489" s="374" t="s">
        <v>37</v>
      </c>
      <c r="I489" s="375">
        <v>504</v>
      </c>
      <c r="J489" s="375" t="str">
        <f t="shared" si="93"/>
        <v>Office</v>
      </c>
      <c r="K489" s="375">
        <v>500</v>
      </c>
      <c r="L489" s="391" t="s">
        <v>726</v>
      </c>
      <c r="M489" s="384">
        <v>45601</v>
      </c>
      <c r="N489" s="377">
        <v>47426</v>
      </c>
      <c r="O489" s="378"/>
      <c r="P489" s="378"/>
      <c r="Q489" s="377">
        <v>46330</v>
      </c>
      <c r="R489" s="376">
        <v>28050</v>
      </c>
      <c r="S489" s="376">
        <f t="shared" si="94"/>
        <v>46330</v>
      </c>
      <c r="T489" s="378"/>
      <c r="U489" s="376">
        <v>26500</v>
      </c>
      <c r="V489" s="376">
        <f t="shared" si="95"/>
        <v>0</v>
      </c>
      <c r="W489" s="376">
        <v>27700</v>
      </c>
      <c r="X489" s="376">
        <f t="shared" si="96"/>
        <v>0</v>
      </c>
      <c r="Y489" s="379" t="e">
        <f t="shared" si="97"/>
        <v>#VALUE!</v>
      </c>
      <c r="Z489" s="376" t="s">
        <v>76</v>
      </c>
      <c r="AA489" s="380"/>
      <c r="AB489" s="381"/>
      <c r="AC489" s="374" t="s">
        <v>40</v>
      </c>
      <c r="AD489" s="373" t="s">
        <v>130</v>
      </c>
      <c r="AE489" s="382"/>
      <c r="AF489" s="378"/>
      <c r="AG489" s="383"/>
      <c r="AH489" s="378"/>
    </row>
    <row r="490" spans="1:34">
      <c r="A490" s="378" t="s">
        <v>471</v>
      </c>
      <c r="B490" s="371"/>
      <c r="C490" s="372" t="s">
        <v>44</v>
      </c>
      <c r="D490" s="372" t="s">
        <v>35</v>
      </c>
      <c r="E490" s="371">
        <v>550510</v>
      </c>
      <c r="F490" s="373" t="s">
        <v>296</v>
      </c>
      <c r="G490" s="373" t="s">
        <v>720</v>
      </c>
      <c r="H490" s="374" t="s">
        <v>37</v>
      </c>
      <c r="I490" s="375">
        <v>591</v>
      </c>
      <c r="J490" s="375" t="str">
        <f t="shared" si="93"/>
        <v>Office</v>
      </c>
      <c r="K490" s="375">
        <v>500</v>
      </c>
      <c r="L490" s="391" t="s">
        <v>68</v>
      </c>
      <c r="M490" s="378"/>
      <c r="N490" s="378"/>
      <c r="O490" s="377">
        <v>44119</v>
      </c>
      <c r="P490" s="378"/>
      <c r="Q490" s="378"/>
      <c r="R490" s="376">
        <v>0</v>
      </c>
      <c r="S490" s="376">
        <f t="shared" si="94"/>
        <v>0</v>
      </c>
      <c r="T490" s="378"/>
      <c r="U490" s="376">
        <v>31000</v>
      </c>
      <c r="V490" s="376">
        <f t="shared" si="95"/>
        <v>0</v>
      </c>
      <c r="W490" s="376">
        <v>32500</v>
      </c>
      <c r="X490" s="376">
        <f t="shared" si="96"/>
        <v>0</v>
      </c>
      <c r="Y490" s="379" t="e">
        <f t="shared" si="97"/>
        <v>#VALUE!</v>
      </c>
      <c r="Z490" s="376" t="s">
        <v>76</v>
      </c>
      <c r="AA490" s="380"/>
      <c r="AB490" s="381"/>
      <c r="AC490" s="374" t="s">
        <v>40</v>
      </c>
      <c r="AD490" s="373" t="s">
        <v>482</v>
      </c>
      <c r="AE490" s="388">
        <v>58.5</v>
      </c>
      <c r="AF490" s="378"/>
      <c r="AG490" s="383">
        <v>1</v>
      </c>
      <c r="AH490" s="373" t="s">
        <v>521</v>
      </c>
    </row>
    <row r="491" spans="1:34">
      <c r="A491" s="378" t="s">
        <v>471</v>
      </c>
      <c r="B491" s="371"/>
      <c r="C491" s="372" t="s">
        <v>44</v>
      </c>
      <c r="D491" s="372" t="s">
        <v>35</v>
      </c>
      <c r="E491" s="371">
        <v>550510</v>
      </c>
      <c r="F491" s="373" t="s">
        <v>296</v>
      </c>
      <c r="G491" s="373" t="s">
        <v>527</v>
      </c>
      <c r="H491" s="374" t="s">
        <v>37</v>
      </c>
      <c r="I491" s="375">
        <v>450</v>
      </c>
      <c r="J491" s="375" t="str">
        <f t="shared" si="93"/>
        <v>Office</v>
      </c>
      <c r="K491" s="375">
        <v>500</v>
      </c>
      <c r="L491" s="391" t="s">
        <v>68</v>
      </c>
      <c r="M491" s="378"/>
      <c r="N491" s="378"/>
      <c r="O491" s="377">
        <v>43389</v>
      </c>
      <c r="P491" s="378"/>
      <c r="Q491" s="378"/>
      <c r="R491" s="376">
        <v>0</v>
      </c>
      <c r="S491" s="376">
        <f t="shared" si="94"/>
        <v>0</v>
      </c>
      <c r="T491" s="378"/>
      <c r="U491" s="376">
        <v>23600</v>
      </c>
      <c r="V491" s="376">
        <f t="shared" si="95"/>
        <v>0</v>
      </c>
      <c r="W491" s="376">
        <v>24800</v>
      </c>
      <c r="X491" s="376">
        <f t="shared" si="96"/>
        <v>0</v>
      </c>
      <c r="Y491" s="379" t="e">
        <f t="shared" si="97"/>
        <v>#VALUE!</v>
      </c>
      <c r="Z491" s="376" t="s">
        <v>76</v>
      </c>
      <c r="AA491" s="380"/>
      <c r="AB491" s="381"/>
      <c r="AC491" s="374" t="s">
        <v>40</v>
      </c>
      <c r="AD491" s="373" t="s">
        <v>482</v>
      </c>
      <c r="AE491" s="388">
        <v>58.5</v>
      </c>
      <c r="AF491" s="378"/>
      <c r="AG491" s="383"/>
      <c r="AH491" s="378"/>
    </row>
    <row r="492" spans="1:34" ht="36">
      <c r="A492" s="378" t="s">
        <v>471</v>
      </c>
      <c r="B492" s="371"/>
      <c r="C492" s="372" t="s">
        <v>44</v>
      </c>
      <c r="D492" s="372" t="s">
        <v>35</v>
      </c>
      <c r="E492" s="371">
        <v>550510</v>
      </c>
      <c r="F492" s="373" t="s">
        <v>296</v>
      </c>
      <c r="G492" s="373" t="s">
        <v>529</v>
      </c>
      <c r="H492" s="374" t="s">
        <v>37</v>
      </c>
      <c r="I492" s="375">
        <v>582</v>
      </c>
      <c r="J492" s="375" t="str">
        <f t="shared" si="93"/>
        <v>Office</v>
      </c>
      <c r="K492" s="375">
        <v>500</v>
      </c>
      <c r="L492" s="391" t="s">
        <v>727</v>
      </c>
      <c r="M492" s="384">
        <v>45614</v>
      </c>
      <c r="N492" s="377">
        <v>46343</v>
      </c>
      <c r="O492" s="378"/>
      <c r="P492" s="378"/>
      <c r="Q492" s="378"/>
      <c r="R492" s="376">
        <v>42282</v>
      </c>
      <c r="S492" s="376">
        <f t="shared" si="94"/>
        <v>0</v>
      </c>
      <c r="T492" s="378"/>
      <c r="U492" s="376">
        <v>34000</v>
      </c>
      <c r="V492" s="376">
        <f t="shared" si="95"/>
        <v>0</v>
      </c>
      <c r="W492" s="376">
        <v>34000</v>
      </c>
      <c r="X492" s="376">
        <f t="shared" si="96"/>
        <v>0</v>
      </c>
      <c r="Y492" s="379" t="e">
        <f t="shared" si="97"/>
        <v>#VALUE!</v>
      </c>
      <c r="Z492" s="376" t="s">
        <v>76</v>
      </c>
      <c r="AA492" s="380"/>
      <c r="AB492" s="381"/>
      <c r="AC492" s="374" t="s">
        <v>40</v>
      </c>
      <c r="AD492" s="373" t="s">
        <v>728</v>
      </c>
      <c r="AE492" s="382"/>
      <c r="AF492" s="378"/>
      <c r="AG492" s="383"/>
      <c r="AH492" s="378"/>
    </row>
    <row r="493" spans="1:34" ht="14.25" customHeight="1">
      <c r="B493" s="2"/>
      <c r="C493" s="11"/>
      <c r="D493" s="11" t="s">
        <v>35</v>
      </c>
      <c r="E493" s="2"/>
      <c r="U493" s="10"/>
      <c r="V493" s="10"/>
      <c r="W493" s="10"/>
      <c r="X493" s="10"/>
      <c r="Y493" s="10"/>
      <c r="Z493" s="10"/>
      <c r="AA493" s="61"/>
      <c r="AC493" s="14"/>
      <c r="AG493" s="300"/>
    </row>
    <row r="494" spans="1:34" ht="14.25" customHeight="1">
      <c r="B494" s="2"/>
      <c r="C494" s="11"/>
      <c r="D494" s="11" t="s">
        <v>35</v>
      </c>
      <c r="E494" s="2"/>
      <c r="G494" s="92" t="s">
        <v>729</v>
      </c>
      <c r="I494" s="18">
        <f>SUM(H480:H492)</f>
        <v>0</v>
      </c>
      <c r="J494" s="19"/>
      <c r="K494" s="19"/>
      <c r="R494" s="19">
        <f>SUM(Q480:Q492)</f>
        <v>184819</v>
      </c>
      <c r="S494" s="19"/>
      <c r="T494" s="19">
        <f>SUM(R478:R492)</f>
        <v>344695</v>
      </c>
      <c r="U494" s="19">
        <f>SUM(T480:T492)</f>
        <v>0</v>
      </c>
      <c r="V494" s="19"/>
      <c r="W494" s="19">
        <f>SUM(V480:V492)</f>
        <v>0</v>
      </c>
      <c r="X494" s="19"/>
      <c r="Y494" s="19"/>
      <c r="Z494" s="19"/>
      <c r="AA494" s="62"/>
      <c r="AB494" s="19">
        <v>6350000</v>
      </c>
      <c r="AC494" s="14"/>
      <c r="AF494" s="29"/>
      <c r="AG494" s="301"/>
      <c r="AH494" s="29"/>
    </row>
    <row r="495" spans="1:34" ht="14.25" customHeight="1">
      <c r="B495" s="2"/>
      <c r="C495" s="11"/>
      <c r="D495" s="11" t="s">
        <v>35</v>
      </c>
      <c r="E495" s="2"/>
      <c r="I495" s="18"/>
      <c r="J495" s="19"/>
      <c r="K495" s="19"/>
      <c r="R495" s="19"/>
      <c r="S495" s="19"/>
      <c r="T495" s="19"/>
      <c r="U495" s="19"/>
      <c r="V495" s="19"/>
      <c r="W495" s="19"/>
      <c r="X495" s="19"/>
      <c r="Y495" s="19"/>
      <c r="Z495" s="19"/>
      <c r="AA495" s="62"/>
      <c r="AB495" s="54"/>
      <c r="AC495" s="14"/>
      <c r="AG495" s="300"/>
    </row>
    <row r="496" spans="1:34" ht="14.25" customHeight="1">
      <c r="A496" t="s">
        <v>928</v>
      </c>
      <c r="B496" s="2"/>
      <c r="C496" s="11"/>
      <c r="D496" s="11" t="s">
        <v>35</v>
      </c>
      <c r="E496" s="2"/>
      <c r="H496" s="6" t="s">
        <v>305</v>
      </c>
      <c r="J496" s="10"/>
      <c r="K496" s="10"/>
      <c r="L496" s="32"/>
      <c r="V496" s="10"/>
      <c r="X496" s="10"/>
      <c r="Y496" s="10"/>
      <c r="Z496" s="10"/>
      <c r="AA496" s="61"/>
      <c r="AC496" s="14"/>
      <c r="AG496" s="300"/>
    </row>
    <row r="497" spans="1:34" ht="14.25" customHeight="1">
      <c r="B497" s="2"/>
      <c r="C497" s="11"/>
      <c r="D497" s="11" t="s">
        <v>35</v>
      </c>
      <c r="E497" s="2"/>
      <c r="H497" s="26"/>
      <c r="J497" s="10"/>
      <c r="K497" s="10"/>
      <c r="L497" s="32"/>
      <c r="V497" s="10"/>
      <c r="X497" s="10"/>
      <c r="Y497" s="10"/>
      <c r="Z497" s="10"/>
      <c r="AA497" s="61"/>
      <c r="AC497" s="14"/>
      <c r="AG497" s="300"/>
    </row>
    <row r="498" spans="1:34" ht="24" customHeight="1">
      <c r="A498" s="370" t="s">
        <v>471</v>
      </c>
      <c r="B498" s="371"/>
      <c r="C498" s="372" t="s">
        <v>119</v>
      </c>
      <c r="D498" s="372" t="s">
        <v>35</v>
      </c>
      <c r="E498" s="371">
        <v>550610</v>
      </c>
      <c r="F498" s="373" t="s">
        <v>305</v>
      </c>
      <c r="G498" s="391" t="s">
        <v>306</v>
      </c>
      <c r="H498" s="374" t="s">
        <v>307</v>
      </c>
      <c r="I498" s="375">
        <v>2047</v>
      </c>
      <c r="J498" s="375" t="str">
        <f t="shared" ref="J498:J511" si="98">H498</f>
        <v>Showroom/ Educational</v>
      </c>
      <c r="K498" s="375">
        <v>2000</v>
      </c>
      <c r="L498" s="373" t="s">
        <v>308</v>
      </c>
      <c r="M498" s="384">
        <v>45100</v>
      </c>
      <c r="N498" s="377">
        <v>48752</v>
      </c>
      <c r="O498" s="378"/>
      <c r="P498" s="377">
        <v>46926</v>
      </c>
      <c r="Q498" s="377">
        <v>46195</v>
      </c>
      <c r="R498" s="376">
        <v>105000</v>
      </c>
      <c r="S498" s="376">
        <f t="shared" ref="S498:S511" si="99">Q498</f>
        <v>46195</v>
      </c>
      <c r="T498" s="378"/>
      <c r="U498" s="376">
        <v>100000</v>
      </c>
      <c r="V498" s="376">
        <f t="shared" ref="V498:V512" si="100">T498</f>
        <v>0</v>
      </c>
      <c r="W498" s="376">
        <v>105000</v>
      </c>
      <c r="X498" s="376">
        <f t="shared" ref="X498:X512" si="101">V498</f>
        <v>0</v>
      </c>
      <c r="Y498" s="379" t="e">
        <f t="shared" ref="Y498:Y511" si="102">T498/H498</f>
        <v>#VALUE!</v>
      </c>
      <c r="Z498" s="376" t="s">
        <v>76</v>
      </c>
      <c r="AA498" s="380"/>
      <c r="AB498" s="381"/>
      <c r="AC498" s="374" t="s">
        <v>40</v>
      </c>
      <c r="AD498" s="373" t="s">
        <v>130</v>
      </c>
      <c r="AE498" s="378"/>
      <c r="AF498" s="378"/>
      <c r="AG498" s="383"/>
      <c r="AH498" s="378"/>
    </row>
    <row r="499" spans="1:34" ht="24" customHeight="1">
      <c r="A499" s="378" t="s">
        <v>471</v>
      </c>
      <c r="B499" s="371"/>
      <c r="C499" s="372" t="s">
        <v>119</v>
      </c>
      <c r="D499" s="372" t="s">
        <v>35</v>
      </c>
      <c r="E499" s="371">
        <v>550610</v>
      </c>
      <c r="F499" s="373" t="s">
        <v>305</v>
      </c>
      <c r="G499" s="373" t="s">
        <v>309</v>
      </c>
      <c r="H499" s="374" t="s">
        <v>46</v>
      </c>
      <c r="I499" s="375">
        <v>2185</v>
      </c>
      <c r="J499" s="375" t="str">
        <f t="shared" si="98"/>
        <v>Retail</v>
      </c>
      <c r="K499" s="375">
        <v>2000</v>
      </c>
      <c r="L499" s="373" t="s">
        <v>310</v>
      </c>
      <c r="M499" s="384">
        <v>42655</v>
      </c>
      <c r="N499" s="377">
        <v>46306</v>
      </c>
      <c r="O499" s="378"/>
      <c r="P499" s="378"/>
      <c r="Q499" s="378"/>
      <c r="R499" s="376">
        <v>100000</v>
      </c>
      <c r="S499" s="376">
        <f t="shared" si="99"/>
        <v>0</v>
      </c>
      <c r="T499" s="378"/>
      <c r="U499" s="376">
        <v>90000</v>
      </c>
      <c r="V499" s="376">
        <f t="shared" si="100"/>
        <v>0</v>
      </c>
      <c r="W499" s="376">
        <v>100000</v>
      </c>
      <c r="X499" s="376">
        <f t="shared" si="101"/>
        <v>0</v>
      </c>
      <c r="Y499" s="379" t="e">
        <f t="shared" si="102"/>
        <v>#VALUE!</v>
      </c>
      <c r="Z499" s="376" t="s">
        <v>39</v>
      </c>
      <c r="AA499" s="380"/>
      <c r="AB499" s="381"/>
      <c r="AC499" s="374" t="s">
        <v>40</v>
      </c>
      <c r="AD499" s="373" t="s">
        <v>311</v>
      </c>
      <c r="AE499" s="378"/>
      <c r="AF499" s="378"/>
      <c r="AG499" s="383"/>
      <c r="AH499" s="378"/>
    </row>
    <row r="500" spans="1:34" ht="24.75" customHeight="1">
      <c r="A500" s="378" t="s">
        <v>471</v>
      </c>
      <c r="B500" s="371"/>
      <c r="C500" s="372" t="s">
        <v>119</v>
      </c>
      <c r="D500" s="372" t="s">
        <v>35</v>
      </c>
      <c r="E500" s="371">
        <v>550610</v>
      </c>
      <c r="F500" s="373" t="s">
        <v>305</v>
      </c>
      <c r="G500" s="391" t="s">
        <v>330</v>
      </c>
      <c r="H500" s="374" t="s">
        <v>37</v>
      </c>
      <c r="I500" s="375">
        <v>727</v>
      </c>
      <c r="J500" s="375" t="str">
        <f t="shared" si="98"/>
        <v>Office</v>
      </c>
      <c r="K500" s="375">
        <v>250</v>
      </c>
      <c r="L500" s="373" t="s">
        <v>730</v>
      </c>
      <c r="M500" s="384">
        <v>44703</v>
      </c>
      <c r="N500" s="377">
        <v>46528</v>
      </c>
      <c r="O500" s="378"/>
      <c r="P500" s="378"/>
      <c r="Q500" s="377">
        <v>45798</v>
      </c>
      <c r="R500" s="376">
        <v>42350</v>
      </c>
      <c r="S500" s="376">
        <f t="shared" si="99"/>
        <v>45798</v>
      </c>
      <c r="T500" s="378"/>
      <c r="U500" s="376">
        <v>40000</v>
      </c>
      <c r="V500" s="376">
        <f t="shared" si="100"/>
        <v>0</v>
      </c>
      <c r="W500" s="376">
        <v>41800</v>
      </c>
      <c r="X500" s="376">
        <f t="shared" si="101"/>
        <v>0</v>
      </c>
      <c r="Y500" s="379" t="e">
        <f t="shared" si="102"/>
        <v>#VALUE!</v>
      </c>
      <c r="Z500" s="376" t="s">
        <v>69</v>
      </c>
      <c r="AA500" s="380"/>
      <c r="AB500" s="381"/>
      <c r="AC500" s="374" t="s">
        <v>40</v>
      </c>
      <c r="AD500" s="373" t="s">
        <v>731</v>
      </c>
      <c r="AE500" s="378"/>
      <c r="AF500" s="378"/>
      <c r="AG500" s="383"/>
      <c r="AH500" s="378"/>
    </row>
    <row r="501" spans="1:34" ht="48">
      <c r="A501" s="378" t="s">
        <v>471</v>
      </c>
      <c r="B501" s="371"/>
      <c r="C501" s="372" t="s">
        <v>119</v>
      </c>
      <c r="D501" s="372" t="s">
        <v>35</v>
      </c>
      <c r="E501" s="371">
        <v>550610</v>
      </c>
      <c r="F501" s="373" t="s">
        <v>305</v>
      </c>
      <c r="G501" s="373" t="s">
        <v>732</v>
      </c>
      <c r="H501" s="374" t="s">
        <v>37</v>
      </c>
      <c r="I501" s="375">
        <v>710</v>
      </c>
      <c r="J501" s="375" t="str">
        <f t="shared" si="98"/>
        <v>Office</v>
      </c>
      <c r="K501" s="375">
        <v>750</v>
      </c>
      <c r="L501" s="373" t="s">
        <v>733</v>
      </c>
      <c r="M501" s="384">
        <v>45551</v>
      </c>
      <c r="N501" s="377">
        <v>46645</v>
      </c>
      <c r="O501" s="378"/>
      <c r="P501" s="378"/>
      <c r="Q501" s="377">
        <v>46280</v>
      </c>
      <c r="R501" s="376">
        <v>47250</v>
      </c>
      <c r="S501" s="376">
        <f t="shared" si="99"/>
        <v>46280</v>
      </c>
      <c r="T501" s="378"/>
      <c r="U501" s="376">
        <v>35000</v>
      </c>
      <c r="V501" s="376">
        <f t="shared" si="100"/>
        <v>0</v>
      </c>
      <c r="W501" s="376">
        <v>40800</v>
      </c>
      <c r="X501" s="376">
        <f t="shared" si="101"/>
        <v>0</v>
      </c>
      <c r="Y501" s="379" t="e">
        <f t="shared" si="102"/>
        <v>#VALUE!</v>
      </c>
      <c r="Z501" s="376" t="s">
        <v>69</v>
      </c>
      <c r="AA501" s="380"/>
      <c r="AB501" s="381"/>
      <c r="AC501" s="374" t="s">
        <v>40</v>
      </c>
      <c r="AD501" s="373" t="s">
        <v>734</v>
      </c>
      <c r="AE501" s="378"/>
      <c r="AF501" s="385"/>
      <c r="AG501" s="386"/>
      <c r="AH501" s="385"/>
    </row>
    <row r="502" spans="1:34" ht="23.25" customHeight="1">
      <c r="A502" s="378" t="s">
        <v>471</v>
      </c>
      <c r="B502" s="371"/>
      <c r="C502" s="372" t="s">
        <v>119</v>
      </c>
      <c r="D502" s="372" t="s">
        <v>35</v>
      </c>
      <c r="E502" s="371">
        <v>550610</v>
      </c>
      <c r="F502" s="373" t="s">
        <v>305</v>
      </c>
      <c r="G502" s="373" t="s">
        <v>735</v>
      </c>
      <c r="H502" s="374" t="s">
        <v>37</v>
      </c>
      <c r="I502" s="375">
        <v>130</v>
      </c>
      <c r="J502" s="375" t="str">
        <f t="shared" si="98"/>
        <v>Office</v>
      </c>
      <c r="K502" s="375">
        <v>250</v>
      </c>
      <c r="L502" s="373" t="s">
        <v>736</v>
      </c>
      <c r="M502" s="384">
        <v>45456</v>
      </c>
      <c r="N502" s="377">
        <v>47085</v>
      </c>
      <c r="O502" s="378"/>
      <c r="P502" s="378"/>
      <c r="Q502" s="377">
        <v>46354</v>
      </c>
      <c r="R502" s="376">
        <v>7320</v>
      </c>
      <c r="S502" s="376">
        <f t="shared" si="99"/>
        <v>46354</v>
      </c>
      <c r="T502" s="378"/>
      <c r="U502" s="376">
        <v>7000</v>
      </c>
      <c r="V502" s="376">
        <f t="shared" si="100"/>
        <v>0</v>
      </c>
      <c r="W502" s="376">
        <v>7360</v>
      </c>
      <c r="X502" s="376">
        <f t="shared" si="101"/>
        <v>0</v>
      </c>
      <c r="Y502" s="379" t="e">
        <f t="shared" si="102"/>
        <v>#VALUE!</v>
      </c>
      <c r="Z502" s="376" t="s">
        <v>69</v>
      </c>
      <c r="AA502" s="380"/>
      <c r="AB502" s="381"/>
      <c r="AC502" s="374" t="s">
        <v>40</v>
      </c>
      <c r="AD502" s="373" t="s">
        <v>130</v>
      </c>
      <c r="AE502" s="378"/>
      <c r="AF502" s="378"/>
      <c r="AG502" s="383"/>
      <c r="AH502" s="378"/>
    </row>
    <row r="503" spans="1:34" ht="23.25" customHeight="1">
      <c r="A503" s="378" t="s">
        <v>471</v>
      </c>
      <c r="B503" s="371"/>
      <c r="C503" s="372" t="s">
        <v>119</v>
      </c>
      <c r="D503" s="372" t="s">
        <v>35</v>
      </c>
      <c r="E503" s="371">
        <v>550610</v>
      </c>
      <c r="F503" s="373" t="s">
        <v>305</v>
      </c>
      <c r="G503" s="373" t="s">
        <v>518</v>
      </c>
      <c r="H503" s="415" t="s">
        <v>37</v>
      </c>
      <c r="I503" s="375">
        <v>710</v>
      </c>
      <c r="J503" s="375" t="str">
        <f t="shared" si="98"/>
        <v>Office</v>
      </c>
      <c r="K503" s="375">
        <v>750</v>
      </c>
      <c r="L503" s="373" t="s">
        <v>737</v>
      </c>
      <c r="M503" s="384">
        <v>45253</v>
      </c>
      <c r="N503" s="377">
        <v>46348</v>
      </c>
      <c r="O503" s="378"/>
      <c r="P503" s="378"/>
      <c r="Q503" s="378"/>
      <c r="R503" s="376">
        <v>42350</v>
      </c>
      <c r="S503" s="376">
        <f t="shared" si="99"/>
        <v>0</v>
      </c>
      <c r="T503" s="378"/>
      <c r="U503" s="376">
        <v>38700</v>
      </c>
      <c r="V503" s="376">
        <f t="shared" si="100"/>
        <v>0</v>
      </c>
      <c r="W503" s="376">
        <v>40800</v>
      </c>
      <c r="X503" s="376">
        <f t="shared" si="101"/>
        <v>0</v>
      </c>
      <c r="Y503" s="379" t="e">
        <f t="shared" si="102"/>
        <v>#VALUE!</v>
      </c>
      <c r="Z503" s="376" t="s">
        <v>69</v>
      </c>
      <c r="AA503" s="380"/>
      <c r="AB503" s="381"/>
      <c r="AC503" s="374" t="s">
        <v>40</v>
      </c>
      <c r="AD503" s="378"/>
      <c r="AE503" s="378"/>
      <c r="AF503" s="378"/>
      <c r="AG503" s="383"/>
      <c r="AH503" s="378"/>
    </row>
    <row r="504" spans="1:34" ht="36">
      <c r="A504" s="378" t="s">
        <v>471</v>
      </c>
      <c r="B504" s="371"/>
      <c r="C504" s="372" t="s">
        <v>119</v>
      </c>
      <c r="D504" s="372" t="s">
        <v>35</v>
      </c>
      <c r="E504" s="371">
        <v>550610</v>
      </c>
      <c r="F504" s="373" t="s">
        <v>305</v>
      </c>
      <c r="G504" s="373" t="s">
        <v>738</v>
      </c>
      <c r="H504" s="415" t="s">
        <v>37</v>
      </c>
      <c r="I504" s="375">
        <v>130</v>
      </c>
      <c r="J504" s="375" t="str">
        <f t="shared" si="98"/>
        <v>Office</v>
      </c>
      <c r="K504" s="375">
        <v>250</v>
      </c>
      <c r="L504" s="373" t="s">
        <v>736</v>
      </c>
      <c r="M504" s="384">
        <v>45259</v>
      </c>
      <c r="N504" s="377">
        <v>47085</v>
      </c>
      <c r="O504" s="378"/>
      <c r="P504" s="378"/>
      <c r="Q504" s="377">
        <v>46354</v>
      </c>
      <c r="R504" s="376">
        <v>7320</v>
      </c>
      <c r="S504" s="376">
        <f t="shared" si="99"/>
        <v>46354</v>
      </c>
      <c r="T504" s="378"/>
      <c r="U504" s="376">
        <v>6300</v>
      </c>
      <c r="V504" s="376">
        <f t="shared" si="100"/>
        <v>0</v>
      </c>
      <c r="W504" s="376">
        <v>7500</v>
      </c>
      <c r="X504" s="376">
        <f t="shared" si="101"/>
        <v>0</v>
      </c>
      <c r="Y504" s="379" t="e">
        <f t="shared" si="102"/>
        <v>#VALUE!</v>
      </c>
      <c r="Z504" s="376" t="s">
        <v>69</v>
      </c>
      <c r="AA504" s="380"/>
      <c r="AB504" s="381"/>
      <c r="AC504" s="374" t="s">
        <v>40</v>
      </c>
      <c r="AD504" s="373" t="s">
        <v>130</v>
      </c>
      <c r="AE504" s="378"/>
      <c r="AF504" s="378"/>
      <c r="AG504" s="383"/>
      <c r="AH504" s="378"/>
    </row>
    <row r="505" spans="1:34">
      <c r="A505" s="378" t="s">
        <v>471</v>
      </c>
      <c r="B505" s="371"/>
      <c r="C505" s="372" t="s">
        <v>119</v>
      </c>
      <c r="D505" s="372" t="s">
        <v>35</v>
      </c>
      <c r="E505" s="371">
        <v>550610</v>
      </c>
      <c r="F505" s="373" t="s">
        <v>305</v>
      </c>
      <c r="G505" s="373" t="s">
        <v>520</v>
      </c>
      <c r="H505" s="374" t="s">
        <v>37</v>
      </c>
      <c r="I505" s="375">
        <v>727</v>
      </c>
      <c r="J505" s="375" t="str">
        <f t="shared" si="98"/>
        <v>Office</v>
      </c>
      <c r="K505" s="375">
        <v>750</v>
      </c>
      <c r="L505" s="373" t="s">
        <v>68</v>
      </c>
      <c r="M505" s="378"/>
      <c r="N505" s="378"/>
      <c r="O505" s="377">
        <v>43080</v>
      </c>
      <c r="P505" s="378"/>
      <c r="Q505" s="378"/>
      <c r="R505" s="376">
        <v>0</v>
      </c>
      <c r="S505" s="376">
        <f t="shared" si="99"/>
        <v>0</v>
      </c>
      <c r="T505" s="378"/>
      <c r="U505" s="376">
        <v>35000</v>
      </c>
      <c r="V505" s="376">
        <f t="shared" si="100"/>
        <v>0</v>
      </c>
      <c r="W505" s="376">
        <v>41800</v>
      </c>
      <c r="X505" s="376">
        <f t="shared" si="101"/>
        <v>0</v>
      </c>
      <c r="Y505" s="379" t="e">
        <f t="shared" si="102"/>
        <v>#VALUE!</v>
      </c>
      <c r="Z505" s="376" t="s">
        <v>69</v>
      </c>
      <c r="AA505" s="380"/>
      <c r="AB505" s="381"/>
      <c r="AC505" s="374" t="s">
        <v>40</v>
      </c>
      <c r="AD505" s="373" t="s">
        <v>510</v>
      </c>
      <c r="AE505" s="388">
        <v>62.5</v>
      </c>
      <c r="AF505" s="378"/>
      <c r="AG505" s="383"/>
      <c r="AH505" s="378"/>
    </row>
    <row r="506" spans="1:34">
      <c r="A506" s="378" t="s">
        <v>471</v>
      </c>
      <c r="B506" s="371"/>
      <c r="C506" s="372" t="s">
        <v>119</v>
      </c>
      <c r="D506" s="372" t="s">
        <v>35</v>
      </c>
      <c r="E506" s="371">
        <v>550610</v>
      </c>
      <c r="F506" s="373" t="s">
        <v>305</v>
      </c>
      <c r="G506" s="373" t="s">
        <v>720</v>
      </c>
      <c r="H506" s="374" t="s">
        <v>37</v>
      </c>
      <c r="I506" s="375">
        <v>760</v>
      </c>
      <c r="J506" s="375" t="str">
        <f t="shared" si="98"/>
        <v>Office</v>
      </c>
      <c r="K506" s="375">
        <v>750</v>
      </c>
      <c r="L506" s="373" t="s">
        <v>68</v>
      </c>
      <c r="M506" s="378"/>
      <c r="N506" s="378"/>
      <c r="O506" s="377">
        <v>43593</v>
      </c>
      <c r="P506" s="378"/>
      <c r="Q506" s="378"/>
      <c r="R506" s="376">
        <v>0</v>
      </c>
      <c r="S506" s="376">
        <f t="shared" si="99"/>
        <v>0</v>
      </c>
      <c r="T506" s="378"/>
      <c r="U506" s="376">
        <v>40000</v>
      </c>
      <c r="V506" s="376">
        <f t="shared" si="100"/>
        <v>0</v>
      </c>
      <c r="W506" s="376">
        <v>43700</v>
      </c>
      <c r="X506" s="376">
        <f t="shared" si="101"/>
        <v>0</v>
      </c>
      <c r="Y506" s="379" t="e">
        <f t="shared" si="102"/>
        <v>#VALUE!</v>
      </c>
      <c r="Z506" s="376" t="s">
        <v>69</v>
      </c>
      <c r="AA506" s="380"/>
      <c r="AB506" s="381"/>
      <c r="AC506" s="374" t="s">
        <v>40</v>
      </c>
      <c r="AD506" s="373" t="s">
        <v>510</v>
      </c>
      <c r="AE506" s="388">
        <v>62.5</v>
      </c>
      <c r="AF506" s="373">
        <v>2</v>
      </c>
      <c r="AG506" s="383">
        <v>3</v>
      </c>
      <c r="AH506" s="373" t="s">
        <v>160</v>
      </c>
    </row>
    <row r="507" spans="1:34" ht="14.25" customHeight="1">
      <c r="A507" s="378" t="s">
        <v>471</v>
      </c>
      <c r="B507" s="371"/>
      <c r="C507" s="372" t="s">
        <v>119</v>
      </c>
      <c r="D507" s="372" t="s">
        <v>35</v>
      </c>
      <c r="E507" s="371">
        <v>550610</v>
      </c>
      <c r="F507" s="373" t="s">
        <v>305</v>
      </c>
      <c r="G507" s="373" t="s">
        <v>522</v>
      </c>
      <c r="H507" s="374" t="s">
        <v>37</v>
      </c>
      <c r="I507" s="375">
        <v>666</v>
      </c>
      <c r="J507" s="375" t="str">
        <f t="shared" si="98"/>
        <v>Office</v>
      </c>
      <c r="K507" s="375">
        <v>750</v>
      </c>
      <c r="L507" s="373" t="s">
        <v>68</v>
      </c>
      <c r="M507" s="378"/>
      <c r="N507" s="378"/>
      <c r="O507" s="377">
        <v>42905</v>
      </c>
      <c r="P507" s="378"/>
      <c r="Q507" s="378"/>
      <c r="R507" s="376">
        <v>0</v>
      </c>
      <c r="S507" s="376">
        <f t="shared" si="99"/>
        <v>0</v>
      </c>
      <c r="T507" s="378"/>
      <c r="U507" s="376">
        <v>35000</v>
      </c>
      <c r="V507" s="376">
        <f t="shared" si="100"/>
        <v>0</v>
      </c>
      <c r="W507" s="376">
        <v>38300</v>
      </c>
      <c r="X507" s="376">
        <f t="shared" si="101"/>
        <v>0</v>
      </c>
      <c r="Y507" s="379" t="e">
        <f t="shared" si="102"/>
        <v>#VALUE!</v>
      </c>
      <c r="Z507" s="376" t="s">
        <v>69</v>
      </c>
      <c r="AA507" s="380"/>
      <c r="AB507" s="381"/>
      <c r="AC507" s="374" t="s">
        <v>40</v>
      </c>
      <c r="AD507" s="373" t="s">
        <v>510</v>
      </c>
      <c r="AE507" s="388">
        <v>62.5</v>
      </c>
      <c r="AF507" s="373">
        <v>0</v>
      </c>
      <c r="AG507" s="383">
        <v>1</v>
      </c>
      <c r="AH507" s="373" t="s">
        <v>160</v>
      </c>
    </row>
    <row r="508" spans="1:34">
      <c r="A508" s="378" t="s">
        <v>471</v>
      </c>
      <c r="B508" s="371"/>
      <c r="C508" s="372" t="s">
        <v>119</v>
      </c>
      <c r="D508" s="372" t="s">
        <v>35</v>
      </c>
      <c r="E508" s="371">
        <v>550610</v>
      </c>
      <c r="F508" s="373" t="s">
        <v>305</v>
      </c>
      <c r="G508" s="373" t="s">
        <v>529</v>
      </c>
      <c r="H508" s="374" t="s">
        <v>37</v>
      </c>
      <c r="I508" s="375">
        <v>767</v>
      </c>
      <c r="J508" s="375" t="str">
        <f t="shared" si="98"/>
        <v>Office</v>
      </c>
      <c r="K508" s="375">
        <v>750</v>
      </c>
      <c r="L508" s="373" t="s">
        <v>68</v>
      </c>
      <c r="M508" s="378"/>
      <c r="N508" s="378"/>
      <c r="O508" s="377">
        <v>45719</v>
      </c>
      <c r="P508" s="378"/>
      <c r="Q508" s="378"/>
      <c r="R508" s="376">
        <v>0</v>
      </c>
      <c r="S508" s="376">
        <f t="shared" si="99"/>
        <v>0</v>
      </c>
      <c r="T508" s="378"/>
      <c r="U508" s="376">
        <v>40000</v>
      </c>
      <c r="V508" s="376">
        <f t="shared" si="100"/>
        <v>0</v>
      </c>
      <c r="W508" s="376">
        <v>44100</v>
      </c>
      <c r="X508" s="376">
        <f t="shared" si="101"/>
        <v>0</v>
      </c>
      <c r="Y508" s="379" t="e">
        <f t="shared" si="102"/>
        <v>#VALUE!</v>
      </c>
      <c r="Z508" s="376" t="s">
        <v>69</v>
      </c>
      <c r="AA508" s="380"/>
      <c r="AB508" s="381"/>
      <c r="AC508" s="374" t="s">
        <v>40</v>
      </c>
      <c r="AD508" s="373" t="s">
        <v>510</v>
      </c>
      <c r="AE508" s="378"/>
      <c r="AF508" s="385"/>
      <c r="AG508" s="386"/>
      <c r="AH508" s="385"/>
    </row>
    <row r="509" spans="1:34">
      <c r="A509" s="378" t="s">
        <v>471</v>
      </c>
      <c r="B509" s="371"/>
      <c r="C509" s="372" t="s">
        <v>119</v>
      </c>
      <c r="D509" s="372" t="s">
        <v>35</v>
      </c>
      <c r="E509" s="371">
        <v>550610</v>
      </c>
      <c r="F509" s="373" t="s">
        <v>305</v>
      </c>
      <c r="G509" s="373" t="s">
        <v>527</v>
      </c>
      <c r="H509" s="374" t="s">
        <v>37</v>
      </c>
      <c r="I509" s="375">
        <v>645</v>
      </c>
      <c r="J509" s="375" t="str">
        <f t="shared" si="98"/>
        <v>Office</v>
      </c>
      <c r="K509" s="375">
        <v>750</v>
      </c>
      <c r="L509" s="373" t="s">
        <v>68</v>
      </c>
      <c r="M509" s="378"/>
      <c r="N509" s="378"/>
      <c r="O509" s="377">
        <v>44263</v>
      </c>
      <c r="P509" s="378"/>
      <c r="Q509" s="378"/>
      <c r="R509" s="376">
        <v>0</v>
      </c>
      <c r="S509" s="376">
        <f t="shared" si="99"/>
        <v>0</v>
      </c>
      <c r="T509" s="378"/>
      <c r="U509" s="376">
        <v>35000</v>
      </c>
      <c r="V509" s="376">
        <f t="shared" si="100"/>
        <v>0</v>
      </c>
      <c r="W509" s="376">
        <v>37100</v>
      </c>
      <c r="X509" s="376">
        <f t="shared" si="101"/>
        <v>0</v>
      </c>
      <c r="Y509" s="379" t="e">
        <f t="shared" si="102"/>
        <v>#VALUE!</v>
      </c>
      <c r="Z509" s="376" t="s">
        <v>69</v>
      </c>
      <c r="AA509" s="380"/>
      <c r="AB509" s="381"/>
      <c r="AC509" s="374" t="s">
        <v>40</v>
      </c>
      <c r="AD509" s="373" t="s">
        <v>510</v>
      </c>
      <c r="AE509" s="388">
        <v>60</v>
      </c>
      <c r="AF509" s="378"/>
      <c r="AG509" s="383"/>
      <c r="AH509" s="378"/>
    </row>
    <row r="510" spans="1:34">
      <c r="A510" s="378" t="s">
        <v>471</v>
      </c>
      <c r="B510" s="371"/>
      <c r="C510" s="372" t="s">
        <v>119</v>
      </c>
      <c r="D510" s="372" t="s">
        <v>35</v>
      </c>
      <c r="E510" s="371">
        <v>550610</v>
      </c>
      <c r="F510" s="373" t="s">
        <v>305</v>
      </c>
      <c r="G510" s="373" t="s">
        <v>530</v>
      </c>
      <c r="H510" s="374" t="s">
        <v>37</v>
      </c>
      <c r="I510" s="375">
        <v>767</v>
      </c>
      <c r="J510" s="375" t="str">
        <f t="shared" si="98"/>
        <v>Office</v>
      </c>
      <c r="K510" s="375">
        <v>750</v>
      </c>
      <c r="L510" s="373" t="s">
        <v>68</v>
      </c>
      <c r="M510" s="378"/>
      <c r="N510" s="378"/>
      <c r="O510" s="377">
        <v>44263</v>
      </c>
      <c r="P510" s="378"/>
      <c r="Q510" s="378"/>
      <c r="R510" s="376">
        <v>0</v>
      </c>
      <c r="S510" s="376">
        <f t="shared" si="99"/>
        <v>0</v>
      </c>
      <c r="T510" s="378"/>
      <c r="U510" s="376">
        <v>40000</v>
      </c>
      <c r="V510" s="376">
        <f t="shared" si="100"/>
        <v>0</v>
      </c>
      <c r="W510" s="376">
        <v>44100</v>
      </c>
      <c r="X510" s="376">
        <f t="shared" si="101"/>
        <v>0</v>
      </c>
      <c r="Y510" s="379" t="e">
        <f t="shared" si="102"/>
        <v>#VALUE!</v>
      </c>
      <c r="Z510" s="376" t="s">
        <v>69</v>
      </c>
      <c r="AA510" s="380"/>
      <c r="AB510" s="381"/>
      <c r="AC510" s="374" t="s">
        <v>40</v>
      </c>
      <c r="AD510" s="373" t="s">
        <v>510</v>
      </c>
      <c r="AE510" s="388">
        <v>60</v>
      </c>
      <c r="AF510" s="378"/>
      <c r="AG510" s="383"/>
      <c r="AH510" s="378"/>
    </row>
    <row r="511" spans="1:34" ht="14.25" customHeight="1">
      <c r="A511" s="378" t="s">
        <v>471</v>
      </c>
      <c r="B511" s="371"/>
      <c r="C511" s="372" t="s">
        <v>119</v>
      </c>
      <c r="D511" s="372" t="s">
        <v>35</v>
      </c>
      <c r="E511" s="371">
        <v>550610</v>
      </c>
      <c r="F511" s="373" t="s">
        <v>305</v>
      </c>
      <c r="G511" s="373" t="s">
        <v>532</v>
      </c>
      <c r="H511" s="374" t="s">
        <v>37</v>
      </c>
      <c r="I511" s="375">
        <v>534</v>
      </c>
      <c r="J511" s="375" t="str">
        <f t="shared" si="98"/>
        <v>Office</v>
      </c>
      <c r="K511" s="375">
        <v>500</v>
      </c>
      <c r="L511" s="373" t="s">
        <v>68</v>
      </c>
      <c r="M511" s="378"/>
      <c r="N511" s="378"/>
      <c r="O511" s="377">
        <v>43061</v>
      </c>
      <c r="P511" s="378"/>
      <c r="Q511" s="378"/>
      <c r="R511" s="376">
        <v>0</v>
      </c>
      <c r="S511" s="376">
        <f t="shared" si="99"/>
        <v>0</v>
      </c>
      <c r="T511" s="378"/>
      <c r="U511" s="376">
        <v>0</v>
      </c>
      <c r="V511" s="376">
        <f t="shared" si="100"/>
        <v>0</v>
      </c>
      <c r="W511" s="376">
        <v>30700</v>
      </c>
      <c r="X511" s="376">
        <f t="shared" si="101"/>
        <v>0</v>
      </c>
      <c r="Y511" s="379" t="e">
        <f t="shared" si="102"/>
        <v>#VALUE!</v>
      </c>
      <c r="Z511" s="376" t="s">
        <v>69</v>
      </c>
      <c r="AA511" s="380"/>
      <c r="AB511" s="381"/>
      <c r="AC511" s="374" t="s">
        <v>40</v>
      </c>
      <c r="AD511" s="373" t="s">
        <v>510</v>
      </c>
      <c r="AE511" s="388">
        <v>60</v>
      </c>
      <c r="AF511" s="378"/>
      <c r="AG511" s="383"/>
      <c r="AH511" s="378"/>
    </row>
    <row r="512" spans="1:34" ht="14.25" customHeight="1">
      <c r="B512" s="2"/>
      <c r="C512" s="11"/>
      <c r="D512" s="11" t="s">
        <v>35</v>
      </c>
      <c r="E512" s="2"/>
      <c r="U512" s="10"/>
      <c r="V512" s="10">
        <f t="shared" si="100"/>
        <v>0</v>
      </c>
      <c r="W512" s="10"/>
      <c r="X512" s="10">
        <f t="shared" si="101"/>
        <v>0</v>
      </c>
      <c r="Y512" s="10"/>
      <c r="Z512" s="10"/>
      <c r="AA512" s="61"/>
      <c r="AC512" s="14"/>
      <c r="AG512" s="300"/>
    </row>
    <row r="513" spans="1:34" ht="14.25" customHeight="1">
      <c r="B513" s="2"/>
      <c r="C513" s="11"/>
      <c r="D513" s="11" t="s">
        <v>35</v>
      </c>
      <c r="E513" s="2"/>
      <c r="G513" s="92" t="s">
        <v>739</v>
      </c>
      <c r="I513" s="18">
        <f>SUM(H498:H511)</f>
        <v>0</v>
      </c>
      <c r="J513" s="19"/>
      <c r="K513" s="19"/>
      <c r="R513" s="18">
        <f>SUM(Q498:Q511)</f>
        <v>230981</v>
      </c>
      <c r="S513" s="18"/>
      <c r="T513" s="18">
        <f>SUM(R497:R511)</f>
        <v>351590</v>
      </c>
      <c r="U513" s="18">
        <f>SUM(T498:T511)</f>
        <v>0</v>
      </c>
      <c r="V513" s="10"/>
      <c r="W513" s="18">
        <f>SUM(V498:V511)</f>
        <v>0</v>
      </c>
      <c r="X513" s="10"/>
      <c r="Y513" s="10"/>
      <c r="Z513" s="10"/>
      <c r="AA513" s="61"/>
      <c r="AB513" s="19">
        <v>7950000</v>
      </c>
      <c r="AC513" s="14"/>
      <c r="AF513" s="29"/>
      <c r="AG513" s="301"/>
      <c r="AH513" s="29"/>
    </row>
    <row r="514" spans="1:34" ht="14.25" customHeight="1">
      <c r="B514" s="2"/>
      <c r="C514" s="11"/>
      <c r="D514" s="11" t="s">
        <v>35</v>
      </c>
      <c r="E514" s="2"/>
      <c r="I514" s="18"/>
      <c r="J514" s="19"/>
      <c r="K514" s="19"/>
      <c r="R514" s="19"/>
      <c r="S514" s="19"/>
      <c r="T514" s="19"/>
      <c r="U514" s="18"/>
      <c r="V514" s="19"/>
      <c r="W514" s="18"/>
      <c r="X514" s="19"/>
      <c r="Y514" s="19"/>
      <c r="Z514" s="19"/>
      <c r="AA514" s="62"/>
      <c r="AB514" s="19"/>
      <c r="AC514" s="14"/>
      <c r="AG514" s="300"/>
    </row>
    <row r="515" spans="1:34" ht="14.25" customHeight="1">
      <c r="A515" t="s">
        <v>928</v>
      </c>
      <c r="B515" s="2"/>
      <c r="C515" s="11"/>
      <c r="D515" s="11" t="s">
        <v>35</v>
      </c>
      <c r="E515" s="2"/>
      <c r="H515" s="6" t="s">
        <v>312</v>
      </c>
      <c r="J515" s="10"/>
      <c r="K515" s="10"/>
      <c r="L515" s="32"/>
      <c r="U515" s="19"/>
      <c r="V515" s="19"/>
      <c r="W515" s="19"/>
      <c r="X515" s="19"/>
      <c r="Y515" s="19"/>
      <c r="Z515" s="19"/>
      <c r="AA515" s="62"/>
      <c r="AB515" s="19"/>
      <c r="AC515" s="14"/>
      <c r="AG515" s="300"/>
    </row>
    <row r="516" spans="1:34" ht="14.25" customHeight="1">
      <c r="B516" s="2"/>
      <c r="C516" s="11"/>
      <c r="D516" s="11" t="s">
        <v>35</v>
      </c>
      <c r="E516" s="2"/>
      <c r="H516" s="26"/>
      <c r="I516" s="24"/>
      <c r="J516" s="10"/>
      <c r="K516" s="10"/>
      <c r="L516" s="20"/>
      <c r="M516" s="21"/>
      <c r="V516" s="10"/>
      <c r="X516" s="10"/>
      <c r="Y516" s="10"/>
      <c r="Z516" s="10"/>
      <c r="AA516" s="61"/>
      <c r="AB516" s="19"/>
      <c r="AC516" s="14"/>
      <c r="AG516" s="300"/>
    </row>
    <row r="517" spans="1:34" ht="23.25" customHeight="1">
      <c r="A517" s="370" t="s">
        <v>471</v>
      </c>
      <c r="B517" s="371"/>
      <c r="C517" s="372" t="s">
        <v>119</v>
      </c>
      <c r="D517" s="372" t="s">
        <v>35</v>
      </c>
      <c r="E517" s="371">
        <v>550620</v>
      </c>
      <c r="F517" s="373" t="s">
        <v>312</v>
      </c>
      <c r="G517" s="373" t="s">
        <v>139</v>
      </c>
      <c r="H517" s="374" t="s">
        <v>136</v>
      </c>
      <c r="I517" s="375">
        <v>930</v>
      </c>
      <c r="J517" s="375" t="str">
        <f t="shared" ref="J517:J522" si="103">H517</f>
        <v>A1/D1</v>
      </c>
      <c r="K517" s="375">
        <v>1000</v>
      </c>
      <c r="L517" s="373" t="s">
        <v>313</v>
      </c>
      <c r="M517" s="384">
        <v>45588</v>
      </c>
      <c r="N517" s="377">
        <v>46132</v>
      </c>
      <c r="O517" s="378"/>
      <c r="P517" s="378"/>
      <c r="Q517" s="378"/>
      <c r="R517" s="376">
        <v>46500</v>
      </c>
      <c r="S517" s="376">
        <f t="shared" ref="S517:S522" si="104">Q517</f>
        <v>0</v>
      </c>
      <c r="T517" s="378"/>
      <c r="U517" s="376">
        <v>45350</v>
      </c>
      <c r="V517" s="376">
        <f t="shared" ref="V517:V523" si="105">T517</f>
        <v>0</v>
      </c>
      <c r="W517" s="376">
        <v>45350</v>
      </c>
      <c r="X517" s="376">
        <f t="shared" ref="X517:X523" si="106">V517</f>
        <v>0</v>
      </c>
      <c r="Y517" s="379" t="e">
        <f t="shared" ref="Y517:Y522" si="107">T517/H517</f>
        <v>#VALUE!</v>
      </c>
      <c r="Z517" s="376" t="s">
        <v>69</v>
      </c>
      <c r="AA517" s="380"/>
      <c r="AB517" s="394"/>
      <c r="AC517" s="374" t="s">
        <v>40</v>
      </c>
      <c r="AD517" s="378"/>
      <c r="AE517" s="378"/>
      <c r="AF517" s="378"/>
      <c r="AG517" s="383"/>
      <c r="AH517" s="378"/>
    </row>
    <row r="518" spans="1:34" ht="36">
      <c r="A518" s="378" t="s">
        <v>471</v>
      </c>
      <c r="B518" s="371"/>
      <c r="C518" s="372" t="s">
        <v>119</v>
      </c>
      <c r="D518" s="372" t="s">
        <v>35</v>
      </c>
      <c r="E518" s="371">
        <v>550620</v>
      </c>
      <c r="F518" s="373" t="s">
        <v>312</v>
      </c>
      <c r="G518" s="391" t="s">
        <v>494</v>
      </c>
      <c r="H518" s="374" t="s">
        <v>37</v>
      </c>
      <c r="I518" s="375">
        <v>360</v>
      </c>
      <c r="J518" s="375" t="str">
        <f t="shared" si="103"/>
        <v>Office</v>
      </c>
      <c r="K518" s="375">
        <v>250</v>
      </c>
      <c r="L518" s="373" t="s">
        <v>313</v>
      </c>
      <c r="M518" s="384">
        <v>44307</v>
      </c>
      <c r="N518" s="377">
        <v>46132</v>
      </c>
      <c r="O518" s="378"/>
      <c r="P518" s="378"/>
      <c r="Q518" s="378"/>
      <c r="R518" s="376">
        <v>18500</v>
      </c>
      <c r="S518" s="376">
        <f t="shared" si="104"/>
        <v>0</v>
      </c>
      <c r="T518" s="378"/>
      <c r="U518" s="376">
        <v>20200</v>
      </c>
      <c r="V518" s="376">
        <f t="shared" si="105"/>
        <v>0</v>
      </c>
      <c r="W518" s="376">
        <v>20700</v>
      </c>
      <c r="X518" s="376">
        <f t="shared" si="106"/>
        <v>0</v>
      </c>
      <c r="Y518" s="379" t="e">
        <f t="shared" si="107"/>
        <v>#VALUE!</v>
      </c>
      <c r="Z518" s="376" t="s">
        <v>69</v>
      </c>
      <c r="AA518" s="380"/>
      <c r="AB518" s="394"/>
      <c r="AC518" s="374" t="s">
        <v>40</v>
      </c>
      <c r="AD518" s="378"/>
      <c r="AE518" s="378"/>
      <c r="AF518" s="378"/>
      <c r="AG518" s="383"/>
      <c r="AH518" s="378"/>
    </row>
    <row r="519" spans="1:34">
      <c r="A519" s="378" t="s">
        <v>471</v>
      </c>
      <c r="B519" s="371"/>
      <c r="C519" s="372" t="s">
        <v>119</v>
      </c>
      <c r="D519" s="372" t="s">
        <v>35</v>
      </c>
      <c r="E519" s="371">
        <v>550620</v>
      </c>
      <c r="F519" s="373" t="s">
        <v>312</v>
      </c>
      <c r="G519" s="373" t="s">
        <v>497</v>
      </c>
      <c r="H519" s="374" t="s">
        <v>37</v>
      </c>
      <c r="I519" s="375">
        <v>375</v>
      </c>
      <c r="J519" s="375" t="str">
        <f t="shared" si="103"/>
        <v>Office</v>
      </c>
      <c r="K519" s="375">
        <v>500</v>
      </c>
      <c r="L519" s="373" t="s">
        <v>68</v>
      </c>
      <c r="M519" s="378"/>
      <c r="N519" s="378"/>
      <c r="O519" s="377">
        <v>45407</v>
      </c>
      <c r="P519" s="378"/>
      <c r="Q519" s="378"/>
      <c r="R519" s="376">
        <v>0</v>
      </c>
      <c r="S519" s="376">
        <f t="shared" si="104"/>
        <v>0</v>
      </c>
      <c r="T519" s="378"/>
      <c r="U519" s="376">
        <v>21000</v>
      </c>
      <c r="V519" s="376">
        <f t="shared" si="105"/>
        <v>0</v>
      </c>
      <c r="W519" s="376">
        <v>21600</v>
      </c>
      <c r="X519" s="376">
        <f t="shared" si="106"/>
        <v>0</v>
      </c>
      <c r="Y519" s="379" t="e">
        <f t="shared" si="107"/>
        <v>#VALUE!</v>
      </c>
      <c r="Z519" s="376" t="s">
        <v>69</v>
      </c>
      <c r="AA519" s="380"/>
      <c r="AB519" s="394"/>
      <c r="AC519" s="374" t="s">
        <v>40</v>
      </c>
      <c r="AD519" s="373" t="s">
        <v>510</v>
      </c>
      <c r="AE519" s="378"/>
      <c r="AF519" s="378"/>
      <c r="AG519" s="383"/>
      <c r="AH519" s="378"/>
    </row>
    <row r="520" spans="1:34" ht="23.25" customHeight="1">
      <c r="A520" s="378" t="s">
        <v>471</v>
      </c>
      <c r="B520" s="371"/>
      <c r="C520" s="372" t="s">
        <v>119</v>
      </c>
      <c r="D520" s="372" t="s">
        <v>35</v>
      </c>
      <c r="E520" s="371">
        <v>550620</v>
      </c>
      <c r="F520" s="373" t="s">
        <v>312</v>
      </c>
      <c r="G520" s="373" t="s">
        <v>498</v>
      </c>
      <c r="H520" s="374" t="s">
        <v>37</v>
      </c>
      <c r="I520" s="375">
        <v>350</v>
      </c>
      <c r="J520" s="375" t="str">
        <f t="shared" si="103"/>
        <v>Office</v>
      </c>
      <c r="K520" s="375">
        <v>500</v>
      </c>
      <c r="L520" s="373" t="s">
        <v>740</v>
      </c>
      <c r="M520" s="384">
        <v>44974</v>
      </c>
      <c r="N520" s="377">
        <v>46799</v>
      </c>
      <c r="O520" s="378"/>
      <c r="P520" s="378"/>
      <c r="Q520" s="377">
        <v>46069</v>
      </c>
      <c r="R520" s="376">
        <v>19600</v>
      </c>
      <c r="S520" s="376">
        <f t="shared" si="104"/>
        <v>46069</v>
      </c>
      <c r="T520" s="378"/>
      <c r="U520" s="376">
        <v>19600</v>
      </c>
      <c r="V520" s="376">
        <f t="shared" si="105"/>
        <v>0</v>
      </c>
      <c r="W520" s="376">
        <v>20100</v>
      </c>
      <c r="X520" s="376">
        <f t="shared" si="106"/>
        <v>0</v>
      </c>
      <c r="Y520" s="379" t="e">
        <f t="shared" si="107"/>
        <v>#VALUE!</v>
      </c>
      <c r="Z520" s="376" t="s">
        <v>69</v>
      </c>
      <c r="AA520" s="380"/>
      <c r="AB520" s="394"/>
      <c r="AC520" s="374" t="s">
        <v>40</v>
      </c>
      <c r="AD520" s="373" t="s">
        <v>130</v>
      </c>
      <c r="AE520" s="378"/>
      <c r="AF520" s="378"/>
      <c r="AG520" s="383"/>
      <c r="AH520" s="378"/>
    </row>
    <row r="521" spans="1:34" ht="60">
      <c r="A521" s="378" t="s">
        <v>471</v>
      </c>
      <c r="B521" s="371"/>
      <c r="C521" s="372" t="s">
        <v>119</v>
      </c>
      <c r="D521" s="372" t="s">
        <v>35</v>
      </c>
      <c r="E521" s="371">
        <v>550620</v>
      </c>
      <c r="F521" s="373" t="s">
        <v>312</v>
      </c>
      <c r="G521" s="373" t="s">
        <v>509</v>
      </c>
      <c r="H521" s="374" t="s">
        <v>37</v>
      </c>
      <c r="I521" s="375">
        <v>350</v>
      </c>
      <c r="J521" s="375" t="str">
        <f t="shared" si="103"/>
        <v>Office</v>
      </c>
      <c r="K521" s="375">
        <v>500</v>
      </c>
      <c r="L521" s="373" t="s">
        <v>741</v>
      </c>
      <c r="M521" s="384">
        <v>45359</v>
      </c>
      <c r="N521" s="377">
        <v>46453</v>
      </c>
      <c r="O521" s="378"/>
      <c r="P521" s="378"/>
      <c r="Q521" s="377">
        <v>45907</v>
      </c>
      <c r="R521" s="376">
        <v>19600</v>
      </c>
      <c r="S521" s="376">
        <f t="shared" si="104"/>
        <v>45907</v>
      </c>
      <c r="T521" s="378"/>
      <c r="U521" s="376">
        <v>17500</v>
      </c>
      <c r="V521" s="376">
        <f t="shared" si="105"/>
        <v>0</v>
      </c>
      <c r="W521" s="376">
        <v>19600</v>
      </c>
      <c r="X521" s="376">
        <f t="shared" si="106"/>
        <v>0</v>
      </c>
      <c r="Y521" s="379" t="e">
        <f t="shared" si="107"/>
        <v>#VALUE!</v>
      </c>
      <c r="Z521" s="376" t="s">
        <v>69</v>
      </c>
      <c r="AA521" s="380"/>
      <c r="AB521" s="394"/>
      <c r="AC521" s="374" t="s">
        <v>40</v>
      </c>
      <c r="AD521" s="373" t="s">
        <v>742</v>
      </c>
      <c r="AE521" s="378"/>
      <c r="AF521" s="378"/>
      <c r="AG521" s="383"/>
      <c r="AH521" s="378"/>
    </row>
    <row r="522" spans="1:34" ht="22.5" customHeight="1">
      <c r="A522" s="378" t="s">
        <v>471</v>
      </c>
      <c r="B522" s="371"/>
      <c r="C522" s="372" t="s">
        <v>119</v>
      </c>
      <c r="D522" s="372" t="s">
        <v>35</v>
      </c>
      <c r="E522" s="371">
        <v>550620</v>
      </c>
      <c r="F522" s="373" t="s">
        <v>312</v>
      </c>
      <c r="G522" s="373" t="s">
        <v>546</v>
      </c>
      <c r="H522" s="374" t="s">
        <v>37</v>
      </c>
      <c r="I522" s="375">
        <v>350</v>
      </c>
      <c r="J522" s="375" t="str">
        <f t="shared" si="103"/>
        <v>Office</v>
      </c>
      <c r="K522" s="375">
        <v>500</v>
      </c>
      <c r="L522" s="385" t="s">
        <v>743</v>
      </c>
      <c r="M522" s="384">
        <v>45744</v>
      </c>
      <c r="N522" s="377">
        <v>47569</v>
      </c>
      <c r="O522" s="378"/>
      <c r="P522" s="378"/>
      <c r="Q522" s="377">
        <v>46839</v>
      </c>
      <c r="R522" s="376">
        <v>0</v>
      </c>
      <c r="S522" s="376">
        <f t="shared" si="104"/>
        <v>46839</v>
      </c>
      <c r="T522" s="378"/>
      <c r="U522" s="376">
        <v>17500</v>
      </c>
      <c r="V522" s="376">
        <f t="shared" si="105"/>
        <v>0</v>
      </c>
      <c r="W522" s="376">
        <v>19600</v>
      </c>
      <c r="X522" s="376">
        <f t="shared" si="106"/>
        <v>0</v>
      </c>
      <c r="Y522" s="379" t="e">
        <f t="shared" si="107"/>
        <v>#VALUE!</v>
      </c>
      <c r="Z522" s="376" t="s">
        <v>69</v>
      </c>
      <c r="AA522" s="380"/>
      <c r="AB522" s="394"/>
      <c r="AC522" s="374" t="s">
        <v>40</v>
      </c>
      <c r="AD522" s="373" t="s">
        <v>744</v>
      </c>
      <c r="AE522" s="378"/>
      <c r="AF522" s="373">
        <v>1</v>
      </c>
      <c r="AG522" s="383">
        <v>3</v>
      </c>
      <c r="AH522" s="373" t="s">
        <v>160</v>
      </c>
    </row>
    <row r="523" spans="1:34" ht="14.25" customHeight="1">
      <c r="B523" s="2"/>
      <c r="C523" s="11"/>
      <c r="D523" s="11" t="s">
        <v>35</v>
      </c>
      <c r="E523" s="2"/>
      <c r="J523" s="10"/>
      <c r="K523" s="10"/>
      <c r="U523" s="10"/>
      <c r="V523" s="10">
        <f t="shared" si="105"/>
        <v>0</v>
      </c>
      <c r="W523" s="10"/>
      <c r="X523" s="10">
        <f t="shared" si="106"/>
        <v>0</v>
      </c>
      <c r="Y523" s="10"/>
      <c r="Z523" s="10"/>
      <c r="AA523" s="61"/>
      <c r="AB523" s="19"/>
      <c r="AC523" s="14"/>
      <c r="AG523" s="300"/>
    </row>
    <row r="524" spans="1:34" ht="14.25" customHeight="1">
      <c r="B524" s="2"/>
      <c r="C524" s="11"/>
      <c r="D524" s="11" t="s">
        <v>35</v>
      </c>
      <c r="E524" s="2"/>
      <c r="G524" s="92" t="s">
        <v>312</v>
      </c>
      <c r="I524" s="18">
        <f>SUM(H517:H522)</f>
        <v>0</v>
      </c>
      <c r="J524" s="19"/>
      <c r="K524" s="19"/>
      <c r="R524" s="19">
        <f>SUM(Q517:Q522)</f>
        <v>138815</v>
      </c>
      <c r="S524" s="19"/>
      <c r="T524" s="19">
        <f>SUM(R517:R522)</f>
        <v>104200</v>
      </c>
      <c r="U524" s="19">
        <f>SUM(T517:T522)</f>
        <v>0</v>
      </c>
      <c r="V524" s="10"/>
      <c r="W524" s="19">
        <f>SUM(V517:V522)</f>
        <v>0</v>
      </c>
      <c r="X524" s="10"/>
      <c r="Y524" s="10"/>
      <c r="Z524" s="10"/>
      <c r="AA524" s="61"/>
      <c r="AB524" s="19">
        <v>2075000</v>
      </c>
      <c r="AC524" s="14"/>
      <c r="AF524" s="29"/>
      <c r="AG524" s="301"/>
      <c r="AH524" s="29"/>
    </row>
    <row r="525" spans="1:34" ht="14.25" customHeight="1">
      <c r="B525" s="2"/>
      <c r="C525" s="11"/>
      <c r="D525" s="11" t="s">
        <v>35</v>
      </c>
      <c r="E525" s="2"/>
      <c r="J525" s="10"/>
      <c r="K525" s="10"/>
      <c r="U525" s="10"/>
      <c r="V525" s="10"/>
      <c r="W525" s="10"/>
      <c r="X525" s="10"/>
      <c r="Y525" s="10"/>
      <c r="Z525" s="10"/>
      <c r="AA525" s="61"/>
      <c r="AC525" s="14"/>
      <c r="AG525" s="300"/>
    </row>
    <row r="526" spans="1:34" ht="14.25" customHeight="1">
      <c r="A526" t="s">
        <v>928</v>
      </c>
      <c r="B526" s="2"/>
      <c r="C526" s="11"/>
      <c r="D526" s="11" t="s">
        <v>35</v>
      </c>
      <c r="E526" s="2"/>
      <c r="H526" s="6" t="s">
        <v>314</v>
      </c>
      <c r="J526" s="10"/>
      <c r="K526" s="10"/>
      <c r="L526" s="32"/>
      <c r="V526" s="10"/>
      <c r="X526" s="10"/>
      <c r="Y526" s="10"/>
      <c r="Z526" s="10"/>
      <c r="AA526" s="61"/>
      <c r="AC526" s="14"/>
      <c r="AG526" s="300"/>
    </row>
    <row r="527" spans="1:34" ht="14.25" customHeight="1">
      <c r="B527" s="2"/>
      <c r="C527" s="11"/>
      <c r="D527" s="11" t="s">
        <v>35</v>
      </c>
      <c r="E527" s="2"/>
      <c r="J527" s="10"/>
      <c r="K527" s="10"/>
      <c r="U527" s="10"/>
      <c r="V527" s="10"/>
      <c r="W527" s="10"/>
      <c r="X527" s="10"/>
      <c r="Y527" s="10"/>
      <c r="Z527" s="10"/>
      <c r="AA527" s="61"/>
      <c r="AC527" s="14"/>
      <c r="AG527" s="300"/>
    </row>
    <row r="528" spans="1:34" ht="23.25" customHeight="1">
      <c r="A528" s="370" t="s">
        <v>471</v>
      </c>
      <c r="B528" s="371"/>
      <c r="C528" s="372" t="s">
        <v>60</v>
      </c>
      <c r="D528" s="372" t="s">
        <v>35</v>
      </c>
      <c r="E528" s="371">
        <v>550640</v>
      </c>
      <c r="F528" s="373" t="s">
        <v>314</v>
      </c>
      <c r="G528" s="373" t="s">
        <v>315</v>
      </c>
      <c r="H528" s="374" t="s">
        <v>37</v>
      </c>
      <c r="I528" s="375">
        <v>3760</v>
      </c>
      <c r="J528" s="375" t="str">
        <f t="shared" ref="J528:J536" si="108">H528</f>
        <v>Office</v>
      </c>
      <c r="K528" s="375">
        <v>2750</v>
      </c>
      <c r="L528" s="373" t="s">
        <v>316</v>
      </c>
      <c r="M528" s="384">
        <v>44769</v>
      </c>
      <c r="N528" s="377">
        <v>46594</v>
      </c>
      <c r="O528" s="378"/>
      <c r="P528" s="378"/>
      <c r="Q528" s="377">
        <v>45864</v>
      </c>
      <c r="R528" s="376">
        <v>95000</v>
      </c>
      <c r="S528" s="376">
        <f t="shared" ref="S528:S536" si="109">Q528</f>
        <v>45864</v>
      </c>
      <c r="T528" s="378"/>
      <c r="U528" s="376">
        <v>95000</v>
      </c>
      <c r="V528" s="376">
        <f t="shared" ref="V528:V536" si="110">T528</f>
        <v>0</v>
      </c>
      <c r="W528" s="376">
        <v>95000</v>
      </c>
      <c r="X528" s="376">
        <f t="shared" ref="X528:X536" si="111">V528</f>
        <v>0</v>
      </c>
      <c r="Y528" s="379" t="e">
        <f t="shared" ref="Y528:Y536" si="112">T528/H528</f>
        <v>#VALUE!</v>
      </c>
      <c r="Z528" s="376" t="s">
        <v>76</v>
      </c>
      <c r="AA528" s="380"/>
      <c r="AB528" s="381"/>
      <c r="AC528" s="374" t="s">
        <v>40</v>
      </c>
      <c r="AD528" s="373" t="s">
        <v>130</v>
      </c>
      <c r="AE528" s="378"/>
      <c r="AF528" s="378"/>
      <c r="AG528" s="383"/>
      <c r="AH528" s="378"/>
    </row>
    <row r="529" spans="1:34" ht="24" customHeight="1">
      <c r="A529" s="378" t="s">
        <v>471</v>
      </c>
      <c r="B529" s="371"/>
      <c r="C529" s="372" t="s">
        <v>60</v>
      </c>
      <c r="D529" s="372" t="s">
        <v>35</v>
      </c>
      <c r="E529" s="371">
        <v>550640</v>
      </c>
      <c r="F529" s="373" t="s">
        <v>314</v>
      </c>
      <c r="G529" s="373" t="s">
        <v>317</v>
      </c>
      <c r="H529" s="374" t="s">
        <v>318</v>
      </c>
      <c r="I529" s="375">
        <v>7994</v>
      </c>
      <c r="J529" s="375" t="str">
        <f t="shared" si="108"/>
        <v>Retail / Showroom</v>
      </c>
      <c r="K529" s="375">
        <v>8000</v>
      </c>
      <c r="L529" s="373" t="s">
        <v>319</v>
      </c>
      <c r="M529" s="384">
        <v>45417</v>
      </c>
      <c r="N529" s="377">
        <v>49068</v>
      </c>
      <c r="O529" s="378"/>
      <c r="P529" s="377">
        <v>47243</v>
      </c>
      <c r="Q529" s="377">
        <v>47242</v>
      </c>
      <c r="R529" s="376">
        <v>212138</v>
      </c>
      <c r="S529" s="376">
        <f t="shared" si="109"/>
        <v>47242</v>
      </c>
      <c r="T529" s="378"/>
      <c r="U529" s="376">
        <v>379100</v>
      </c>
      <c r="V529" s="376">
        <f t="shared" si="110"/>
        <v>0</v>
      </c>
      <c r="W529" s="376">
        <v>424275</v>
      </c>
      <c r="X529" s="376">
        <f t="shared" si="111"/>
        <v>0</v>
      </c>
      <c r="Y529" s="379" t="e">
        <f t="shared" si="112"/>
        <v>#VALUE!</v>
      </c>
      <c r="Z529" s="376" t="s">
        <v>58</v>
      </c>
      <c r="AA529" s="380"/>
      <c r="AB529" s="381"/>
      <c r="AC529" s="374" t="s">
        <v>40</v>
      </c>
      <c r="AD529" s="373" t="s">
        <v>320</v>
      </c>
      <c r="AE529" s="378"/>
      <c r="AF529" s="378"/>
      <c r="AG529" s="383"/>
      <c r="AH529" s="378"/>
    </row>
    <row r="530" spans="1:34" ht="24">
      <c r="A530" s="378" t="s">
        <v>471</v>
      </c>
      <c r="B530" s="371"/>
      <c r="C530" s="372" t="s">
        <v>60</v>
      </c>
      <c r="D530" s="372" t="s">
        <v>35</v>
      </c>
      <c r="E530" s="371">
        <v>550640</v>
      </c>
      <c r="F530" s="373" t="s">
        <v>314</v>
      </c>
      <c r="G530" s="373" t="s">
        <v>611</v>
      </c>
      <c r="H530" s="374" t="s">
        <v>37</v>
      </c>
      <c r="I530" s="375">
        <v>2106</v>
      </c>
      <c r="J530" s="375" t="str">
        <f t="shared" si="108"/>
        <v>Office</v>
      </c>
      <c r="K530" s="375">
        <v>2000</v>
      </c>
      <c r="L530" s="373" t="s">
        <v>745</v>
      </c>
      <c r="M530" s="384">
        <v>44317</v>
      </c>
      <c r="N530" s="377">
        <v>46142</v>
      </c>
      <c r="O530" s="378"/>
      <c r="P530" s="378"/>
      <c r="Q530" s="378"/>
      <c r="R530" s="376">
        <v>115500</v>
      </c>
      <c r="S530" s="376">
        <f t="shared" si="109"/>
        <v>0</v>
      </c>
      <c r="T530" s="378"/>
      <c r="U530" s="376">
        <v>120700</v>
      </c>
      <c r="V530" s="376">
        <f t="shared" si="110"/>
        <v>0</v>
      </c>
      <c r="W530" s="376">
        <v>121100</v>
      </c>
      <c r="X530" s="376">
        <f t="shared" si="111"/>
        <v>0</v>
      </c>
      <c r="Y530" s="379" t="e">
        <f t="shared" si="112"/>
        <v>#VALUE!</v>
      </c>
      <c r="Z530" s="376" t="s">
        <v>69</v>
      </c>
      <c r="AA530" s="380"/>
      <c r="AB530" s="381"/>
      <c r="AC530" s="374" t="s">
        <v>40</v>
      </c>
      <c r="AD530" s="378"/>
      <c r="AE530" s="378"/>
      <c r="AF530" s="378"/>
      <c r="AG530" s="383"/>
      <c r="AH530" s="378"/>
    </row>
    <row r="531" spans="1:34" ht="14.25" customHeight="1">
      <c r="A531" s="378" t="s">
        <v>471</v>
      </c>
      <c r="B531" s="371"/>
      <c r="C531" s="372" t="s">
        <v>60</v>
      </c>
      <c r="D531" s="372" t="s">
        <v>35</v>
      </c>
      <c r="E531" s="371">
        <v>550640</v>
      </c>
      <c r="F531" s="373" t="s">
        <v>314</v>
      </c>
      <c r="G531" s="373" t="s">
        <v>614</v>
      </c>
      <c r="H531" s="374" t="s">
        <v>37</v>
      </c>
      <c r="I531" s="375">
        <v>1218</v>
      </c>
      <c r="J531" s="375" t="str">
        <f t="shared" si="108"/>
        <v>Office</v>
      </c>
      <c r="K531" s="375">
        <v>1250</v>
      </c>
      <c r="L531" s="373" t="s">
        <v>68</v>
      </c>
      <c r="M531" s="378"/>
      <c r="N531" s="378"/>
      <c r="O531" s="377">
        <v>42705</v>
      </c>
      <c r="P531" s="378"/>
      <c r="Q531" s="378"/>
      <c r="R531" s="376">
        <v>0</v>
      </c>
      <c r="S531" s="376">
        <f t="shared" si="109"/>
        <v>0</v>
      </c>
      <c r="T531" s="378"/>
      <c r="U531" s="376">
        <v>61500</v>
      </c>
      <c r="V531" s="376">
        <f t="shared" si="110"/>
        <v>0</v>
      </c>
      <c r="W531" s="376">
        <v>63900</v>
      </c>
      <c r="X531" s="376">
        <f t="shared" si="111"/>
        <v>0</v>
      </c>
      <c r="Y531" s="379" t="e">
        <f t="shared" si="112"/>
        <v>#VALUE!</v>
      </c>
      <c r="Z531" s="376" t="s">
        <v>69</v>
      </c>
      <c r="AA531" s="380"/>
      <c r="AB531" s="381"/>
      <c r="AC531" s="374" t="s">
        <v>40</v>
      </c>
      <c r="AD531" s="373" t="s">
        <v>510</v>
      </c>
      <c r="AE531" s="388">
        <v>62.5</v>
      </c>
      <c r="AF531" s="378"/>
      <c r="AG531" s="383"/>
      <c r="AH531" s="378"/>
    </row>
    <row r="532" spans="1:34">
      <c r="A532" s="378" t="s">
        <v>471</v>
      </c>
      <c r="B532" s="371"/>
      <c r="C532" s="372" t="s">
        <v>60</v>
      </c>
      <c r="D532" s="372" t="s">
        <v>35</v>
      </c>
      <c r="E532" s="371">
        <v>550640</v>
      </c>
      <c r="F532" s="373" t="s">
        <v>314</v>
      </c>
      <c r="G532" s="373" t="s">
        <v>746</v>
      </c>
      <c r="H532" s="374" t="s">
        <v>37</v>
      </c>
      <c r="I532" s="375">
        <v>2256</v>
      </c>
      <c r="J532" s="375" t="str">
        <f t="shared" si="108"/>
        <v>Office</v>
      </c>
      <c r="K532" s="375">
        <v>2250</v>
      </c>
      <c r="L532" s="373" t="s">
        <v>68</v>
      </c>
      <c r="M532" s="378"/>
      <c r="N532" s="378"/>
      <c r="O532" s="377">
        <v>44782</v>
      </c>
      <c r="P532" s="378"/>
      <c r="Q532" s="378"/>
      <c r="R532" s="376">
        <v>0</v>
      </c>
      <c r="S532" s="376">
        <f t="shared" si="109"/>
        <v>0</v>
      </c>
      <c r="T532" s="378"/>
      <c r="U532" s="376">
        <v>129200</v>
      </c>
      <c r="V532" s="376">
        <f t="shared" si="110"/>
        <v>0</v>
      </c>
      <c r="W532" s="376">
        <v>129700</v>
      </c>
      <c r="X532" s="376">
        <f t="shared" si="111"/>
        <v>0</v>
      </c>
      <c r="Y532" s="379" t="e">
        <f t="shared" si="112"/>
        <v>#VALUE!</v>
      </c>
      <c r="Z532" s="376" t="s">
        <v>69</v>
      </c>
      <c r="AA532" s="380"/>
      <c r="AB532" s="381"/>
      <c r="AC532" s="374" t="s">
        <v>40</v>
      </c>
      <c r="AD532" s="373" t="s">
        <v>510</v>
      </c>
      <c r="AE532" s="388">
        <v>62.5</v>
      </c>
      <c r="AF532" s="373">
        <v>1</v>
      </c>
      <c r="AG532" s="383">
        <v>1</v>
      </c>
      <c r="AH532" s="378"/>
    </row>
    <row r="533" spans="1:34">
      <c r="A533" s="378" t="s">
        <v>471</v>
      </c>
      <c r="B533" s="371"/>
      <c r="C533" s="372" t="s">
        <v>60</v>
      </c>
      <c r="D533" s="372" t="s">
        <v>35</v>
      </c>
      <c r="E533" s="371">
        <v>550640</v>
      </c>
      <c r="F533" s="373" t="s">
        <v>314</v>
      </c>
      <c r="G533" s="373" t="s">
        <v>738</v>
      </c>
      <c r="H533" s="374" t="s">
        <v>37</v>
      </c>
      <c r="I533" s="375">
        <v>1218</v>
      </c>
      <c r="J533" s="375" t="str">
        <f t="shared" si="108"/>
        <v>Office</v>
      </c>
      <c r="K533" s="375">
        <v>1250</v>
      </c>
      <c r="L533" s="373" t="s">
        <v>68</v>
      </c>
      <c r="M533" s="378"/>
      <c r="N533" s="378"/>
      <c r="O533" s="377">
        <v>42513</v>
      </c>
      <c r="P533" s="378"/>
      <c r="Q533" s="378"/>
      <c r="R533" s="376">
        <v>0</v>
      </c>
      <c r="S533" s="376">
        <f t="shared" si="109"/>
        <v>0</v>
      </c>
      <c r="T533" s="378"/>
      <c r="U533" s="376">
        <v>59700</v>
      </c>
      <c r="V533" s="376">
        <f t="shared" si="110"/>
        <v>0</v>
      </c>
      <c r="W533" s="376">
        <v>63900</v>
      </c>
      <c r="X533" s="376">
        <f t="shared" si="111"/>
        <v>0</v>
      </c>
      <c r="Y533" s="379" t="e">
        <f t="shared" si="112"/>
        <v>#VALUE!</v>
      </c>
      <c r="Z533" s="376" t="s">
        <v>76</v>
      </c>
      <c r="AA533" s="380"/>
      <c r="AB533" s="381"/>
      <c r="AC533" s="374" t="s">
        <v>40</v>
      </c>
      <c r="AD533" s="373" t="s">
        <v>510</v>
      </c>
      <c r="AE533" s="388">
        <v>62.5</v>
      </c>
      <c r="AF533" s="378"/>
      <c r="AG533" s="383"/>
      <c r="AH533" s="378"/>
    </row>
    <row r="534" spans="1:34" ht="36">
      <c r="A534" s="378" t="s">
        <v>471</v>
      </c>
      <c r="B534" s="371"/>
      <c r="C534" s="372" t="s">
        <v>60</v>
      </c>
      <c r="D534" s="372" t="s">
        <v>35</v>
      </c>
      <c r="E534" s="371">
        <v>550640</v>
      </c>
      <c r="F534" s="373" t="s">
        <v>314</v>
      </c>
      <c r="G534" s="373" t="s">
        <v>498</v>
      </c>
      <c r="H534" s="374" t="s">
        <v>37</v>
      </c>
      <c r="I534" s="375">
        <v>2194</v>
      </c>
      <c r="J534" s="375" t="str">
        <f t="shared" si="108"/>
        <v>Office</v>
      </c>
      <c r="K534" s="375">
        <v>2000</v>
      </c>
      <c r="L534" s="373" t="s">
        <v>747</v>
      </c>
      <c r="M534" s="384">
        <v>45082</v>
      </c>
      <c r="N534" s="377">
        <v>46908</v>
      </c>
      <c r="O534" s="378"/>
      <c r="P534" s="378"/>
      <c r="Q534" s="377">
        <v>46177</v>
      </c>
      <c r="R534" s="376">
        <v>130980</v>
      </c>
      <c r="S534" s="376">
        <f t="shared" si="109"/>
        <v>46177</v>
      </c>
      <c r="T534" s="378"/>
      <c r="U534" s="376">
        <v>122200</v>
      </c>
      <c r="V534" s="376">
        <f t="shared" si="110"/>
        <v>0</v>
      </c>
      <c r="W534" s="376">
        <v>126200</v>
      </c>
      <c r="X534" s="376">
        <f t="shared" si="111"/>
        <v>0</v>
      </c>
      <c r="Y534" s="379" t="e">
        <f t="shared" si="112"/>
        <v>#VALUE!</v>
      </c>
      <c r="Z534" s="376" t="s">
        <v>39</v>
      </c>
      <c r="AA534" s="380"/>
      <c r="AB534" s="381"/>
      <c r="AC534" s="374" t="s">
        <v>40</v>
      </c>
      <c r="AD534" s="373" t="s">
        <v>130</v>
      </c>
      <c r="AE534" s="378"/>
      <c r="AF534" s="385"/>
      <c r="AG534" s="386"/>
      <c r="AH534" s="385"/>
    </row>
    <row r="535" spans="1:34" ht="21" customHeight="1">
      <c r="A535" s="378" t="s">
        <v>471</v>
      </c>
      <c r="B535" s="371"/>
      <c r="C535" s="372" t="s">
        <v>60</v>
      </c>
      <c r="D535" s="372" t="s">
        <v>35</v>
      </c>
      <c r="E535" s="371">
        <v>550640</v>
      </c>
      <c r="F535" s="373" t="s">
        <v>314</v>
      </c>
      <c r="G535" s="373" t="s">
        <v>509</v>
      </c>
      <c r="H535" s="374" t="s">
        <v>37</v>
      </c>
      <c r="I535" s="375">
        <v>2080</v>
      </c>
      <c r="J535" s="375" t="str">
        <f t="shared" si="108"/>
        <v>Office</v>
      </c>
      <c r="K535" s="375">
        <v>2000</v>
      </c>
      <c r="L535" s="373" t="s">
        <v>68</v>
      </c>
      <c r="M535" s="378"/>
      <c r="N535" s="378"/>
      <c r="O535" s="377">
        <v>44647</v>
      </c>
      <c r="P535" s="378"/>
      <c r="Q535" s="378"/>
      <c r="R535" s="376">
        <v>0</v>
      </c>
      <c r="S535" s="376">
        <f t="shared" si="109"/>
        <v>0</v>
      </c>
      <c r="T535" s="378"/>
      <c r="U535" s="376">
        <v>117900</v>
      </c>
      <c r="V535" s="376">
        <f t="shared" si="110"/>
        <v>0</v>
      </c>
      <c r="W535" s="376">
        <v>119600</v>
      </c>
      <c r="X535" s="376">
        <f t="shared" si="111"/>
        <v>0</v>
      </c>
      <c r="Y535" s="379" t="e">
        <f t="shared" si="112"/>
        <v>#VALUE!</v>
      </c>
      <c r="Z535" s="376" t="s">
        <v>69</v>
      </c>
      <c r="AA535" s="380"/>
      <c r="AB535" s="381"/>
      <c r="AC535" s="374" t="s">
        <v>40</v>
      </c>
      <c r="AD535" s="373" t="s">
        <v>510</v>
      </c>
      <c r="AE535" s="388">
        <v>63</v>
      </c>
      <c r="AF535" s="373">
        <v>1</v>
      </c>
      <c r="AG535" s="383">
        <v>4</v>
      </c>
      <c r="AH535" s="373" t="s">
        <v>748</v>
      </c>
    </row>
    <row r="536" spans="1:34">
      <c r="A536" s="378" t="s">
        <v>471</v>
      </c>
      <c r="B536" s="371"/>
      <c r="C536" s="372" t="s">
        <v>60</v>
      </c>
      <c r="D536" s="372" t="s">
        <v>35</v>
      </c>
      <c r="E536" s="371">
        <v>550640</v>
      </c>
      <c r="F536" s="373" t="s">
        <v>314</v>
      </c>
      <c r="G536" s="373" t="s">
        <v>546</v>
      </c>
      <c r="H536" s="374" t="s">
        <v>37</v>
      </c>
      <c r="I536" s="375">
        <v>1713</v>
      </c>
      <c r="J536" s="375" t="str">
        <f t="shared" si="108"/>
        <v>Office</v>
      </c>
      <c r="K536" s="375">
        <v>1750</v>
      </c>
      <c r="L536" s="373" t="s">
        <v>68</v>
      </c>
      <c r="M536" s="378"/>
      <c r="N536" s="378"/>
      <c r="O536" s="377">
        <v>45195</v>
      </c>
      <c r="P536" s="378"/>
      <c r="Q536" s="378"/>
      <c r="R536" s="376">
        <v>0</v>
      </c>
      <c r="S536" s="376">
        <f t="shared" si="109"/>
        <v>0</v>
      </c>
      <c r="T536" s="378"/>
      <c r="U536" s="376">
        <v>94300</v>
      </c>
      <c r="V536" s="376">
        <f t="shared" si="110"/>
        <v>0</v>
      </c>
      <c r="W536" s="376">
        <v>98500</v>
      </c>
      <c r="X536" s="376">
        <f t="shared" si="111"/>
        <v>0</v>
      </c>
      <c r="Y536" s="379" t="e">
        <f t="shared" si="112"/>
        <v>#VALUE!</v>
      </c>
      <c r="Z536" s="376" t="s">
        <v>76</v>
      </c>
      <c r="AA536" s="380"/>
      <c r="AB536" s="381"/>
      <c r="AC536" s="374" t="s">
        <v>40</v>
      </c>
      <c r="AD536" s="373" t="s">
        <v>510</v>
      </c>
      <c r="AE536" s="388">
        <v>65</v>
      </c>
      <c r="AF536" s="373">
        <v>1</v>
      </c>
      <c r="AG536" s="383">
        <v>1</v>
      </c>
      <c r="AH536" s="378"/>
    </row>
    <row r="537" spans="1:34" ht="14.25" customHeight="1">
      <c r="B537" s="2"/>
      <c r="C537" s="11"/>
      <c r="D537" s="11" t="s">
        <v>35</v>
      </c>
      <c r="E537" s="2"/>
      <c r="J537" s="10"/>
      <c r="K537" s="10"/>
      <c r="U537" s="10"/>
      <c r="V537" s="10"/>
      <c r="W537" s="10"/>
      <c r="X537" s="10"/>
      <c r="Y537" s="10"/>
      <c r="Z537" s="10"/>
      <c r="AA537" s="61"/>
      <c r="AC537" s="14"/>
      <c r="AG537" s="300"/>
    </row>
    <row r="538" spans="1:34" ht="14.25" customHeight="1">
      <c r="B538" s="2"/>
      <c r="C538" s="11"/>
      <c r="D538" s="11" t="s">
        <v>35</v>
      </c>
      <c r="E538" s="2"/>
      <c r="G538" s="92" t="s">
        <v>749</v>
      </c>
      <c r="I538" s="18">
        <f>SUM(H528:H536)</f>
        <v>0</v>
      </c>
      <c r="J538" s="19"/>
      <c r="K538" s="19"/>
      <c r="R538" s="19">
        <f>SUM(Q528:Q536)</f>
        <v>139283</v>
      </c>
      <c r="S538" s="19"/>
      <c r="T538" s="19">
        <f>SUM(R526:R537)</f>
        <v>553618</v>
      </c>
      <c r="U538" s="19">
        <f>SUM(T528:T536)</f>
        <v>0</v>
      </c>
      <c r="V538" s="19"/>
      <c r="W538" s="19">
        <f>SUM(V528:V536)</f>
        <v>0</v>
      </c>
      <c r="X538" s="19"/>
      <c r="Y538" s="19"/>
      <c r="Z538" s="19"/>
      <c r="AA538" s="62"/>
      <c r="AB538" s="19">
        <v>16825000</v>
      </c>
      <c r="AC538" s="14"/>
      <c r="AF538" s="29"/>
      <c r="AG538" s="301"/>
      <c r="AH538" s="29"/>
    </row>
    <row r="539" spans="1:34" ht="14.25" customHeight="1">
      <c r="B539" s="2"/>
      <c r="C539" s="11"/>
      <c r="D539" s="11" t="s">
        <v>35</v>
      </c>
      <c r="E539" s="2"/>
      <c r="J539" s="10"/>
      <c r="K539" s="10"/>
      <c r="U539" s="10"/>
      <c r="V539" s="10"/>
      <c r="W539" s="10"/>
      <c r="X539" s="10"/>
      <c r="Y539" s="10"/>
      <c r="Z539" s="10"/>
      <c r="AA539" s="61"/>
      <c r="AB539" s="19"/>
      <c r="AC539" s="14"/>
      <c r="AG539" s="300"/>
    </row>
    <row r="540" spans="1:34" ht="14.25" customHeight="1">
      <c r="A540" t="s">
        <v>928</v>
      </c>
      <c r="B540" s="2"/>
      <c r="C540" s="11"/>
      <c r="D540" s="11" t="s">
        <v>35</v>
      </c>
      <c r="E540" s="2"/>
      <c r="H540" s="6" t="s">
        <v>321</v>
      </c>
      <c r="J540" s="10"/>
      <c r="K540" s="10"/>
      <c r="L540" s="32"/>
      <c r="V540" s="10"/>
      <c r="X540" s="10"/>
      <c r="Y540" s="10"/>
      <c r="Z540" s="10"/>
      <c r="AA540" s="61"/>
      <c r="AB540" s="19"/>
      <c r="AC540" s="14"/>
      <c r="AG540" s="300"/>
    </row>
    <row r="541" spans="1:34" ht="14.25" customHeight="1">
      <c r="B541" s="2"/>
      <c r="C541" s="11"/>
      <c r="D541" s="11" t="s">
        <v>35</v>
      </c>
      <c r="E541" s="2"/>
      <c r="H541" s="6"/>
      <c r="I541" s="24"/>
      <c r="J541" s="10"/>
      <c r="K541" s="10"/>
      <c r="U541" s="10"/>
      <c r="V541" s="10"/>
      <c r="W541" s="10"/>
      <c r="X541" s="10"/>
      <c r="Y541" s="10"/>
      <c r="Z541" s="10"/>
      <c r="AA541" s="61"/>
      <c r="AB541" s="19"/>
      <c r="AC541" s="14"/>
      <c r="AG541" s="300"/>
    </row>
    <row r="542" spans="1:34" ht="48">
      <c r="A542" s="370" t="s">
        <v>471</v>
      </c>
      <c r="B542" s="371"/>
      <c r="C542" s="372" t="s">
        <v>322</v>
      </c>
      <c r="D542" s="372" t="s">
        <v>35</v>
      </c>
      <c r="E542" s="371">
        <v>550630</v>
      </c>
      <c r="F542" s="373" t="s">
        <v>321</v>
      </c>
      <c r="G542" s="373" t="s">
        <v>104</v>
      </c>
      <c r="H542" s="374" t="s">
        <v>251</v>
      </c>
      <c r="I542" s="375">
        <v>927</v>
      </c>
      <c r="J542" s="375" t="str">
        <f>H542</f>
        <v>Storage</v>
      </c>
      <c r="K542" s="375">
        <v>1000</v>
      </c>
      <c r="L542" s="373" t="s">
        <v>252</v>
      </c>
      <c r="M542" s="377">
        <v>43184</v>
      </c>
      <c r="N542" s="377">
        <v>46836</v>
      </c>
      <c r="O542" s="378"/>
      <c r="P542" s="377">
        <v>45010</v>
      </c>
      <c r="Q542" s="378"/>
      <c r="R542" s="376">
        <v>13900</v>
      </c>
      <c r="S542" s="376">
        <f>Q542</f>
        <v>0</v>
      </c>
      <c r="T542" s="378"/>
      <c r="U542" s="376">
        <v>13900</v>
      </c>
      <c r="V542" s="376">
        <f>T542</f>
        <v>0</v>
      </c>
      <c r="W542" s="376">
        <v>13900</v>
      </c>
      <c r="X542" s="376">
        <f>V542</f>
        <v>0</v>
      </c>
      <c r="Y542" s="379" t="e">
        <f>T542/H542</f>
        <v>#VALUE!</v>
      </c>
      <c r="Z542" s="376" t="s">
        <v>69</v>
      </c>
      <c r="AA542" s="380"/>
      <c r="AB542" s="394"/>
      <c r="AC542" s="374" t="s">
        <v>40</v>
      </c>
      <c r="AD542" s="373" t="s">
        <v>202</v>
      </c>
      <c r="AE542" s="378"/>
      <c r="AF542" s="385"/>
      <c r="AG542" s="386"/>
      <c r="AH542" s="385"/>
    </row>
    <row r="543" spans="1:34" ht="14.25" customHeight="1">
      <c r="A543" s="378" t="s">
        <v>471</v>
      </c>
      <c r="B543" s="371"/>
      <c r="C543" s="372" t="s">
        <v>322</v>
      </c>
      <c r="D543" s="372" t="s">
        <v>35</v>
      </c>
      <c r="E543" s="371">
        <v>550630</v>
      </c>
      <c r="F543" s="373" t="s">
        <v>321</v>
      </c>
      <c r="G543" s="391" t="s">
        <v>750</v>
      </c>
      <c r="H543" s="374" t="s">
        <v>37</v>
      </c>
      <c r="I543" s="375">
        <v>1010</v>
      </c>
      <c r="J543" s="375" t="str">
        <f>H543</f>
        <v>Office</v>
      </c>
      <c r="K543" s="375">
        <v>1000</v>
      </c>
      <c r="L543" s="373" t="s">
        <v>68</v>
      </c>
      <c r="M543" s="378"/>
      <c r="N543" s="378"/>
      <c r="O543" s="377">
        <v>42794</v>
      </c>
      <c r="P543" s="378"/>
      <c r="Q543" s="378"/>
      <c r="R543" s="376">
        <v>0</v>
      </c>
      <c r="S543" s="376">
        <f>Q543</f>
        <v>0</v>
      </c>
      <c r="T543" s="378"/>
      <c r="U543" s="376">
        <v>55600</v>
      </c>
      <c r="V543" s="376">
        <f>T543</f>
        <v>0</v>
      </c>
      <c r="W543" s="376">
        <v>58100</v>
      </c>
      <c r="X543" s="376">
        <f>V543</f>
        <v>0</v>
      </c>
      <c r="Y543" s="379" t="e">
        <f>T543/H543</f>
        <v>#VALUE!</v>
      </c>
      <c r="Z543" s="376" t="s">
        <v>69</v>
      </c>
      <c r="AA543" s="380"/>
      <c r="AB543" s="394"/>
      <c r="AC543" s="374" t="s">
        <v>40</v>
      </c>
      <c r="AD543" s="373" t="s">
        <v>202</v>
      </c>
      <c r="AE543" s="378"/>
      <c r="AF543" s="385"/>
      <c r="AG543" s="386"/>
      <c r="AH543" s="385"/>
    </row>
    <row r="544" spans="1:34">
      <c r="A544" s="378" t="s">
        <v>471</v>
      </c>
      <c r="B544" s="371"/>
      <c r="C544" s="372" t="s">
        <v>322</v>
      </c>
      <c r="D544" s="372" t="s">
        <v>35</v>
      </c>
      <c r="E544" s="371">
        <v>550630</v>
      </c>
      <c r="F544" s="373" t="s">
        <v>321</v>
      </c>
      <c r="G544" s="373" t="s">
        <v>494</v>
      </c>
      <c r="H544" s="374" t="s">
        <v>37</v>
      </c>
      <c r="I544" s="375">
        <v>971</v>
      </c>
      <c r="J544" s="375" t="str">
        <f>H544</f>
        <v>Office</v>
      </c>
      <c r="K544" s="375">
        <v>1000</v>
      </c>
      <c r="L544" s="373" t="s">
        <v>68</v>
      </c>
      <c r="M544" s="378"/>
      <c r="N544" s="378"/>
      <c r="O544" s="377">
        <v>44071</v>
      </c>
      <c r="P544" s="378"/>
      <c r="Q544" s="378"/>
      <c r="R544" s="376">
        <v>0</v>
      </c>
      <c r="S544" s="376">
        <f>Q544</f>
        <v>0</v>
      </c>
      <c r="T544" s="378"/>
      <c r="U544" s="376">
        <v>53400</v>
      </c>
      <c r="V544" s="376">
        <f>T544</f>
        <v>0</v>
      </c>
      <c r="W544" s="376">
        <v>55800</v>
      </c>
      <c r="X544" s="376">
        <f>V544</f>
        <v>0</v>
      </c>
      <c r="Y544" s="379" t="e">
        <f>T544/H544</f>
        <v>#VALUE!</v>
      </c>
      <c r="Z544" s="376" t="s">
        <v>69</v>
      </c>
      <c r="AA544" s="380"/>
      <c r="AB544" s="394"/>
      <c r="AC544" s="374" t="s">
        <v>40</v>
      </c>
      <c r="AD544" s="373" t="s">
        <v>202</v>
      </c>
      <c r="AE544" s="378"/>
      <c r="AF544" s="385"/>
      <c r="AG544" s="386"/>
      <c r="AH544" s="385"/>
    </row>
    <row r="545" spans="1:34" ht="14.25" customHeight="1">
      <c r="A545" s="378" t="s">
        <v>471</v>
      </c>
      <c r="B545" s="371"/>
      <c r="C545" s="372" t="s">
        <v>322</v>
      </c>
      <c r="D545" s="372" t="s">
        <v>35</v>
      </c>
      <c r="E545" s="371">
        <v>550630</v>
      </c>
      <c r="F545" s="373" t="s">
        <v>321</v>
      </c>
      <c r="G545" s="373" t="s">
        <v>497</v>
      </c>
      <c r="H545" s="374" t="s">
        <v>37</v>
      </c>
      <c r="I545" s="375">
        <v>1000</v>
      </c>
      <c r="J545" s="375" t="str">
        <f>H545</f>
        <v>Office</v>
      </c>
      <c r="K545" s="375">
        <v>1000</v>
      </c>
      <c r="L545" s="373" t="s">
        <v>68</v>
      </c>
      <c r="M545" s="378"/>
      <c r="N545" s="378"/>
      <c r="O545" s="377">
        <v>43261</v>
      </c>
      <c r="P545" s="378"/>
      <c r="Q545" s="378"/>
      <c r="R545" s="376">
        <v>0</v>
      </c>
      <c r="S545" s="376">
        <f>Q545</f>
        <v>0</v>
      </c>
      <c r="T545" s="378"/>
      <c r="U545" s="376">
        <v>52500</v>
      </c>
      <c r="V545" s="376">
        <f>T545</f>
        <v>0</v>
      </c>
      <c r="W545" s="376">
        <v>55000</v>
      </c>
      <c r="X545" s="376">
        <f>V545</f>
        <v>0</v>
      </c>
      <c r="Y545" s="379" t="e">
        <f>T545/H545</f>
        <v>#VALUE!</v>
      </c>
      <c r="Z545" s="376" t="s">
        <v>69</v>
      </c>
      <c r="AA545" s="380"/>
      <c r="AB545" s="394"/>
      <c r="AC545" s="374" t="s">
        <v>40</v>
      </c>
      <c r="AD545" s="373" t="s">
        <v>202</v>
      </c>
      <c r="AE545" s="378"/>
      <c r="AF545" s="385"/>
      <c r="AG545" s="386"/>
      <c r="AH545" s="385"/>
    </row>
    <row r="546" spans="1:34" ht="14.25" customHeight="1">
      <c r="B546" s="2"/>
      <c r="C546" s="11"/>
      <c r="D546" s="11" t="s">
        <v>35</v>
      </c>
      <c r="E546" s="2"/>
      <c r="J546" s="10"/>
      <c r="K546" s="10"/>
      <c r="U546" s="10"/>
      <c r="V546" s="10"/>
      <c r="W546" s="10"/>
      <c r="X546" s="10"/>
      <c r="Y546" s="10"/>
      <c r="Z546" s="10"/>
      <c r="AA546" s="61"/>
      <c r="AB546" s="19"/>
      <c r="AC546" s="14"/>
      <c r="AG546" s="300"/>
    </row>
    <row r="547" spans="1:34" ht="14.25" customHeight="1">
      <c r="B547" s="2"/>
      <c r="C547" s="11"/>
      <c r="D547" s="11" t="s">
        <v>35</v>
      </c>
      <c r="E547" s="2"/>
      <c r="G547" s="92" t="s">
        <v>751</v>
      </c>
      <c r="I547" s="18">
        <f>SUM(H542:H545)</f>
        <v>0</v>
      </c>
      <c r="J547" s="19"/>
      <c r="K547" s="19"/>
      <c r="R547" s="19">
        <f>SUM(Q542:Q545)</f>
        <v>0</v>
      </c>
      <c r="S547" s="19"/>
      <c r="T547" s="19">
        <f>SUM(R541:R546)</f>
        <v>13900</v>
      </c>
      <c r="U547" s="19">
        <f>SUM(T542:T545)</f>
        <v>0</v>
      </c>
      <c r="V547" s="19"/>
      <c r="W547" s="19">
        <f>SUM(V542:V545)</f>
        <v>0</v>
      </c>
      <c r="X547" s="19"/>
      <c r="Y547" s="19"/>
      <c r="Z547" s="19"/>
      <c r="AA547" s="62"/>
      <c r="AB547" s="19">
        <v>1975000</v>
      </c>
      <c r="AC547" s="14"/>
      <c r="AG547" s="300"/>
    </row>
    <row r="548" spans="1:34" ht="14.25" customHeight="1">
      <c r="B548" s="2"/>
      <c r="C548" s="11"/>
      <c r="D548" s="11" t="s">
        <v>35</v>
      </c>
      <c r="E548" s="2"/>
      <c r="I548" s="18"/>
      <c r="J548" s="19"/>
      <c r="K548" s="19"/>
      <c r="R548" s="19"/>
      <c r="S548" s="19"/>
      <c r="T548" s="19"/>
      <c r="U548" s="19"/>
      <c r="V548" s="19"/>
      <c r="W548" s="19"/>
      <c r="X548" s="19"/>
      <c r="Y548" s="19"/>
      <c r="Z548" s="19"/>
      <c r="AA548" s="62"/>
      <c r="AB548" s="54"/>
      <c r="AC548" s="14"/>
      <c r="AG548" s="300"/>
    </row>
    <row r="549" spans="1:34" ht="14.25" customHeight="1">
      <c r="A549" t="s">
        <v>928</v>
      </c>
      <c r="B549" s="2"/>
      <c r="C549" s="11"/>
      <c r="D549" s="11" t="s">
        <v>35</v>
      </c>
      <c r="E549" s="2"/>
      <c r="H549" s="6" t="s">
        <v>323</v>
      </c>
      <c r="J549" s="10"/>
      <c r="K549" s="10"/>
      <c r="L549" s="32"/>
      <c r="V549" s="10"/>
      <c r="X549" s="10"/>
      <c r="Y549" s="10"/>
      <c r="Z549" s="10"/>
      <c r="AA549" s="61"/>
      <c r="AC549" s="14"/>
      <c r="AG549" s="300"/>
    </row>
    <row r="550" spans="1:34" ht="14.25" customHeight="1">
      <c r="B550" s="2"/>
      <c r="C550" s="11"/>
      <c r="D550" s="11" t="s">
        <v>35</v>
      </c>
      <c r="E550" s="2"/>
      <c r="H550" s="6"/>
      <c r="J550" s="10"/>
      <c r="K550" s="10"/>
      <c r="L550" s="32"/>
      <c r="V550" s="10"/>
      <c r="X550" s="10"/>
      <c r="Y550" s="10"/>
      <c r="Z550" s="10"/>
      <c r="AA550" s="61"/>
      <c r="AC550" s="14"/>
    </row>
    <row r="551" spans="1:34" ht="23.25" customHeight="1">
      <c r="A551" s="370" t="s">
        <v>471</v>
      </c>
      <c r="B551" s="371"/>
      <c r="C551" s="372" t="s">
        <v>322</v>
      </c>
      <c r="D551" s="372" t="s">
        <v>35</v>
      </c>
      <c r="E551" s="371">
        <v>550690</v>
      </c>
      <c r="F551" s="373" t="s">
        <v>323</v>
      </c>
      <c r="G551" s="373" t="s">
        <v>324</v>
      </c>
      <c r="H551" s="374" t="s">
        <v>325</v>
      </c>
      <c r="I551" s="375">
        <v>1519</v>
      </c>
      <c r="J551" s="375" t="str">
        <f t="shared" ref="J551:J563" si="113">H551</f>
        <v>Educational</v>
      </c>
      <c r="K551" s="375">
        <v>1500</v>
      </c>
      <c r="L551" s="373" t="s">
        <v>68</v>
      </c>
      <c r="M551" s="378"/>
      <c r="N551" s="378"/>
      <c r="O551" s="377">
        <v>44103</v>
      </c>
      <c r="P551" s="378"/>
      <c r="Q551" s="378"/>
      <c r="R551" s="376">
        <v>0</v>
      </c>
      <c r="S551" s="376">
        <f t="shared" ref="S551:S563" si="114">Q551</f>
        <v>0</v>
      </c>
      <c r="T551" s="378"/>
      <c r="U551" s="376">
        <v>53600</v>
      </c>
      <c r="V551" s="376">
        <f t="shared" ref="V551:V563" si="115">T551</f>
        <v>0</v>
      </c>
      <c r="W551" s="376">
        <v>54700</v>
      </c>
      <c r="X551" s="376">
        <f t="shared" ref="X551:X563" si="116">V551</f>
        <v>0</v>
      </c>
      <c r="Y551" s="379" t="e">
        <f t="shared" ref="Y551:Y563" si="117">T551/H551</f>
        <v>#VALUE!</v>
      </c>
      <c r="Z551" s="376" t="s">
        <v>76</v>
      </c>
      <c r="AA551" s="380" t="s">
        <v>25</v>
      </c>
      <c r="AB551" s="381"/>
      <c r="AC551" s="374" t="s">
        <v>40</v>
      </c>
      <c r="AD551" s="385" t="s">
        <v>326</v>
      </c>
      <c r="AE551" s="378"/>
      <c r="AF551" s="373">
        <v>1</v>
      </c>
      <c r="AG551" s="383">
        <v>4</v>
      </c>
      <c r="AH551" s="373" t="s">
        <v>160</v>
      </c>
    </row>
    <row r="552" spans="1:34" ht="24">
      <c r="A552" s="378" t="s">
        <v>471</v>
      </c>
      <c r="B552" s="371"/>
      <c r="C552" s="372" t="s">
        <v>322</v>
      </c>
      <c r="D552" s="372" t="s">
        <v>35</v>
      </c>
      <c r="E552" s="371">
        <v>550690</v>
      </c>
      <c r="F552" s="373" t="s">
        <v>323</v>
      </c>
      <c r="G552" s="373" t="s">
        <v>327</v>
      </c>
      <c r="H552" s="374" t="s">
        <v>37</v>
      </c>
      <c r="I552" s="375">
        <v>1525</v>
      </c>
      <c r="J552" s="375" t="str">
        <f t="shared" si="113"/>
        <v>Office</v>
      </c>
      <c r="K552" s="375">
        <v>1500</v>
      </c>
      <c r="L552" s="373" t="s">
        <v>68</v>
      </c>
      <c r="M552" s="378"/>
      <c r="N552" s="378"/>
      <c r="O552" s="377">
        <v>45297</v>
      </c>
      <c r="P552" s="378"/>
      <c r="Q552" s="378"/>
      <c r="R552" s="376">
        <v>0</v>
      </c>
      <c r="S552" s="376">
        <f t="shared" si="114"/>
        <v>0</v>
      </c>
      <c r="T552" s="378"/>
      <c r="U552" s="376">
        <v>90600</v>
      </c>
      <c r="V552" s="376">
        <f t="shared" si="115"/>
        <v>0</v>
      </c>
      <c r="W552" s="376">
        <v>91500</v>
      </c>
      <c r="X552" s="376">
        <f t="shared" si="116"/>
        <v>0</v>
      </c>
      <c r="Y552" s="379" t="e">
        <f t="shared" si="117"/>
        <v>#VALUE!</v>
      </c>
      <c r="Z552" s="376" t="s">
        <v>76</v>
      </c>
      <c r="AA552" s="380"/>
      <c r="AB552" s="381"/>
      <c r="AC552" s="374" t="s">
        <v>40</v>
      </c>
      <c r="AD552" s="373" t="s">
        <v>326</v>
      </c>
      <c r="AE552" s="378"/>
      <c r="AF552" s="378"/>
      <c r="AG552" s="383"/>
      <c r="AH552" s="378"/>
    </row>
    <row r="553" spans="1:34" ht="28.5" customHeight="1">
      <c r="A553" s="378" t="s">
        <v>471</v>
      </c>
      <c r="B553" s="371"/>
      <c r="C553" s="372" t="s">
        <v>322</v>
      </c>
      <c r="D553" s="372" t="s">
        <v>35</v>
      </c>
      <c r="E553" s="371">
        <v>550690</v>
      </c>
      <c r="F553" s="373" t="s">
        <v>323</v>
      </c>
      <c r="G553" s="373" t="s">
        <v>328</v>
      </c>
      <c r="H553" s="374" t="s">
        <v>120</v>
      </c>
      <c r="I553" s="375">
        <v>1989</v>
      </c>
      <c r="J553" s="375" t="str">
        <f t="shared" si="113"/>
        <v>Showroom</v>
      </c>
      <c r="K553" s="375">
        <v>2000</v>
      </c>
      <c r="L553" s="373" t="s">
        <v>329</v>
      </c>
      <c r="M553" s="384">
        <v>42874</v>
      </c>
      <c r="N553" s="377">
        <v>46525</v>
      </c>
      <c r="O553" s="378"/>
      <c r="P553" s="377">
        <v>44700</v>
      </c>
      <c r="Q553" s="378"/>
      <c r="R553" s="376">
        <v>82575</v>
      </c>
      <c r="S553" s="376">
        <f t="shared" si="114"/>
        <v>0</v>
      </c>
      <c r="T553" s="378"/>
      <c r="U553" s="376">
        <v>75000</v>
      </c>
      <c r="V553" s="376">
        <f t="shared" si="115"/>
        <v>0</v>
      </c>
      <c r="W553" s="376">
        <v>87300</v>
      </c>
      <c r="X553" s="376">
        <f t="shared" si="116"/>
        <v>0</v>
      </c>
      <c r="Y553" s="379" t="e">
        <f t="shared" si="117"/>
        <v>#VALUE!</v>
      </c>
      <c r="Z553" s="376" t="s">
        <v>39</v>
      </c>
      <c r="AA553" s="380"/>
      <c r="AB553" s="381"/>
      <c r="AC553" s="374" t="s">
        <v>40</v>
      </c>
      <c r="AD553" s="378"/>
      <c r="AE553" s="378"/>
      <c r="AF553" s="378"/>
      <c r="AG553" s="383"/>
      <c r="AH553" s="378"/>
    </row>
    <row r="554" spans="1:34" ht="22.5" customHeight="1">
      <c r="A554" s="378" t="s">
        <v>471</v>
      </c>
      <c r="B554" s="371"/>
      <c r="C554" s="372" t="s">
        <v>322</v>
      </c>
      <c r="D554" s="372" t="s">
        <v>35</v>
      </c>
      <c r="E554" s="371">
        <v>550690</v>
      </c>
      <c r="F554" s="373" t="s">
        <v>323</v>
      </c>
      <c r="G554" s="373" t="s">
        <v>330</v>
      </c>
      <c r="H554" s="374" t="s">
        <v>175</v>
      </c>
      <c r="I554" s="375">
        <v>1143</v>
      </c>
      <c r="J554" s="375" t="str">
        <f t="shared" si="113"/>
        <v>Showroom/ Office</v>
      </c>
      <c r="K554" s="375">
        <v>1000</v>
      </c>
      <c r="L554" s="373" t="s">
        <v>68</v>
      </c>
      <c r="M554" s="378"/>
      <c r="N554" s="378"/>
      <c r="O554" s="377">
        <v>44293</v>
      </c>
      <c r="P554" s="378"/>
      <c r="Q554" s="378"/>
      <c r="R554" s="376">
        <v>0</v>
      </c>
      <c r="S554" s="376">
        <f t="shared" si="114"/>
        <v>0</v>
      </c>
      <c r="T554" s="378"/>
      <c r="U554" s="376">
        <v>73600</v>
      </c>
      <c r="V554" s="376">
        <f t="shared" si="115"/>
        <v>0</v>
      </c>
      <c r="W554" s="376">
        <v>74300</v>
      </c>
      <c r="X554" s="376">
        <f t="shared" si="116"/>
        <v>0</v>
      </c>
      <c r="Y554" s="379" t="e">
        <f t="shared" si="117"/>
        <v>#VALUE!</v>
      </c>
      <c r="Z554" s="376" t="s">
        <v>69</v>
      </c>
      <c r="AA554" s="380"/>
      <c r="AB554" s="381"/>
      <c r="AC554" s="374" t="s">
        <v>40</v>
      </c>
      <c r="AD554" s="373" t="s">
        <v>202</v>
      </c>
      <c r="AE554" s="378"/>
      <c r="AF554" s="385"/>
      <c r="AG554" s="386"/>
      <c r="AH554" s="385"/>
    </row>
    <row r="555" spans="1:34" ht="24">
      <c r="A555" s="378" t="s">
        <v>471</v>
      </c>
      <c r="B555" s="371"/>
      <c r="C555" s="372" t="s">
        <v>322</v>
      </c>
      <c r="D555" s="372" t="s">
        <v>35</v>
      </c>
      <c r="E555" s="371">
        <v>550690</v>
      </c>
      <c r="F555" s="373" t="s">
        <v>323</v>
      </c>
      <c r="G555" s="391" t="s">
        <v>513</v>
      </c>
      <c r="H555" s="374" t="s">
        <v>37</v>
      </c>
      <c r="I555" s="375">
        <v>805</v>
      </c>
      <c r="J555" s="375" t="str">
        <f t="shared" si="113"/>
        <v>Office</v>
      </c>
      <c r="K555" s="375">
        <v>1000</v>
      </c>
      <c r="L555" s="373" t="s">
        <v>68</v>
      </c>
      <c r="M555" s="378"/>
      <c r="N555" s="378"/>
      <c r="O555" s="377">
        <v>44336</v>
      </c>
      <c r="P555" s="378"/>
      <c r="Q555" s="378"/>
      <c r="R555" s="376">
        <v>0</v>
      </c>
      <c r="S555" s="376">
        <f t="shared" si="114"/>
        <v>0</v>
      </c>
      <c r="T555" s="378"/>
      <c r="U555" s="376">
        <v>45600</v>
      </c>
      <c r="V555" s="376">
        <f t="shared" si="115"/>
        <v>0</v>
      </c>
      <c r="W555" s="376">
        <v>52300</v>
      </c>
      <c r="X555" s="376">
        <f t="shared" si="116"/>
        <v>0</v>
      </c>
      <c r="Y555" s="379" t="e">
        <f t="shared" si="117"/>
        <v>#VALUE!</v>
      </c>
      <c r="Z555" s="376" t="s">
        <v>69</v>
      </c>
      <c r="AA555" s="380"/>
      <c r="AB555" s="381"/>
      <c r="AC555" s="374" t="s">
        <v>40</v>
      </c>
      <c r="AD555" s="373" t="s">
        <v>202</v>
      </c>
      <c r="AE555" s="378"/>
      <c r="AF555" s="385"/>
      <c r="AG555" s="386"/>
      <c r="AH555" s="385"/>
    </row>
    <row r="556" spans="1:34" ht="28.5" customHeight="1">
      <c r="A556" s="378" t="s">
        <v>471</v>
      </c>
      <c r="B556" s="371"/>
      <c r="C556" s="372" t="s">
        <v>322</v>
      </c>
      <c r="D556" s="372" t="s">
        <v>35</v>
      </c>
      <c r="E556" s="371">
        <v>550690</v>
      </c>
      <c r="F556" s="373" t="s">
        <v>323</v>
      </c>
      <c r="G556" s="373" t="s">
        <v>518</v>
      </c>
      <c r="H556" s="374" t="s">
        <v>37</v>
      </c>
      <c r="I556" s="375">
        <v>1171</v>
      </c>
      <c r="J556" s="375" t="str">
        <f t="shared" si="113"/>
        <v>Office</v>
      </c>
      <c r="K556" s="375">
        <v>1000</v>
      </c>
      <c r="L556" s="373" t="s">
        <v>68</v>
      </c>
      <c r="M556" s="378"/>
      <c r="N556" s="407"/>
      <c r="O556" s="407">
        <v>44049</v>
      </c>
      <c r="P556" s="378"/>
      <c r="Q556" s="378"/>
      <c r="R556" s="376">
        <v>0</v>
      </c>
      <c r="S556" s="376">
        <f t="shared" si="114"/>
        <v>0</v>
      </c>
      <c r="T556" s="378"/>
      <c r="U556" s="376">
        <v>72300</v>
      </c>
      <c r="V556" s="376">
        <f t="shared" si="115"/>
        <v>0</v>
      </c>
      <c r="W556" s="376">
        <v>76100</v>
      </c>
      <c r="X556" s="376">
        <f t="shared" si="116"/>
        <v>0</v>
      </c>
      <c r="Y556" s="379" t="e">
        <f t="shared" si="117"/>
        <v>#VALUE!</v>
      </c>
      <c r="Z556" s="376" t="s">
        <v>69</v>
      </c>
      <c r="AA556" s="380"/>
      <c r="AB556" s="381"/>
      <c r="AC556" s="374" t="s">
        <v>40</v>
      </c>
      <c r="AD556" s="373" t="s">
        <v>202</v>
      </c>
      <c r="AE556" s="378"/>
      <c r="AF556" s="385"/>
      <c r="AG556" s="386"/>
      <c r="AH556" s="385"/>
    </row>
    <row r="557" spans="1:34" ht="25.5" customHeight="1">
      <c r="A557" s="378" t="s">
        <v>471</v>
      </c>
      <c r="B557" s="371"/>
      <c r="C557" s="372" t="s">
        <v>322</v>
      </c>
      <c r="D557" s="372" t="s">
        <v>35</v>
      </c>
      <c r="E557" s="371">
        <v>550690</v>
      </c>
      <c r="F557" s="373" t="s">
        <v>323</v>
      </c>
      <c r="G557" s="373" t="s">
        <v>520</v>
      </c>
      <c r="H557" s="374" t="s">
        <v>37</v>
      </c>
      <c r="I557" s="375">
        <v>793</v>
      </c>
      <c r="J557" s="375" t="str">
        <f t="shared" si="113"/>
        <v>Office</v>
      </c>
      <c r="K557" s="375">
        <v>750</v>
      </c>
      <c r="L557" s="373" t="s">
        <v>68</v>
      </c>
      <c r="M557" s="378"/>
      <c r="N557" s="407"/>
      <c r="O557" s="407">
        <v>44805</v>
      </c>
      <c r="P557" s="378"/>
      <c r="Q557" s="378"/>
      <c r="R557" s="376">
        <v>0</v>
      </c>
      <c r="S557" s="376">
        <f t="shared" si="114"/>
        <v>0</v>
      </c>
      <c r="T557" s="378"/>
      <c r="U557" s="376">
        <v>46300</v>
      </c>
      <c r="V557" s="376">
        <f t="shared" si="115"/>
        <v>0</v>
      </c>
      <c r="W557" s="376">
        <v>51500</v>
      </c>
      <c r="X557" s="376">
        <f t="shared" si="116"/>
        <v>0</v>
      </c>
      <c r="Y557" s="379" t="e">
        <f t="shared" si="117"/>
        <v>#VALUE!</v>
      </c>
      <c r="Z557" s="376" t="s">
        <v>69</v>
      </c>
      <c r="AA557" s="380"/>
      <c r="AB557" s="381"/>
      <c r="AC557" s="374" t="s">
        <v>40</v>
      </c>
      <c r="AD557" s="373" t="s">
        <v>202</v>
      </c>
      <c r="AE557" s="378"/>
      <c r="AF557" s="385"/>
      <c r="AG557" s="386"/>
      <c r="AH557" s="385"/>
    </row>
    <row r="558" spans="1:34" ht="16.5" customHeight="1">
      <c r="A558" s="378" t="s">
        <v>471</v>
      </c>
      <c r="B558" s="371"/>
      <c r="C558" s="372" t="s">
        <v>322</v>
      </c>
      <c r="D558" s="372" t="s">
        <v>35</v>
      </c>
      <c r="E558" s="371">
        <v>550690</v>
      </c>
      <c r="F558" s="373" t="s">
        <v>323</v>
      </c>
      <c r="G558" s="373" t="s">
        <v>720</v>
      </c>
      <c r="H558" s="374" t="s">
        <v>37</v>
      </c>
      <c r="I558" s="375">
        <v>1030</v>
      </c>
      <c r="J558" s="375" t="str">
        <f t="shared" si="113"/>
        <v>Office</v>
      </c>
      <c r="K558" s="375">
        <v>1000</v>
      </c>
      <c r="L558" s="373" t="s">
        <v>68</v>
      </c>
      <c r="M558" s="378"/>
      <c r="N558" s="378"/>
      <c r="O558" s="377">
        <v>43914</v>
      </c>
      <c r="P558" s="378"/>
      <c r="Q558" s="378"/>
      <c r="R558" s="376">
        <v>0</v>
      </c>
      <c r="S558" s="376">
        <f t="shared" si="114"/>
        <v>0</v>
      </c>
      <c r="T558" s="378"/>
      <c r="U558" s="376">
        <v>63800</v>
      </c>
      <c r="V558" s="376">
        <f t="shared" si="115"/>
        <v>0</v>
      </c>
      <c r="W558" s="376">
        <v>67000</v>
      </c>
      <c r="X558" s="376">
        <f t="shared" si="116"/>
        <v>0</v>
      </c>
      <c r="Y558" s="379" t="e">
        <f t="shared" si="117"/>
        <v>#VALUE!</v>
      </c>
      <c r="Z558" s="376" t="s">
        <v>69</v>
      </c>
      <c r="AA558" s="380"/>
      <c r="AB558" s="381"/>
      <c r="AC558" s="374" t="s">
        <v>40</v>
      </c>
      <c r="AD558" s="373" t="s">
        <v>202</v>
      </c>
      <c r="AE558" s="378"/>
      <c r="AF558" s="385"/>
      <c r="AG558" s="386"/>
      <c r="AH558" s="385"/>
    </row>
    <row r="559" spans="1:34" ht="24">
      <c r="A559" s="378" t="s">
        <v>471</v>
      </c>
      <c r="B559" s="371"/>
      <c r="C559" s="372" t="s">
        <v>322</v>
      </c>
      <c r="D559" s="372" t="s">
        <v>35</v>
      </c>
      <c r="E559" s="371">
        <v>550690</v>
      </c>
      <c r="F559" s="373" t="s">
        <v>323</v>
      </c>
      <c r="G559" s="373" t="s">
        <v>522</v>
      </c>
      <c r="H559" s="374" t="s">
        <v>37</v>
      </c>
      <c r="I559" s="375">
        <v>731</v>
      </c>
      <c r="J559" s="375" t="str">
        <f t="shared" si="113"/>
        <v>Office</v>
      </c>
      <c r="K559" s="375">
        <v>750</v>
      </c>
      <c r="L559" s="373" t="s">
        <v>68</v>
      </c>
      <c r="M559" s="378"/>
      <c r="N559" s="378"/>
      <c r="O559" s="377">
        <v>44321</v>
      </c>
      <c r="P559" s="378"/>
      <c r="Q559" s="378"/>
      <c r="R559" s="376">
        <v>0</v>
      </c>
      <c r="S559" s="376">
        <f t="shared" si="114"/>
        <v>0</v>
      </c>
      <c r="T559" s="378"/>
      <c r="U559" s="376">
        <v>46100</v>
      </c>
      <c r="V559" s="376">
        <f t="shared" si="115"/>
        <v>0</v>
      </c>
      <c r="W559" s="376">
        <v>47500</v>
      </c>
      <c r="X559" s="376">
        <f t="shared" si="116"/>
        <v>0</v>
      </c>
      <c r="Y559" s="379" t="e">
        <f t="shared" si="117"/>
        <v>#VALUE!</v>
      </c>
      <c r="Z559" s="376" t="s">
        <v>69</v>
      </c>
      <c r="AA559" s="380"/>
      <c r="AB559" s="381"/>
      <c r="AC559" s="374" t="s">
        <v>40</v>
      </c>
      <c r="AD559" s="373" t="s">
        <v>202</v>
      </c>
      <c r="AE559" s="378"/>
      <c r="AF559" s="385"/>
      <c r="AG559" s="386"/>
      <c r="AH559" s="385"/>
    </row>
    <row r="560" spans="1:34" ht="14.25" customHeight="1">
      <c r="A560" s="378" t="s">
        <v>471</v>
      </c>
      <c r="B560" s="371"/>
      <c r="C560" s="372" t="s">
        <v>322</v>
      </c>
      <c r="D560" s="372" t="s">
        <v>35</v>
      </c>
      <c r="E560" s="371">
        <v>550690</v>
      </c>
      <c r="F560" s="373" t="s">
        <v>323</v>
      </c>
      <c r="G560" s="373" t="s">
        <v>529</v>
      </c>
      <c r="H560" s="374" t="s">
        <v>37</v>
      </c>
      <c r="I560" s="375">
        <v>949</v>
      </c>
      <c r="J560" s="375" t="str">
        <f t="shared" si="113"/>
        <v>Office</v>
      </c>
      <c r="K560" s="375">
        <v>1000</v>
      </c>
      <c r="L560" s="373" t="s">
        <v>68</v>
      </c>
      <c r="M560" s="378"/>
      <c r="N560" s="378"/>
      <c r="O560" s="377">
        <v>42550</v>
      </c>
      <c r="P560" s="378"/>
      <c r="Q560" s="378"/>
      <c r="R560" s="376">
        <v>0</v>
      </c>
      <c r="S560" s="376">
        <f t="shared" si="114"/>
        <v>0</v>
      </c>
      <c r="T560" s="378"/>
      <c r="U560" s="376">
        <v>55600</v>
      </c>
      <c r="V560" s="376">
        <f t="shared" si="115"/>
        <v>0</v>
      </c>
      <c r="W560" s="376">
        <v>59300</v>
      </c>
      <c r="X560" s="376">
        <f t="shared" si="116"/>
        <v>0</v>
      </c>
      <c r="Y560" s="379" t="e">
        <f t="shared" si="117"/>
        <v>#VALUE!</v>
      </c>
      <c r="Z560" s="376" t="s">
        <v>69</v>
      </c>
      <c r="AA560" s="380"/>
      <c r="AB560" s="381"/>
      <c r="AC560" s="374" t="s">
        <v>40</v>
      </c>
      <c r="AD560" s="373" t="s">
        <v>202</v>
      </c>
      <c r="AE560" s="378"/>
      <c r="AF560" s="385"/>
      <c r="AG560" s="386"/>
      <c r="AH560" s="385"/>
    </row>
    <row r="561" spans="1:34" ht="28.5" customHeight="1">
      <c r="A561" s="378" t="s">
        <v>471</v>
      </c>
      <c r="B561" s="371"/>
      <c r="C561" s="372" t="s">
        <v>322</v>
      </c>
      <c r="D561" s="372" t="s">
        <v>35</v>
      </c>
      <c r="E561" s="371">
        <v>550690</v>
      </c>
      <c r="F561" s="373" t="s">
        <v>323</v>
      </c>
      <c r="G561" s="373" t="s">
        <v>527</v>
      </c>
      <c r="H561" s="374" t="s">
        <v>37</v>
      </c>
      <c r="I561" s="375">
        <v>601</v>
      </c>
      <c r="J561" s="375" t="str">
        <f t="shared" si="113"/>
        <v>Office</v>
      </c>
      <c r="K561" s="375">
        <v>500</v>
      </c>
      <c r="L561" s="373" t="s">
        <v>68</v>
      </c>
      <c r="M561" s="378"/>
      <c r="N561" s="407"/>
      <c r="O561" s="407">
        <v>44027</v>
      </c>
      <c r="P561" s="378"/>
      <c r="Q561" s="378"/>
      <c r="R561" s="376">
        <v>0</v>
      </c>
      <c r="S561" s="376">
        <f t="shared" si="114"/>
        <v>0</v>
      </c>
      <c r="T561" s="378"/>
      <c r="U561" s="376">
        <v>36800</v>
      </c>
      <c r="V561" s="376">
        <f t="shared" si="115"/>
        <v>0</v>
      </c>
      <c r="W561" s="376">
        <v>37600</v>
      </c>
      <c r="X561" s="376">
        <f t="shared" si="116"/>
        <v>0</v>
      </c>
      <c r="Y561" s="379" t="e">
        <f t="shared" si="117"/>
        <v>#VALUE!</v>
      </c>
      <c r="Z561" s="376" t="s">
        <v>69</v>
      </c>
      <c r="AA561" s="380"/>
      <c r="AB561" s="381"/>
      <c r="AC561" s="374" t="s">
        <v>40</v>
      </c>
      <c r="AD561" s="373" t="s">
        <v>202</v>
      </c>
      <c r="AE561" s="378"/>
      <c r="AF561" s="385"/>
      <c r="AG561" s="386"/>
      <c r="AH561" s="385"/>
    </row>
    <row r="562" spans="1:34" ht="14.25" customHeight="1">
      <c r="A562" s="378" t="s">
        <v>471</v>
      </c>
      <c r="B562" s="371"/>
      <c r="C562" s="372" t="s">
        <v>322</v>
      </c>
      <c r="D562" s="372" t="s">
        <v>35</v>
      </c>
      <c r="E562" s="371">
        <v>550690</v>
      </c>
      <c r="F562" s="373" t="s">
        <v>323</v>
      </c>
      <c r="G562" s="373" t="s">
        <v>530</v>
      </c>
      <c r="H562" s="374" t="s">
        <v>37</v>
      </c>
      <c r="I562" s="375">
        <v>730</v>
      </c>
      <c r="J562" s="375" t="str">
        <f t="shared" si="113"/>
        <v>Office</v>
      </c>
      <c r="K562" s="375">
        <v>750</v>
      </c>
      <c r="L562" s="373" t="s">
        <v>68</v>
      </c>
      <c r="M562" s="378"/>
      <c r="N562" s="378"/>
      <c r="O562" s="377">
        <v>42723</v>
      </c>
      <c r="P562" s="378"/>
      <c r="Q562" s="378"/>
      <c r="R562" s="376">
        <v>0</v>
      </c>
      <c r="S562" s="376">
        <f t="shared" si="114"/>
        <v>0</v>
      </c>
      <c r="T562" s="378"/>
      <c r="U562" s="376">
        <v>44700</v>
      </c>
      <c r="V562" s="376">
        <f t="shared" si="115"/>
        <v>0</v>
      </c>
      <c r="W562" s="376">
        <v>45600</v>
      </c>
      <c r="X562" s="376">
        <f t="shared" si="116"/>
        <v>0</v>
      </c>
      <c r="Y562" s="379" t="e">
        <f t="shared" si="117"/>
        <v>#VALUE!</v>
      </c>
      <c r="Z562" s="376" t="s">
        <v>69</v>
      </c>
      <c r="AA562" s="380"/>
      <c r="AB562" s="381"/>
      <c r="AC562" s="374" t="s">
        <v>40</v>
      </c>
      <c r="AD562" s="373" t="s">
        <v>202</v>
      </c>
      <c r="AE562" s="378"/>
      <c r="AF562" s="385"/>
      <c r="AG562" s="386"/>
      <c r="AH562" s="385"/>
    </row>
    <row r="563" spans="1:34" ht="14.25" customHeight="1">
      <c r="A563" s="378" t="s">
        <v>471</v>
      </c>
      <c r="B563" s="371"/>
      <c r="C563" s="372" t="s">
        <v>322</v>
      </c>
      <c r="D563" s="372" t="s">
        <v>35</v>
      </c>
      <c r="E563" s="371">
        <v>550690</v>
      </c>
      <c r="F563" s="373" t="s">
        <v>323</v>
      </c>
      <c r="G563" s="373" t="s">
        <v>532</v>
      </c>
      <c r="H563" s="374" t="s">
        <v>37</v>
      </c>
      <c r="I563" s="375">
        <v>462</v>
      </c>
      <c r="J563" s="375" t="str">
        <f t="shared" si="113"/>
        <v>Office</v>
      </c>
      <c r="K563" s="375">
        <v>500</v>
      </c>
      <c r="L563" s="373" t="s">
        <v>68</v>
      </c>
      <c r="M563" s="378"/>
      <c r="N563" s="378"/>
      <c r="O563" s="377">
        <v>43824</v>
      </c>
      <c r="P563" s="378"/>
      <c r="Q563" s="378"/>
      <c r="R563" s="376">
        <v>0</v>
      </c>
      <c r="S563" s="376">
        <f t="shared" si="114"/>
        <v>0</v>
      </c>
      <c r="T563" s="378"/>
      <c r="U563" s="376">
        <v>27300</v>
      </c>
      <c r="V563" s="376">
        <f t="shared" si="115"/>
        <v>0</v>
      </c>
      <c r="W563" s="376">
        <v>28900</v>
      </c>
      <c r="X563" s="376">
        <f t="shared" si="116"/>
        <v>0</v>
      </c>
      <c r="Y563" s="379" t="e">
        <f t="shared" si="117"/>
        <v>#VALUE!</v>
      </c>
      <c r="Z563" s="376" t="s">
        <v>69</v>
      </c>
      <c r="AA563" s="380"/>
      <c r="AB563" s="381"/>
      <c r="AC563" s="374" t="s">
        <v>40</v>
      </c>
      <c r="AD563" s="373" t="s">
        <v>202</v>
      </c>
      <c r="AE563" s="378"/>
      <c r="AF563" s="385"/>
      <c r="AG563" s="386"/>
      <c r="AH563" s="385"/>
    </row>
    <row r="564" spans="1:34" ht="14.25" customHeight="1">
      <c r="B564" s="2"/>
      <c r="C564" s="11"/>
      <c r="D564" s="11" t="s">
        <v>35</v>
      </c>
      <c r="E564" s="2"/>
      <c r="J564" s="10"/>
      <c r="K564" s="10"/>
      <c r="U564" s="10"/>
      <c r="V564" s="10"/>
      <c r="W564" s="10"/>
      <c r="X564" s="10"/>
      <c r="Y564" s="10"/>
      <c r="Z564" s="10"/>
      <c r="AA564" s="61"/>
      <c r="AC564" s="14"/>
      <c r="AG564" s="300"/>
    </row>
    <row r="565" spans="1:34" ht="14.25" customHeight="1">
      <c r="B565" s="2"/>
      <c r="C565" s="11"/>
      <c r="D565" s="11" t="s">
        <v>35</v>
      </c>
      <c r="E565" s="2"/>
      <c r="G565" s="92" t="s">
        <v>752</v>
      </c>
      <c r="I565" s="18">
        <f>SUM(H551:H563)</f>
        <v>0</v>
      </c>
      <c r="J565" s="19"/>
      <c r="K565" s="19"/>
      <c r="R565" s="19">
        <f>SUM(Q551:Q564)</f>
        <v>0</v>
      </c>
      <c r="S565" s="19"/>
      <c r="T565" s="19">
        <f>SUM(R549:R564)</f>
        <v>82575</v>
      </c>
      <c r="U565" s="19">
        <f>SUM(T551:T563)</f>
        <v>0</v>
      </c>
      <c r="V565" s="19"/>
      <c r="W565" s="19">
        <f>SUM(V551:V563)</f>
        <v>0</v>
      </c>
      <c r="X565" s="19"/>
      <c r="Y565" s="19"/>
      <c r="Z565" s="19"/>
      <c r="AA565" s="62"/>
      <c r="AB565" s="19">
        <v>8950000</v>
      </c>
      <c r="AC565" s="14"/>
      <c r="AF565" s="29"/>
      <c r="AG565" s="301"/>
      <c r="AH565" s="29"/>
    </row>
    <row r="566" spans="1:34" ht="14.25" customHeight="1">
      <c r="B566" s="2"/>
      <c r="C566" s="11"/>
      <c r="D566" s="11" t="s">
        <v>35</v>
      </c>
      <c r="E566" s="2"/>
      <c r="I566" s="18"/>
      <c r="J566" s="19"/>
      <c r="K566" s="19"/>
      <c r="R566" s="19"/>
      <c r="S566" s="19"/>
      <c r="T566" s="19"/>
      <c r="U566" s="19"/>
      <c r="V566" s="19"/>
      <c r="W566" s="19"/>
      <c r="X566" s="19"/>
      <c r="Y566" s="19"/>
      <c r="Z566" s="19"/>
      <c r="AA566" s="62"/>
      <c r="AB566" s="19"/>
      <c r="AC566" s="14"/>
      <c r="AG566" s="300"/>
    </row>
    <row r="567" spans="1:34" ht="14.25" customHeight="1">
      <c r="A567" t="s">
        <v>928</v>
      </c>
      <c r="B567" s="2"/>
      <c r="C567" s="11"/>
      <c r="D567" s="11" t="s">
        <v>35</v>
      </c>
      <c r="E567" s="2"/>
      <c r="H567" s="6" t="s">
        <v>331</v>
      </c>
      <c r="J567" s="10"/>
      <c r="K567" s="10"/>
      <c r="L567" s="32"/>
      <c r="V567" s="10"/>
      <c r="X567" s="10"/>
      <c r="Y567" s="10"/>
      <c r="Z567" s="10"/>
      <c r="AA567" s="61"/>
      <c r="AB567" s="19"/>
      <c r="AC567" s="14"/>
      <c r="AG567" s="300"/>
    </row>
    <row r="568" spans="1:34" ht="14.25" customHeight="1">
      <c r="B568" s="2"/>
      <c r="C568" s="11"/>
      <c r="D568" s="11" t="s">
        <v>35</v>
      </c>
      <c r="E568" s="2"/>
      <c r="H568" s="6"/>
      <c r="I568" s="24"/>
      <c r="J568" s="10"/>
      <c r="K568" s="10"/>
      <c r="U568" s="10"/>
      <c r="V568" s="10"/>
      <c r="W568" s="10"/>
      <c r="X568" s="10"/>
      <c r="Y568" s="10"/>
      <c r="Z568" s="10"/>
      <c r="AA568" s="61"/>
      <c r="AB568" s="19"/>
      <c r="AC568" s="14"/>
      <c r="AG568" s="300"/>
    </row>
    <row r="569" spans="1:34" ht="60">
      <c r="A569" s="370" t="s">
        <v>471</v>
      </c>
      <c r="B569" s="371"/>
      <c r="C569" s="372" t="s">
        <v>60</v>
      </c>
      <c r="D569" s="372" t="s">
        <v>35</v>
      </c>
      <c r="E569" s="371">
        <v>550810</v>
      </c>
      <c r="F569" s="373" t="s">
        <v>331</v>
      </c>
      <c r="G569" s="373" t="s">
        <v>332</v>
      </c>
      <c r="H569" s="374" t="s">
        <v>83</v>
      </c>
      <c r="I569" s="375">
        <v>1190</v>
      </c>
      <c r="J569" s="375" t="str">
        <f>H569</f>
        <v>Restaurant</v>
      </c>
      <c r="K569" s="375">
        <v>1000</v>
      </c>
      <c r="L569" s="373" t="s">
        <v>333</v>
      </c>
      <c r="M569" s="384">
        <v>41673</v>
      </c>
      <c r="N569" s="377">
        <v>47151</v>
      </c>
      <c r="O569" s="378"/>
      <c r="P569" s="378"/>
      <c r="Q569" s="378"/>
      <c r="R569" s="376">
        <v>115000</v>
      </c>
      <c r="S569" s="376">
        <f>Q569</f>
        <v>0</v>
      </c>
      <c r="T569" s="378"/>
      <c r="U569" s="376">
        <v>106000</v>
      </c>
      <c r="V569" s="376">
        <f>T569</f>
        <v>0</v>
      </c>
      <c r="W569" s="376">
        <v>106000</v>
      </c>
      <c r="X569" s="376">
        <f>V569</f>
        <v>0</v>
      </c>
      <c r="Y569" s="379" t="e">
        <f>T569/H569</f>
        <v>#VALUE!</v>
      </c>
      <c r="Z569" s="376" t="s">
        <v>69</v>
      </c>
      <c r="AA569" s="380"/>
      <c r="AB569" s="394"/>
      <c r="AC569" s="374" t="s">
        <v>40</v>
      </c>
      <c r="AD569" s="373" t="s">
        <v>334</v>
      </c>
      <c r="AE569" s="378"/>
      <c r="AF569" s="378"/>
      <c r="AG569" s="383"/>
      <c r="AH569" s="378"/>
    </row>
    <row r="570" spans="1:34" ht="24">
      <c r="A570" s="378" t="s">
        <v>471</v>
      </c>
      <c r="B570" s="371"/>
      <c r="C570" s="372" t="s">
        <v>60</v>
      </c>
      <c r="D570" s="372" t="s">
        <v>35</v>
      </c>
      <c r="E570" s="371">
        <v>550810</v>
      </c>
      <c r="F570" s="373" t="s">
        <v>331</v>
      </c>
      <c r="G570" s="391" t="s">
        <v>667</v>
      </c>
      <c r="H570" s="374" t="s">
        <v>37</v>
      </c>
      <c r="I570" s="375">
        <v>1044</v>
      </c>
      <c r="J570" s="375" t="str">
        <f>H570</f>
        <v>Office</v>
      </c>
      <c r="K570" s="375">
        <v>1000</v>
      </c>
      <c r="L570" s="373" t="s">
        <v>753</v>
      </c>
      <c r="M570" s="384">
        <v>45413</v>
      </c>
      <c r="N570" s="377">
        <v>47238</v>
      </c>
      <c r="O570" s="378"/>
      <c r="P570" s="378"/>
      <c r="Q570" s="377">
        <v>46326</v>
      </c>
      <c r="R570" s="376">
        <v>52500</v>
      </c>
      <c r="S570" s="376">
        <f>Q570</f>
        <v>46326</v>
      </c>
      <c r="T570" s="378"/>
      <c r="U570" s="376">
        <v>53800</v>
      </c>
      <c r="V570" s="376">
        <f>T570</f>
        <v>0</v>
      </c>
      <c r="W570" s="376">
        <v>53800</v>
      </c>
      <c r="X570" s="376">
        <f>V570</f>
        <v>0</v>
      </c>
      <c r="Y570" s="379" t="e">
        <f>T570/H570</f>
        <v>#VALUE!</v>
      </c>
      <c r="Z570" s="376" t="s">
        <v>69</v>
      </c>
      <c r="AA570" s="380"/>
      <c r="AB570" s="394"/>
      <c r="AC570" s="374" t="s">
        <v>40</v>
      </c>
      <c r="AD570" s="373" t="s">
        <v>130</v>
      </c>
      <c r="AE570" s="378"/>
      <c r="AF570" s="378"/>
      <c r="AG570" s="383"/>
      <c r="AH570" s="378"/>
    </row>
    <row r="571" spans="1:34" ht="14.25" customHeight="1">
      <c r="B571" s="2"/>
      <c r="C571" s="11"/>
      <c r="D571" s="11" t="s">
        <v>35</v>
      </c>
      <c r="E571" s="2"/>
      <c r="J571" s="10"/>
      <c r="K571" s="10"/>
      <c r="U571" s="10"/>
      <c r="V571" s="10"/>
      <c r="W571" s="10"/>
      <c r="X571" s="10"/>
      <c r="Y571" s="10"/>
      <c r="Z571" s="10"/>
      <c r="AA571" s="61"/>
      <c r="AB571" s="19"/>
      <c r="AC571" s="14"/>
      <c r="AG571" s="300"/>
    </row>
    <row r="572" spans="1:34" ht="14.25" customHeight="1">
      <c r="B572" s="2"/>
      <c r="C572" s="11"/>
      <c r="D572" s="11" t="s">
        <v>35</v>
      </c>
      <c r="E572" s="2"/>
      <c r="G572" s="92" t="s">
        <v>331</v>
      </c>
      <c r="I572" s="18">
        <f>SUM(H569:H570)</f>
        <v>0</v>
      </c>
      <c r="J572" s="19"/>
      <c r="K572" s="19"/>
      <c r="R572" s="19">
        <f>SUM(Q569:Q570)</f>
        <v>46326</v>
      </c>
      <c r="S572" s="19"/>
      <c r="T572" s="19">
        <f>SUM(R567:R571)</f>
        <v>167500</v>
      </c>
      <c r="U572" s="19">
        <f>SUM(T569:T570)</f>
        <v>0</v>
      </c>
      <c r="V572" s="19"/>
      <c r="W572" s="19">
        <f>SUM(V569:V570)</f>
        <v>0</v>
      </c>
      <c r="X572" s="19"/>
      <c r="Y572" s="19"/>
      <c r="Z572" s="19"/>
      <c r="AA572" s="62"/>
      <c r="AB572" s="19">
        <v>3000000</v>
      </c>
      <c r="AC572" s="14"/>
      <c r="AF572" s="29"/>
      <c r="AG572" s="301"/>
      <c r="AH572" s="29"/>
    </row>
    <row r="573" spans="1:34" ht="14.25" customHeight="1">
      <c r="B573" s="2"/>
      <c r="C573" s="11"/>
      <c r="D573" s="11" t="s">
        <v>35</v>
      </c>
      <c r="E573" s="2"/>
      <c r="J573" s="10"/>
      <c r="K573" s="10"/>
      <c r="U573" s="10"/>
      <c r="V573" s="10"/>
      <c r="W573" s="10"/>
      <c r="X573" s="10"/>
      <c r="Y573" s="10"/>
      <c r="Z573" s="10"/>
      <c r="AA573" s="61"/>
      <c r="AB573" s="19"/>
      <c r="AC573" s="14"/>
      <c r="AG573" s="300"/>
    </row>
    <row r="574" spans="1:34" ht="14.25" customHeight="1">
      <c r="A574" t="s">
        <v>928</v>
      </c>
      <c r="B574" s="2"/>
      <c r="C574" s="11"/>
      <c r="D574" s="11" t="s">
        <v>35</v>
      </c>
      <c r="E574" s="2"/>
      <c r="H574" s="6" t="s">
        <v>335</v>
      </c>
      <c r="J574" s="10"/>
      <c r="K574" s="10"/>
      <c r="L574" s="32"/>
      <c r="V574" s="10"/>
      <c r="X574" s="10"/>
      <c r="Y574" s="10"/>
      <c r="Z574" s="10"/>
      <c r="AA574" s="61"/>
      <c r="AB574" s="19"/>
      <c r="AC574" s="14"/>
      <c r="AG574" s="300"/>
    </row>
    <row r="575" spans="1:34" ht="14.25" customHeight="1">
      <c r="B575" s="2"/>
      <c r="C575" s="11"/>
      <c r="D575" s="11" t="s">
        <v>35</v>
      </c>
      <c r="E575" s="2"/>
      <c r="J575" s="10"/>
      <c r="K575" s="10"/>
      <c r="U575" s="10"/>
      <c r="V575" s="10"/>
      <c r="W575" s="10"/>
      <c r="X575" s="10"/>
      <c r="Y575" s="10"/>
      <c r="Z575" s="10"/>
      <c r="AA575" s="61"/>
      <c r="AB575" s="19"/>
      <c r="AC575" s="14"/>
      <c r="AG575" s="300"/>
    </row>
    <row r="576" spans="1:34" ht="28.5" customHeight="1">
      <c r="A576" t="s">
        <v>471</v>
      </c>
      <c r="B576" s="2"/>
      <c r="C576" s="11" t="s">
        <v>60</v>
      </c>
      <c r="D576" s="11" t="s">
        <v>35</v>
      </c>
      <c r="E576" s="2">
        <v>550490</v>
      </c>
      <c r="F576" s="4" t="s">
        <v>335</v>
      </c>
      <c r="G576" s="4" t="s">
        <v>36</v>
      </c>
      <c r="H576" s="14" t="s">
        <v>336</v>
      </c>
      <c r="I576" s="18">
        <v>6979</v>
      </c>
      <c r="J576" s="10" t="str">
        <f>H576</f>
        <v>Bar &amp; Office</v>
      </c>
      <c r="K576" s="10">
        <v>7000</v>
      </c>
      <c r="L576" s="4" t="s">
        <v>337</v>
      </c>
      <c r="M576" s="8">
        <v>44185</v>
      </c>
      <c r="N576" s="9">
        <v>47836</v>
      </c>
      <c r="P576" s="9">
        <v>46011</v>
      </c>
      <c r="R576" s="19">
        <v>420000</v>
      </c>
      <c r="S576" s="10">
        <f>Q576</f>
        <v>0</v>
      </c>
      <c r="T576" s="19">
        <f>R576</f>
        <v>420000</v>
      </c>
      <c r="U576" s="19">
        <v>364600</v>
      </c>
      <c r="V576" s="10">
        <f>T576</f>
        <v>420000</v>
      </c>
      <c r="W576" s="19">
        <v>414100</v>
      </c>
      <c r="X576" s="10">
        <f>V576</f>
        <v>420000</v>
      </c>
      <c r="Y576" s="299" t="e">
        <f>T576/H576</f>
        <v>#VALUE!</v>
      </c>
      <c r="Z576" s="10" t="s">
        <v>76</v>
      </c>
      <c r="AA576" s="61"/>
      <c r="AB576" s="19">
        <v>7475000</v>
      </c>
      <c r="AC576" s="14" t="s">
        <v>40</v>
      </c>
      <c r="AD576" s="4" t="s">
        <v>338</v>
      </c>
      <c r="AG576" s="300"/>
    </row>
    <row r="577" spans="1:34" ht="14.25" customHeight="1">
      <c r="B577" s="2"/>
      <c r="C577" s="11"/>
      <c r="D577" s="11" t="s">
        <v>35</v>
      </c>
      <c r="E577" s="2"/>
      <c r="H577" s="49"/>
      <c r="I577" s="18"/>
      <c r="J577" s="19"/>
      <c r="K577" s="19"/>
      <c r="R577" s="19"/>
      <c r="S577" s="19"/>
      <c r="T577" s="19"/>
      <c r="U577" s="19"/>
      <c r="V577" s="19"/>
      <c r="W577" s="19"/>
      <c r="X577" s="19"/>
      <c r="Y577" s="19"/>
      <c r="Z577" s="19"/>
      <c r="AA577" s="62"/>
      <c r="AB577" s="54"/>
      <c r="AC577" s="14"/>
      <c r="AG577" s="300"/>
    </row>
    <row r="578" spans="1:34" ht="14.25" customHeight="1">
      <c r="A578" t="s">
        <v>928</v>
      </c>
      <c r="B578" s="2"/>
      <c r="C578" s="11"/>
      <c r="D578" s="11" t="s">
        <v>35</v>
      </c>
      <c r="E578" s="2"/>
      <c r="H578" s="6" t="s">
        <v>339</v>
      </c>
      <c r="J578" s="10"/>
      <c r="K578" s="10"/>
      <c r="L578" s="32"/>
      <c r="V578" s="10"/>
      <c r="X578" s="10"/>
      <c r="Y578" s="10"/>
      <c r="Z578" s="10"/>
      <c r="AA578" s="61"/>
      <c r="AC578" s="14"/>
      <c r="AG578" s="300"/>
    </row>
    <row r="579" spans="1:34" ht="14.25" customHeight="1">
      <c r="B579" s="2"/>
      <c r="C579" s="11"/>
      <c r="D579" s="11" t="s">
        <v>35</v>
      </c>
      <c r="E579" s="2"/>
      <c r="G579" s="95"/>
      <c r="H579" s="5"/>
      <c r="I579" s="123"/>
      <c r="J579" s="3"/>
      <c r="K579" s="3"/>
      <c r="L579" s="123"/>
      <c r="M579" s="127"/>
      <c r="N579" s="124"/>
      <c r="O579" s="124"/>
      <c r="P579" s="124"/>
      <c r="R579" s="3"/>
      <c r="S579" s="3"/>
      <c r="T579" s="3"/>
      <c r="U579" s="233"/>
      <c r="V579" s="3"/>
      <c r="W579" s="233"/>
      <c r="X579" s="3"/>
      <c r="Y579" s="3"/>
      <c r="Z579" s="3"/>
      <c r="AA579" s="68"/>
      <c r="AB579" s="262"/>
      <c r="AC579" s="14"/>
      <c r="AD579" s="37"/>
      <c r="AE579" s="325"/>
      <c r="AF579" s="37"/>
      <c r="AG579" s="302"/>
      <c r="AH579" s="37"/>
    </row>
    <row r="580" spans="1:34" ht="28.5" customHeight="1">
      <c r="A580" s="370" t="s">
        <v>471</v>
      </c>
      <c r="B580" s="371"/>
      <c r="C580" s="372" t="s">
        <v>34</v>
      </c>
      <c r="D580" s="372" t="s">
        <v>35</v>
      </c>
      <c r="E580" s="371">
        <v>550940</v>
      </c>
      <c r="F580" s="373" t="s">
        <v>339</v>
      </c>
      <c r="G580" s="373" t="s">
        <v>340</v>
      </c>
      <c r="H580" s="374" t="s">
        <v>341</v>
      </c>
      <c r="I580" s="416">
        <v>2662</v>
      </c>
      <c r="J580" s="375" t="str">
        <f t="shared" ref="J580:J589" si="118">H580</f>
        <v>Showroom/Studio</v>
      </c>
      <c r="K580" s="375">
        <v>2500</v>
      </c>
      <c r="L580" s="373" t="s">
        <v>342</v>
      </c>
      <c r="M580" s="384">
        <v>44942</v>
      </c>
      <c r="N580" s="377">
        <v>46767</v>
      </c>
      <c r="O580" s="378"/>
      <c r="P580" s="378"/>
      <c r="Q580" s="377">
        <v>46037</v>
      </c>
      <c r="R580" s="376">
        <v>100000</v>
      </c>
      <c r="S580" s="376">
        <f t="shared" ref="S580:S589" si="119">Q580</f>
        <v>46037</v>
      </c>
      <c r="T580" s="378"/>
      <c r="U580" s="416">
        <v>100000</v>
      </c>
      <c r="V580" s="376">
        <f t="shared" ref="V580:V589" si="120">T580</f>
        <v>0</v>
      </c>
      <c r="W580" s="416">
        <v>100000</v>
      </c>
      <c r="X580" s="376">
        <f t="shared" ref="X580:X589" si="121">V580</f>
        <v>0</v>
      </c>
      <c r="Y580" s="379" t="e">
        <f t="shared" ref="Y580:Y589" si="122">T580/H580</f>
        <v>#VALUE!</v>
      </c>
      <c r="Z580" s="376" t="s">
        <v>76</v>
      </c>
      <c r="AA580" s="380"/>
      <c r="AB580" s="381"/>
      <c r="AC580" s="374" t="s">
        <v>40</v>
      </c>
      <c r="AD580" s="373" t="s">
        <v>218</v>
      </c>
      <c r="AE580" s="378"/>
      <c r="AF580" s="378"/>
      <c r="AG580" s="383"/>
      <c r="AH580" s="378"/>
    </row>
    <row r="581" spans="1:34" ht="24" customHeight="1">
      <c r="A581" s="378" t="s">
        <v>471</v>
      </c>
      <c r="B581" s="371"/>
      <c r="C581" s="372" t="s">
        <v>34</v>
      </c>
      <c r="D581" s="372" t="s">
        <v>35</v>
      </c>
      <c r="E581" s="371">
        <v>550940</v>
      </c>
      <c r="F581" s="373" t="s">
        <v>339</v>
      </c>
      <c r="G581" s="373" t="s">
        <v>754</v>
      </c>
      <c r="H581" s="374" t="s">
        <v>37</v>
      </c>
      <c r="I581" s="416">
        <v>3452</v>
      </c>
      <c r="J581" s="375" t="str">
        <f t="shared" si="118"/>
        <v>Office</v>
      </c>
      <c r="K581" s="375">
        <v>3500</v>
      </c>
      <c r="L581" s="373" t="s">
        <v>755</v>
      </c>
      <c r="M581" s="384">
        <v>45707</v>
      </c>
      <c r="N581" s="377">
        <v>46071</v>
      </c>
      <c r="O581" s="378"/>
      <c r="P581" s="378"/>
      <c r="Q581" s="377">
        <v>45887</v>
      </c>
      <c r="R581" s="416">
        <v>138440</v>
      </c>
      <c r="S581" s="376">
        <f t="shared" si="119"/>
        <v>45887</v>
      </c>
      <c r="T581" s="378"/>
      <c r="U581" s="416">
        <v>109600</v>
      </c>
      <c r="V581" s="376">
        <f t="shared" si="120"/>
        <v>0</v>
      </c>
      <c r="W581" s="416">
        <v>112000</v>
      </c>
      <c r="X581" s="376">
        <f t="shared" si="121"/>
        <v>0</v>
      </c>
      <c r="Y581" s="379" t="e">
        <f t="shared" si="122"/>
        <v>#VALUE!</v>
      </c>
      <c r="Z581" s="376" t="s">
        <v>76</v>
      </c>
      <c r="AA581" s="380"/>
      <c r="AB581" s="381"/>
      <c r="AC581" s="374" t="s">
        <v>40</v>
      </c>
      <c r="AD581" s="373" t="s">
        <v>130</v>
      </c>
      <c r="AE581" s="378"/>
      <c r="AF581" s="378"/>
      <c r="AG581" s="383"/>
      <c r="AH581" s="378"/>
    </row>
    <row r="582" spans="1:34" ht="28.5" customHeight="1">
      <c r="A582" s="378" t="s">
        <v>471</v>
      </c>
      <c r="B582" s="371"/>
      <c r="C582" s="372" t="s">
        <v>34</v>
      </c>
      <c r="D582" s="372" t="s">
        <v>35</v>
      </c>
      <c r="E582" s="371">
        <v>550940</v>
      </c>
      <c r="F582" s="373" t="s">
        <v>339</v>
      </c>
      <c r="G582" s="373" t="s">
        <v>756</v>
      </c>
      <c r="H582" s="374" t="s">
        <v>37</v>
      </c>
      <c r="I582" s="416">
        <v>2274</v>
      </c>
      <c r="J582" s="375" t="str">
        <f t="shared" si="118"/>
        <v>Office</v>
      </c>
      <c r="K582" s="375">
        <v>2250</v>
      </c>
      <c r="L582" s="373" t="s">
        <v>68</v>
      </c>
      <c r="M582" s="378"/>
      <c r="N582" s="378"/>
      <c r="O582" s="377">
        <v>44280</v>
      </c>
      <c r="P582" s="378"/>
      <c r="Q582" s="378"/>
      <c r="R582" s="376">
        <v>0</v>
      </c>
      <c r="S582" s="376">
        <f t="shared" si="119"/>
        <v>0</v>
      </c>
      <c r="T582" s="378"/>
      <c r="U582" s="416">
        <v>124700</v>
      </c>
      <c r="V582" s="376">
        <f t="shared" si="120"/>
        <v>0</v>
      </c>
      <c r="W582" s="416">
        <v>125100</v>
      </c>
      <c r="X582" s="376">
        <f t="shared" si="121"/>
        <v>0</v>
      </c>
      <c r="Y582" s="379" t="e">
        <f t="shared" si="122"/>
        <v>#VALUE!</v>
      </c>
      <c r="Z582" s="376" t="s">
        <v>76</v>
      </c>
      <c r="AA582" s="380"/>
      <c r="AB582" s="381"/>
      <c r="AC582" s="374" t="s">
        <v>94</v>
      </c>
      <c r="AD582" s="373" t="s">
        <v>482</v>
      </c>
      <c r="AE582" s="382"/>
      <c r="AF582" s="378"/>
      <c r="AG582" s="383"/>
      <c r="AH582" s="378"/>
    </row>
    <row r="583" spans="1:34" ht="24" customHeight="1">
      <c r="A583" s="378" t="s">
        <v>471</v>
      </c>
      <c r="B583" s="371"/>
      <c r="C583" s="372" t="s">
        <v>34</v>
      </c>
      <c r="D583" s="372" t="s">
        <v>35</v>
      </c>
      <c r="E583" s="371">
        <v>550940</v>
      </c>
      <c r="F583" s="373" t="s">
        <v>339</v>
      </c>
      <c r="G583" s="373" t="s">
        <v>757</v>
      </c>
      <c r="H583" s="374" t="s">
        <v>37</v>
      </c>
      <c r="I583" s="416">
        <v>1201</v>
      </c>
      <c r="J583" s="375" t="str">
        <f t="shared" si="118"/>
        <v>Office</v>
      </c>
      <c r="K583" s="375">
        <v>1250</v>
      </c>
      <c r="L583" s="373" t="s">
        <v>68</v>
      </c>
      <c r="M583" s="378"/>
      <c r="N583" s="378"/>
      <c r="O583" s="377">
        <v>45521</v>
      </c>
      <c r="P583" s="378"/>
      <c r="Q583" s="378"/>
      <c r="R583" s="376">
        <v>0</v>
      </c>
      <c r="S583" s="376">
        <f t="shared" si="119"/>
        <v>0</v>
      </c>
      <c r="T583" s="378"/>
      <c r="U583" s="416">
        <v>64100</v>
      </c>
      <c r="V583" s="376">
        <f t="shared" si="120"/>
        <v>0</v>
      </c>
      <c r="W583" s="416">
        <v>63100</v>
      </c>
      <c r="X583" s="376">
        <f t="shared" si="121"/>
        <v>0</v>
      </c>
      <c r="Y583" s="379" t="e">
        <f t="shared" si="122"/>
        <v>#VALUE!</v>
      </c>
      <c r="Z583" s="376" t="s">
        <v>69</v>
      </c>
      <c r="AA583" s="380"/>
      <c r="AB583" s="381"/>
      <c r="AC583" s="374" t="s">
        <v>40</v>
      </c>
      <c r="AD583" s="373" t="s">
        <v>482</v>
      </c>
      <c r="AE583" s="378"/>
      <c r="AF583" s="385"/>
      <c r="AG583" s="386"/>
      <c r="AH583" s="385"/>
    </row>
    <row r="584" spans="1:34" ht="24" customHeight="1">
      <c r="A584" s="378" t="s">
        <v>471</v>
      </c>
      <c r="B584" s="371"/>
      <c r="C584" s="372" t="s">
        <v>34</v>
      </c>
      <c r="D584" s="372" t="s">
        <v>35</v>
      </c>
      <c r="E584" s="371">
        <v>550940</v>
      </c>
      <c r="F584" s="373" t="s">
        <v>339</v>
      </c>
      <c r="G584" s="373" t="s">
        <v>758</v>
      </c>
      <c r="H584" s="374" t="s">
        <v>37</v>
      </c>
      <c r="I584" s="416">
        <v>1255</v>
      </c>
      <c r="J584" s="375" t="str">
        <f t="shared" si="118"/>
        <v>Office</v>
      </c>
      <c r="K584" s="375">
        <v>1250</v>
      </c>
      <c r="L584" s="373" t="s">
        <v>68</v>
      </c>
      <c r="M584" s="378"/>
      <c r="N584" s="378"/>
      <c r="O584" s="377">
        <v>44320</v>
      </c>
      <c r="P584" s="378"/>
      <c r="Q584" s="378"/>
      <c r="R584" s="376">
        <v>0</v>
      </c>
      <c r="S584" s="376">
        <f t="shared" si="119"/>
        <v>0</v>
      </c>
      <c r="T584" s="378"/>
      <c r="U584" s="416">
        <v>67300</v>
      </c>
      <c r="V584" s="376">
        <f t="shared" si="120"/>
        <v>0</v>
      </c>
      <c r="W584" s="416">
        <v>69000</v>
      </c>
      <c r="X584" s="376">
        <f t="shared" si="121"/>
        <v>0</v>
      </c>
      <c r="Y584" s="379" t="e">
        <f t="shared" si="122"/>
        <v>#VALUE!</v>
      </c>
      <c r="Z584" s="376" t="s">
        <v>69</v>
      </c>
      <c r="AA584" s="380"/>
      <c r="AB584" s="381"/>
      <c r="AC584" s="374" t="s">
        <v>40</v>
      </c>
      <c r="AD584" s="373" t="s">
        <v>510</v>
      </c>
      <c r="AE584" s="378"/>
      <c r="AF584" s="378"/>
      <c r="AG584" s="383"/>
      <c r="AH584" s="378"/>
    </row>
    <row r="585" spans="1:34" ht="24" customHeight="1">
      <c r="A585" s="378" t="s">
        <v>471</v>
      </c>
      <c r="B585" s="371"/>
      <c r="C585" s="372" t="s">
        <v>34</v>
      </c>
      <c r="D585" s="372" t="s">
        <v>35</v>
      </c>
      <c r="E585" s="371">
        <v>550940</v>
      </c>
      <c r="F585" s="373" t="s">
        <v>339</v>
      </c>
      <c r="G585" s="373" t="s">
        <v>759</v>
      </c>
      <c r="H585" s="374" t="s">
        <v>37</v>
      </c>
      <c r="I585" s="416">
        <v>1252</v>
      </c>
      <c r="J585" s="375" t="str">
        <f t="shared" si="118"/>
        <v>Office</v>
      </c>
      <c r="K585" s="375">
        <v>1250</v>
      </c>
      <c r="L585" s="373" t="s">
        <v>68</v>
      </c>
      <c r="M585" s="378"/>
      <c r="N585" s="378"/>
      <c r="O585" s="377">
        <v>44622</v>
      </c>
      <c r="P585" s="378"/>
      <c r="Q585" s="378"/>
      <c r="R585" s="376">
        <v>0</v>
      </c>
      <c r="S585" s="376">
        <f t="shared" si="119"/>
        <v>0</v>
      </c>
      <c r="T585" s="378"/>
      <c r="U585" s="416">
        <v>67600</v>
      </c>
      <c r="V585" s="376">
        <f t="shared" si="120"/>
        <v>0</v>
      </c>
      <c r="W585" s="416">
        <v>68900</v>
      </c>
      <c r="X585" s="376">
        <f t="shared" si="121"/>
        <v>0</v>
      </c>
      <c r="Y585" s="379" t="e">
        <f t="shared" si="122"/>
        <v>#VALUE!</v>
      </c>
      <c r="Z585" s="376" t="s">
        <v>76</v>
      </c>
      <c r="AA585" s="380"/>
      <c r="AB585" s="381"/>
      <c r="AC585" s="374" t="s">
        <v>40</v>
      </c>
      <c r="AD585" s="373" t="s">
        <v>510</v>
      </c>
      <c r="AE585" s="378"/>
      <c r="AF585" s="378"/>
      <c r="AG585" s="383"/>
      <c r="AH585" s="378"/>
    </row>
    <row r="586" spans="1:34" ht="16.5" customHeight="1">
      <c r="A586" s="378" t="s">
        <v>471</v>
      </c>
      <c r="B586" s="371"/>
      <c r="C586" s="372" t="s">
        <v>34</v>
      </c>
      <c r="D586" s="372" t="s">
        <v>35</v>
      </c>
      <c r="E586" s="371">
        <v>550940</v>
      </c>
      <c r="F586" s="373" t="s">
        <v>339</v>
      </c>
      <c r="G586" s="373" t="s">
        <v>760</v>
      </c>
      <c r="H586" s="374" t="s">
        <v>37</v>
      </c>
      <c r="I586" s="416">
        <v>1055</v>
      </c>
      <c r="J586" s="375" t="str">
        <f t="shared" si="118"/>
        <v>Office</v>
      </c>
      <c r="K586" s="375">
        <v>1000</v>
      </c>
      <c r="L586" s="373" t="s">
        <v>761</v>
      </c>
      <c r="M586" s="384">
        <v>44887</v>
      </c>
      <c r="N586" s="377">
        <v>46712</v>
      </c>
      <c r="O586" s="378"/>
      <c r="P586" s="377">
        <v>45983</v>
      </c>
      <c r="Q586" s="377">
        <v>45982</v>
      </c>
      <c r="R586" s="416">
        <v>63070</v>
      </c>
      <c r="S586" s="376">
        <f t="shared" si="119"/>
        <v>45982</v>
      </c>
      <c r="T586" s="378"/>
      <c r="U586" s="416">
        <v>61000</v>
      </c>
      <c r="V586" s="376">
        <f t="shared" si="120"/>
        <v>0</v>
      </c>
      <c r="W586" s="416">
        <v>60700</v>
      </c>
      <c r="X586" s="376">
        <f t="shared" si="121"/>
        <v>0</v>
      </c>
      <c r="Y586" s="379" t="e">
        <f t="shared" si="122"/>
        <v>#VALUE!</v>
      </c>
      <c r="Z586" s="376" t="s">
        <v>69</v>
      </c>
      <c r="AA586" s="380"/>
      <c r="AB586" s="381"/>
      <c r="AC586" s="374" t="s">
        <v>40</v>
      </c>
      <c r="AD586" s="373" t="s">
        <v>762</v>
      </c>
      <c r="AE586" s="378"/>
      <c r="AF586" s="378"/>
      <c r="AG586" s="383"/>
      <c r="AH586" s="378"/>
    </row>
    <row r="587" spans="1:34" ht="23.25" customHeight="1">
      <c r="A587" s="378" t="s">
        <v>471</v>
      </c>
      <c r="B587" s="371"/>
      <c r="C587" s="372" t="s">
        <v>34</v>
      </c>
      <c r="D587" s="372" t="s">
        <v>35</v>
      </c>
      <c r="E587" s="371">
        <v>550940</v>
      </c>
      <c r="F587" s="373" t="s">
        <v>339</v>
      </c>
      <c r="G587" s="373" t="s">
        <v>763</v>
      </c>
      <c r="H587" s="372" t="s">
        <v>37</v>
      </c>
      <c r="I587" s="416">
        <v>1167</v>
      </c>
      <c r="J587" s="375" t="str">
        <f t="shared" si="118"/>
        <v>Office</v>
      </c>
      <c r="K587" s="375">
        <v>1000</v>
      </c>
      <c r="L587" s="373" t="s">
        <v>764</v>
      </c>
      <c r="M587" s="384">
        <v>45573</v>
      </c>
      <c r="N587" s="377">
        <v>47398</v>
      </c>
      <c r="O587" s="378"/>
      <c r="P587" s="378"/>
      <c r="Q587" s="378"/>
      <c r="R587" s="390">
        <v>46800</v>
      </c>
      <c r="S587" s="376">
        <f t="shared" si="119"/>
        <v>0</v>
      </c>
      <c r="T587" s="378"/>
      <c r="U587" s="416">
        <v>37700</v>
      </c>
      <c r="V587" s="376">
        <f t="shared" si="120"/>
        <v>0</v>
      </c>
      <c r="W587" s="416">
        <v>46800</v>
      </c>
      <c r="X587" s="376">
        <f t="shared" si="121"/>
        <v>0</v>
      </c>
      <c r="Y587" s="379" t="e">
        <f t="shared" si="122"/>
        <v>#VALUE!</v>
      </c>
      <c r="Z587" s="376" t="s">
        <v>58</v>
      </c>
      <c r="AA587" s="380" t="s">
        <v>25</v>
      </c>
      <c r="AB587" s="381"/>
      <c r="AC587" s="374" t="s">
        <v>40</v>
      </c>
      <c r="AD587" s="378"/>
      <c r="AE587" s="378"/>
      <c r="AF587" s="378"/>
      <c r="AG587" s="383"/>
      <c r="AH587" s="378"/>
    </row>
    <row r="588" spans="1:34" ht="24" customHeight="1">
      <c r="A588" s="378" t="s">
        <v>471</v>
      </c>
      <c r="B588" s="371"/>
      <c r="C588" s="372" t="s">
        <v>34</v>
      </c>
      <c r="D588" s="372" t="s">
        <v>35</v>
      </c>
      <c r="E588" s="371">
        <v>550940</v>
      </c>
      <c r="F588" s="373" t="s">
        <v>339</v>
      </c>
      <c r="G588" s="373" t="s">
        <v>765</v>
      </c>
      <c r="H588" s="372" t="s">
        <v>37</v>
      </c>
      <c r="I588" s="416">
        <v>922</v>
      </c>
      <c r="J588" s="375" t="str">
        <f t="shared" si="118"/>
        <v>Office</v>
      </c>
      <c r="K588" s="375">
        <v>1000</v>
      </c>
      <c r="L588" s="373" t="s">
        <v>766</v>
      </c>
      <c r="M588" s="384">
        <v>45204</v>
      </c>
      <c r="N588" s="377">
        <v>46299</v>
      </c>
      <c r="O588" s="378"/>
      <c r="P588" s="378"/>
      <c r="Q588" s="378"/>
      <c r="R588" s="416">
        <v>45800</v>
      </c>
      <c r="S588" s="376">
        <f t="shared" si="119"/>
        <v>0</v>
      </c>
      <c r="T588" s="378"/>
      <c r="U588" s="416">
        <v>39100</v>
      </c>
      <c r="V588" s="376">
        <f t="shared" si="120"/>
        <v>0</v>
      </c>
      <c r="W588" s="416">
        <v>39200</v>
      </c>
      <c r="X588" s="376">
        <f t="shared" si="121"/>
        <v>0</v>
      </c>
      <c r="Y588" s="379" t="e">
        <f t="shared" si="122"/>
        <v>#VALUE!</v>
      </c>
      <c r="Z588" s="376" t="s">
        <v>58</v>
      </c>
      <c r="AA588" s="380" t="s">
        <v>25</v>
      </c>
      <c r="AB588" s="381"/>
      <c r="AC588" s="374" t="s">
        <v>40</v>
      </c>
      <c r="AD588" s="378"/>
      <c r="AE588" s="378"/>
      <c r="AF588" s="378"/>
      <c r="AG588" s="383"/>
      <c r="AH588" s="378"/>
    </row>
    <row r="589" spans="1:34" ht="24" customHeight="1">
      <c r="A589" s="378" t="s">
        <v>471</v>
      </c>
      <c r="B589" s="371"/>
      <c r="C589" s="372" t="s">
        <v>34</v>
      </c>
      <c r="D589" s="372" t="s">
        <v>35</v>
      </c>
      <c r="E589" s="371">
        <v>550940</v>
      </c>
      <c r="F589" s="373" t="s">
        <v>339</v>
      </c>
      <c r="G589" s="373" t="s">
        <v>767</v>
      </c>
      <c r="H589" s="372" t="s">
        <v>37</v>
      </c>
      <c r="I589" s="416">
        <v>781</v>
      </c>
      <c r="J589" s="375" t="str">
        <f t="shared" si="118"/>
        <v>Office</v>
      </c>
      <c r="K589" s="375">
        <v>750</v>
      </c>
      <c r="L589" s="373" t="s">
        <v>68</v>
      </c>
      <c r="M589" s="378"/>
      <c r="N589" s="378"/>
      <c r="O589" s="377">
        <v>45383</v>
      </c>
      <c r="P589" s="378"/>
      <c r="Q589" s="378"/>
      <c r="R589" s="376">
        <v>0</v>
      </c>
      <c r="S589" s="376">
        <f t="shared" si="119"/>
        <v>0</v>
      </c>
      <c r="T589" s="378"/>
      <c r="U589" s="416">
        <v>37300</v>
      </c>
      <c r="V589" s="376">
        <f t="shared" si="120"/>
        <v>0</v>
      </c>
      <c r="W589" s="416">
        <v>33200</v>
      </c>
      <c r="X589" s="376">
        <f t="shared" si="121"/>
        <v>0</v>
      </c>
      <c r="Y589" s="379" t="e">
        <f t="shared" si="122"/>
        <v>#VALUE!</v>
      </c>
      <c r="Z589" s="376" t="s">
        <v>58</v>
      </c>
      <c r="AA589" s="380" t="s">
        <v>25</v>
      </c>
      <c r="AB589" s="381"/>
      <c r="AC589" s="374" t="s">
        <v>40</v>
      </c>
      <c r="AD589" s="373" t="s">
        <v>482</v>
      </c>
      <c r="AE589" s="378"/>
      <c r="AF589" s="378"/>
      <c r="AG589" s="383"/>
      <c r="AH589" s="378"/>
    </row>
    <row r="590" spans="1:34" ht="14.25" customHeight="1">
      <c r="B590" s="2"/>
      <c r="C590" s="11"/>
      <c r="D590" s="11" t="s">
        <v>35</v>
      </c>
      <c r="E590" s="2"/>
      <c r="H590" s="11"/>
      <c r="I590" s="23"/>
      <c r="J590" s="23"/>
      <c r="K590" s="23"/>
      <c r="R590" s="23"/>
      <c r="S590" s="23"/>
      <c r="T590" s="23"/>
      <c r="U590" s="23"/>
      <c r="V590" s="23"/>
      <c r="W590" s="23"/>
      <c r="X590" s="23"/>
      <c r="Y590" s="23"/>
      <c r="Z590" s="23"/>
      <c r="AA590" s="69"/>
      <c r="AC590" s="14"/>
      <c r="AG590" s="300"/>
    </row>
    <row r="591" spans="1:34" ht="14.25" customHeight="1">
      <c r="B591" s="2"/>
      <c r="C591" s="11"/>
      <c r="D591" s="11" t="s">
        <v>35</v>
      </c>
      <c r="E591" s="2"/>
      <c r="G591" s="92" t="s">
        <v>768</v>
      </c>
      <c r="I591" s="50">
        <f>SUM(H580:H589)</f>
        <v>0</v>
      </c>
      <c r="J591" s="50"/>
      <c r="K591" s="50"/>
      <c r="R591" s="368">
        <f>SUM(Q580:Q589)</f>
        <v>137906</v>
      </c>
      <c r="S591" s="50"/>
      <c r="T591" s="19">
        <f>SUM(R579:R590)</f>
        <v>394110</v>
      </c>
      <c r="U591" s="50">
        <f>SUM(T580:T589)</f>
        <v>0</v>
      </c>
      <c r="V591" s="50"/>
      <c r="W591" s="50">
        <f>SUM(V580:V589)</f>
        <v>0</v>
      </c>
      <c r="X591" s="50"/>
      <c r="Y591" s="50"/>
      <c r="Z591" s="50"/>
      <c r="AA591" s="70"/>
      <c r="AB591" s="50">
        <v>9475000</v>
      </c>
      <c r="AC591" s="14"/>
      <c r="AF591" s="29"/>
      <c r="AG591" s="301"/>
      <c r="AH591" s="29"/>
    </row>
    <row r="592" spans="1:34" ht="14.25" customHeight="1">
      <c r="B592" s="2"/>
      <c r="C592" s="11"/>
      <c r="D592" s="11" t="s">
        <v>35</v>
      </c>
      <c r="E592" s="2"/>
      <c r="I592" s="50"/>
      <c r="J592" s="50"/>
      <c r="K592" s="50"/>
      <c r="R592" s="50"/>
      <c r="S592" s="50"/>
      <c r="T592" s="50"/>
      <c r="U592" s="50"/>
      <c r="V592" s="50"/>
      <c r="W592" s="50"/>
      <c r="X592" s="50"/>
      <c r="Y592" s="50"/>
      <c r="Z592" s="50"/>
      <c r="AA592" s="70"/>
      <c r="AB592" s="50"/>
      <c r="AC592" s="14"/>
      <c r="AG592" s="300"/>
    </row>
    <row r="593" spans="1:34" ht="14.25" customHeight="1">
      <c r="A593" t="s">
        <v>928</v>
      </c>
      <c r="B593" s="2"/>
      <c r="C593" s="11"/>
      <c r="D593" s="11" t="s">
        <v>35</v>
      </c>
      <c r="E593" s="2"/>
      <c r="H593" s="6" t="s">
        <v>343</v>
      </c>
      <c r="J593" s="10"/>
      <c r="K593" s="10"/>
      <c r="L593" s="32"/>
      <c r="V593" s="10"/>
      <c r="X593" s="10"/>
      <c r="Y593" s="10"/>
      <c r="Z593" s="10"/>
      <c r="AA593" s="61"/>
      <c r="AB593" s="50"/>
      <c r="AC593" s="14"/>
      <c r="AG593" s="300"/>
    </row>
    <row r="594" spans="1:34" ht="14.25" customHeight="1">
      <c r="B594" s="2"/>
      <c r="C594" s="11"/>
      <c r="D594" s="11" t="s">
        <v>35</v>
      </c>
      <c r="E594" s="2"/>
      <c r="H594" s="6"/>
      <c r="I594" s="133"/>
      <c r="J594" s="10"/>
      <c r="K594" s="10"/>
      <c r="L594" s="13"/>
      <c r="N594" s="8"/>
      <c r="O594" s="8"/>
      <c r="U594" s="10"/>
      <c r="V594" s="10"/>
      <c r="W594" s="10"/>
      <c r="X594" s="10"/>
      <c r="Y594" s="10"/>
      <c r="Z594" s="10"/>
      <c r="AA594" s="61"/>
      <c r="AB594" s="50"/>
      <c r="AC594" s="14"/>
      <c r="AG594" s="300"/>
    </row>
    <row r="595" spans="1:34" ht="24" customHeight="1">
      <c r="A595" s="370" t="s">
        <v>471</v>
      </c>
      <c r="B595" s="371"/>
      <c r="C595" s="372" t="s">
        <v>119</v>
      </c>
      <c r="D595" s="372" t="s">
        <v>35</v>
      </c>
      <c r="E595" s="371">
        <v>550390</v>
      </c>
      <c r="F595" s="373" t="s">
        <v>343</v>
      </c>
      <c r="G595" s="373" t="s">
        <v>344</v>
      </c>
      <c r="H595" s="374" t="s">
        <v>345</v>
      </c>
      <c r="I595" s="375">
        <v>6542</v>
      </c>
      <c r="J595" s="376" t="str">
        <f>H595</f>
        <v>Medical</v>
      </c>
      <c r="K595" s="376">
        <v>6500</v>
      </c>
      <c r="L595" s="373" t="s">
        <v>346</v>
      </c>
      <c r="M595" s="384">
        <v>44609</v>
      </c>
      <c r="N595" s="377">
        <v>50087</v>
      </c>
      <c r="O595" s="378"/>
      <c r="P595" s="384">
        <v>46435</v>
      </c>
      <c r="Q595" s="384">
        <v>48260</v>
      </c>
      <c r="R595" s="376">
        <v>210000</v>
      </c>
      <c r="S595" s="376">
        <f>Q595</f>
        <v>48260</v>
      </c>
      <c r="T595" s="378"/>
      <c r="U595" s="417">
        <v>210000</v>
      </c>
      <c r="V595" s="376">
        <f>T595</f>
        <v>0</v>
      </c>
      <c r="W595" s="417">
        <v>232000</v>
      </c>
      <c r="X595" s="376">
        <f>V595</f>
        <v>0</v>
      </c>
      <c r="Y595" s="379" t="e">
        <f>T595/H595</f>
        <v>#VALUE!</v>
      </c>
      <c r="Z595" s="376" t="s">
        <v>243</v>
      </c>
      <c r="AA595" s="380"/>
      <c r="AB595" s="418"/>
      <c r="AC595" s="374" t="s">
        <v>40</v>
      </c>
      <c r="AD595" s="373" t="s">
        <v>81</v>
      </c>
      <c r="AE595" s="378"/>
      <c r="AF595" s="378"/>
      <c r="AG595" s="383"/>
      <c r="AH595" s="378"/>
    </row>
    <row r="596" spans="1:34" ht="28.5" customHeight="1">
      <c r="A596" s="378" t="s">
        <v>471</v>
      </c>
      <c r="B596" s="371"/>
      <c r="C596" s="372" t="s">
        <v>119</v>
      </c>
      <c r="D596" s="372" t="s">
        <v>35</v>
      </c>
      <c r="E596" s="371">
        <v>550390</v>
      </c>
      <c r="F596" s="373" t="s">
        <v>343</v>
      </c>
      <c r="G596" s="391" t="s">
        <v>769</v>
      </c>
      <c r="H596" s="374" t="s">
        <v>37</v>
      </c>
      <c r="I596" s="375">
        <v>20993</v>
      </c>
      <c r="J596" s="376" t="str">
        <f>H596</f>
        <v>Office</v>
      </c>
      <c r="K596" s="376">
        <v>21000</v>
      </c>
      <c r="L596" s="373" t="s">
        <v>770</v>
      </c>
      <c r="M596" s="384">
        <v>45564</v>
      </c>
      <c r="N596" s="377">
        <v>47389</v>
      </c>
      <c r="O596" s="378"/>
      <c r="P596" s="378"/>
      <c r="Q596" s="378"/>
      <c r="R596" s="376">
        <v>1000000</v>
      </c>
      <c r="S596" s="376">
        <f>Q596</f>
        <v>0</v>
      </c>
      <c r="T596" s="378"/>
      <c r="U596" s="376">
        <v>1688000</v>
      </c>
      <c r="V596" s="376">
        <f>T596</f>
        <v>0</v>
      </c>
      <c r="W596" s="376">
        <v>1953000</v>
      </c>
      <c r="X596" s="376">
        <f>V596</f>
        <v>0</v>
      </c>
      <c r="Y596" s="379" t="e">
        <f>T596/H596</f>
        <v>#VALUE!</v>
      </c>
      <c r="Z596" s="376" t="s">
        <v>76</v>
      </c>
      <c r="AA596" s="380"/>
      <c r="AB596" s="418"/>
      <c r="AC596" s="374" t="s">
        <v>40</v>
      </c>
      <c r="AD596" s="373" t="s">
        <v>771</v>
      </c>
      <c r="AE596" s="378"/>
      <c r="AF596" s="378"/>
      <c r="AG596" s="383"/>
      <c r="AH596" s="378"/>
    </row>
    <row r="597" spans="1:34" ht="14.25" customHeight="1">
      <c r="B597" s="2"/>
      <c r="C597" s="11"/>
      <c r="D597" s="11" t="s">
        <v>35</v>
      </c>
      <c r="E597" s="2"/>
      <c r="G597" s="37"/>
      <c r="J597" s="10"/>
      <c r="K597" s="10"/>
      <c r="U597" s="10"/>
      <c r="V597" s="10"/>
      <c r="W597" s="10"/>
      <c r="X597" s="10"/>
      <c r="Y597" s="10"/>
      <c r="Z597" s="10"/>
      <c r="AA597" s="61"/>
      <c r="AB597" s="50"/>
      <c r="AC597" s="14"/>
      <c r="AG597" s="300"/>
    </row>
    <row r="598" spans="1:34" ht="14.25" customHeight="1">
      <c r="B598" s="2"/>
      <c r="C598" s="11"/>
      <c r="D598" s="11" t="s">
        <v>35</v>
      </c>
      <c r="E598" s="2"/>
      <c r="G598" s="92" t="s">
        <v>772</v>
      </c>
      <c r="I598" s="18">
        <f>SUM(H595:H596)</f>
        <v>0</v>
      </c>
      <c r="J598" s="19"/>
      <c r="K598" s="19"/>
      <c r="R598" s="19">
        <f>SUM(Q595:Q596)</f>
        <v>48260</v>
      </c>
      <c r="S598" s="19"/>
      <c r="T598" s="19">
        <f>SUM(R594:R597)</f>
        <v>1210000</v>
      </c>
      <c r="U598" s="50">
        <f>SUM(T595:T596)</f>
        <v>0</v>
      </c>
      <c r="V598" s="19"/>
      <c r="W598" s="50">
        <f>SUM(V595:V596)</f>
        <v>0</v>
      </c>
      <c r="X598" s="19"/>
      <c r="Y598" s="19"/>
      <c r="Z598" s="19"/>
      <c r="AA598" s="62"/>
      <c r="AB598" s="50">
        <v>23850000</v>
      </c>
      <c r="AC598" s="14"/>
      <c r="AF598" s="29"/>
      <c r="AG598" s="301"/>
      <c r="AH598" s="29"/>
    </row>
    <row r="599" spans="1:34" ht="14.25" customHeight="1">
      <c r="B599" s="2"/>
      <c r="C599" s="11"/>
      <c r="D599" s="11" t="s">
        <v>35</v>
      </c>
      <c r="E599" s="2"/>
      <c r="I599" s="18"/>
      <c r="J599" s="19"/>
      <c r="K599" s="19"/>
      <c r="R599" s="19"/>
      <c r="S599" s="19"/>
      <c r="T599" s="19"/>
      <c r="U599" s="19"/>
      <c r="V599" s="19"/>
      <c r="W599" s="19"/>
      <c r="X599" s="19"/>
      <c r="Y599" s="19"/>
      <c r="Z599" s="19"/>
      <c r="AA599" s="62"/>
      <c r="AB599" s="50"/>
      <c r="AC599" s="14"/>
      <c r="AG599" s="300"/>
    </row>
    <row r="600" spans="1:34" ht="14.25" customHeight="1">
      <c r="B600" s="2"/>
      <c r="C600" s="11"/>
      <c r="D600" s="11" t="s">
        <v>35</v>
      </c>
      <c r="E600" s="2"/>
      <c r="I600" s="18"/>
      <c r="J600" s="19"/>
      <c r="K600" s="19"/>
      <c r="R600" s="19"/>
      <c r="S600" s="19"/>
      <c r="T600" s="19"/>
      <c r="U600" s="19"/>
      <c r="V600" s="19"/>
      <c r="W600" s="19"/>
      <c r="X600" s="19"/>
      <c r="Y600" s="19"/>
      <c r="Z600" s="19"/>
      <c r="AA600" s="62"/>
      <c r="AB600" s="54"/>
      <c r="AC600" s="14"/>
      <c r="AG600" s="300"/>
    </row>
    <row r="601" spans="1:34" ht="14.25" customHeight="1">
      <c r="A601" t="s">
        <v>928</v>
      </c>
      <c r="B601" s="2"/>
      <c r="C601" s="11"/>
      <c r="D601" s="11" t="s">
        <v>35</v>
      </c>
      <c r="E601" s="2"/>
      <c r="H601" s="6" t="s">
        <v>347</v>
      </c>
      <c r="J601" s="10"/>
      <c r="K601" s="10"/>
      <c r="L601" s="32"/>
      <c r="V601" s="10"/>
      <c r="X601" s="10"/>
      <c r="Y601" s="10"/>
      <c r="Z601" s="10"/>
      <c r="AA601" s="61"/>
      <c r="AC601" s="14"/>
      <c r="AG601" s="300"/>
    </row>
    <row r="602" spans="1:34" ht="14.25" customHeight="1">
      <c r="B602" s="2"/>
      <c r="C602" s="11"/>
      <c r="D602" s="11" t="s">
        <v>35</v>
      </c>
      <c r="E602" s="2"/>
      <c r="H602" s="12"/>
      <c r="J602" s="10"/>
      <c r="K602" s="10"/>
      <c r="L602" s="13"/>
      <c r="U602" s="10"/>
      <c r="V602" s="10"/>
      <c r="W602" s="10"/>
      <c r="X602" s="10"/>
      <c r="Y602" s="10"/>
      <c r="Z602" s="10"/>
      <c r="AA602" s="61"/>
      <c r="AC602" s="14"/>
      <c r="AG602" s="300"/>
    </row>
    <row r="603" spans="1:34" ht="72">
      <c r="A603" s="370" t="s">
        <v>471</v>
      </c>
      <c r="B603" s="371"/>
      <c r="C603" s="372" t="s">
        <v>60</v>
      </c>
      <c r="D603" s="372" t="s">
        <v>35</v>
      </c>
      <c r="E603" s="371">
        <v>550870</v>
      </c>
      <c r="F603" s="373" t="s">
        <v>347</v>
      </c>
      <c r="G603" s="373" t="s">
        <v>348</v>
      </c>
      <c r="H603" s="374" t="s">
        <v>128</v>
      </c>
      <c r="I603" s="375">
        <v>1330</v>
      </c>
      <c r="J603" s="375" t="str">
        <f t="shared" ref="J603:J613" si="123">H603</f>
        <v>Shop</v>
      </c>
      <c r="K603" s="375">
        <v>1250</v>
      </c>
      <c r="L603" s="373" t="s">
        <v>349</v>
      </c>
      <c r="M603" s="384">
        <v>44936</v>
      </c>
      <c r="N603" s="377">
        <v>46761</v>
      </c>
      <c r="O603" s="378"/>
      <c r="P603" s="378"/>
      <c r="Q603" s="377">
        <v>46031</v>
      </c>
      <c r="R603" s="376">
        <v>70000</v>
      </c>
      <c r="S603" s="376">
        <f t="shared" ref="S603:S613" si="124">Q603</f>
        <v>46031</v>
      </c>
      <c r="T603" s="378"/>
      <c r="U603" s="376">
        <v>69900</v>
      </c>
      <c r="V603" s="376">
        <f t="shared" ref="V603:V613" si="125">T603</f>
        <v>0</v>
      </c>
      <c r="W603" s="376">
        <v>69900</v>
      </c>
      <c r="X603" s="376">
        <f t="shared" ref="X603:X613" si="126">V603</f>
        <v>0</v>
      </c>
      <c r="Y603" s="379" t="e">
        <f t="shared" ref="Y603:Y613" si="127">T603/H603</f>
        <v>#VALUE!</v>
      </c>
      <c r="Z603" s="376" t="s">
        <v>69</v>
      </c>
      <c r="AA603" s="380"/>
      <c r="AB603" s="381"/>
      <c r="AC603" s="374" t="s">
        <v>40</v>
      </c>
      <c r="AD603" s="373" t="s">
        <v>350</v>
      </c>
      <c r="AE603" s="378"/>
      <c r="AF603" s="378"/>
      <c r="AG603" s="383"/>
      <c r="AH603" s="378"/>
    </row>
    <row r="604" spans="1:34" ht="24">
      <c r="A604" s="378" t="s">
        <v>471</v>
      </c>
      <c r="B604" s="371"/>
      <c r="C604" s="372" t="s">
        <v>60</v>
      </c>
      <c r="D604" s="372" t="s">
        <v>35</v>
      </c>
      <c r="E604" s="371">
        <v>550870</v>
      </c>
      <c r="F604" s="373" t="s">
        <v>347</v>
      </c>
      <c r="G604" s="373" t="s">
        <v>351</v>
      </c>
      <c r="H604" s="374" t="s">
        <v>352</v>
      </c>
      <c r="I604" s="375">
        <v>1486</v>
      </c>
      <c r="J604" s="375" t="str">
        <f t="shared" si="123"/>
        <v>Shop/ Showroom</v>
      </c>
      <c r="K604" s="375">
        <v>1500</v>
      </c>
      <c r="L604" s="373" t="s">
        <v>353</v>
      </c>
      <c r="M604" s="384">
        <v>44314</v>
      </c>
      <c r="N604" s="377">
        <v>47965</v>
      </c>
      <c r="O604" s="378"/>
      <c r="P604" s="378"/>
      <c r="Q604" s="377">
        <v>46139</v>
      </c>
      <c r="R604" s="376">
        <v>59500</v>
      </c>
      <c r="S604" s="376">
        <f t="shared" si="124"/>
        <v>46139</v>
      </c>
      <c r="T604" s="378"/>
      <c r="U604" s="376">
        <v>64900</v>
      </c>
      <c r="V604" s="376">
        <f t="shared" si="125"/>
        <v>0</v>
      </c>
      <c r="W604" s="376">
        <v>64900</v>
      </c>
      <c r="X604" s="376">
        <f t="shared" si="126"/>
        <v>0</v>
      </c>
      <c r="Y604" s="379" t="e">
        <f t="shared" si="127"/>
        <v>#VALUE!</v>
      </c>
      <c r="Z604" s="376" t="s">
        <v>39</v>
      </c>
      <c r="AA604" s="380"/>
      <c r="AB604" s="381"/>
      <c r="AC604" s="374" t="s">
        <v>40</v>
      </c>
      <c r="AD604" s="373" t="s">
        <v>354</v>
      </c>
      <c r="AE604" s="378"/>
      <c r="AF604" s="378"/>
      <c r="AG604" s="383"/>
      <c r="AH604" s="378"/>
    </row>
    <row r="605" spans="1:34" ht="26.25" customHeight="1">
      <c r="A605" s="378" t="s">
        <v>471</v>
      </c>
      <c r="B605" s="371"/>
      <c r="C605" s="372" t="s">
        <v>60</v>
      </c>
      <c r="D605" s="372" t="s">
        <v>35</v>
      </c>
      <c r="E605" s="371">
        <v>550870</v>
      </c>
      <c r="F605" s="373" t="s">
        <v>347</v>
      </c>
      <c r="G605" s="391" t="s">
        <v>355</v>
      </c>
      <c r="H605" s="374" t="s">
        <v>352</v>
      </c>
      <c r="I605" s="375">
        <v>1204</v>
      </c>
      <c r="J605" s="375" t="str">
        <f t="shared" si="123"/>
        <v>Shop/ Showroom</v>
      </c>
      <c r="K605" s="375">
        <v>1250</v>
      </c>
      <c r="L605" s="373" t="s">
        <v>356</v>
      </c>
      <c r="M605" s="384">
        <v>45665</v>
      </c>
      <c r="N605" s="377">
        <v>45740</v>
      </c>
      <c r="O605" s="378"/>
      <c r="P605" s="378"/>
      <c r="Q605" s="378"/>
      <c r="R605" s="376">
        <v>59216</v>
      </c>
      <c r="S605" s="376">
        <f t="shared" si="124"/>
        <v>0</v>
      </c>
      <c r="T605" s="378"/>
      <c r="U605" s="376">
        <v>53100</v>
      </c>
      <c r="V605" s="376">
        <f t="shared" si="125"/>
        <v>0</v>
      </c>
      <c r="W605" s="376">
        <v>53100</v>
      </c>
      <c r="X605" s="376">
        <f t="shared" si="126"/>
        <v>0</v>
      </c>
      <c r="Y605" s="379" t="e">
        <f t="shared" si="127"/>
        <v>#VALUE!</v>
      </c>
      <c r="Z605" s="376" t="s">
        <v>39</v>
      </c>
      <c r="AA605" s="380"/>
      <c r="AB605" s="381"/>
      <c r="AC605" s="374" t="s">
        <v>40</v>
      </c>
      <c r="AD605" s="391" t="s">
        <v>357</v>
      </c>
      <c r="AE605" s="392"/>
      <c r="AF605" s="391"/>
      <c r="AG605" s="393"/>
      <c r="AH605" s="391"/>
    </row>
    <row r="606" spans="1:34" ht="35.25" customHeight="1">
      <c r="A606" s="378" t="s">
        <v>471</v>
      </c>
      <c r="B606" s="371"/>
      <c r="C606" s="372" t="s">
        <v>60</v>
      </c>
      <c r="D606" s="372" t="s">
        <v>35</v>
      </c>
      <c r="E606" s="371">
        <v>550870</v>
      </c>
      <c r="F606" s="373" t="s">
        <v>347</v>
      </c>
      <c r="G606" s="373" t="s">
        <v>358</v>
      </c>
      <c r="H606" s="374" t="s">
        <v>352</v>
      </c>
      <c r="I606" s="375">
        <v>1119</v>
      </c>
      <c r="J606" s="375" t="str">
        <f t="shared" si="123"/>
        <v>Shop/ Showroom</v>
      </c>
      <c r="K606" s="375">
        <v>1250</v>
      </c>
      <c r="L606" s="373" t="s">
        <v>356</v>
      </c>
      <c r="M606" s="384">
        <v>45665</v>
      </c>
      <c r="N606" s="377">
        <v>45740</v>
      </c>
      <c r="O606" s="378"/>
      <c r="P606" s="378"/>
      <c r="Q606" s="378"/>
      <c r="R606" s="376">
        <v>58314</v>
      </c>
      <c r="S606" s="376">
        <f t="shared" si="124"/>
        <v>0</v>
      </c>
      <c r="T606" s="378"/>
      <c r="U606" s="376">
        <v>51200</v>
      </c>
      <c r="V606" s="376">
        <f t="shared" si="125"/>
        <v>0</v>
      </c>
      <c r="W606" s="376">
        <v>51200</v>
      </c>
      <c r="X606" s="376">
        <f t="shared" si="126"/>
        <v>0</v>
      </c>
      <c r="Y606" s="379" t="e">
        <f t="shared" si="127"/>
        <v>#VALUE!</v>
      </c>
      <c r="Z606" s="376" t="s">
        <v>69</v>
      </c>
      <c r="AA606" s="380"/>
      <c r="AB606" s="381"/>
      <c r="AC606" s="374" t="s">
        <v>40</v>
      </c>
      <c r="AD606" s="391" t="s">
        <v>357</v>
      </c>
      <c r="AE606" s="392"/>
      <c r="AF606" s="391"/>
      <c r="AG606" s="393"/>
      <c r="AH606" s="391"/>
    </row>
    <row r="607" spans="1:34" ht="28.5" customHeight="1">
      <c r="A607" s="378" t="s">
        <v>471</v>
      </c>
      <c r="B607" s="371"/>
      <c r="C607" s="372" t="s">
        <v>60</v>
      </c>
      <c r="D607" s="372" t="s">
        <v>35</v>
      </c>
      <c r="E607" s="371">
        <v>550870</v>
      </c>
      <c r="F607" s="373" t="s">
        <v>347</v>
      </c>
      <c r="G607" s="373" t="s">
        <v>359</v>
      </c>
      <c r="H607" s="374" t="s">
        <v>83</v>
      </c>
      <c r="I607" s="375">
        <v>3114</v>
      </c>
      <c r="J607" s="375" t="str">
        <f t="shared" si="123"/>
        <v>Restaurant</v>
      </c>
      <c r="K607" s="375">
        <v>3000</v>
      </c>
      <c r="L607" s="373" t="s">
        <v>360</v>
      </c>
      <c r="M607" s="384">
        <v>44143</v>
      </c>
      <c r="N607" s="377">
        <v>49620</v>
      </c>
      <c r="O607" s="378"/>
      <c r="P607" s="377">
        <v>45969</v>
      </c>
      <c r="Q607" s="378"/>
      <c r="R607" s="376">
        <v>175000</v>
      </c>
      <c r="S607" s="376">
        <f t="shared" si="124"/>
        <v>0</v>
      </c>
      <c r="T607" s="378"/>
      <c r="U607" s="376">
        <v>146200</v>
      </c>
      <c r="V607" s="376">
        <f t="shared" si="125"/>
        <v>0</v>
      </c>
      <c r="W607" s="376">
        <v>146200</v>
      </c>
      <c r="X607" s="376">
        <f t="shared" si="126"/>
        <v>0</v>
      </c>
      <c r="Y607" s="379" t="e">
        <f t="shared" si="127"/>
        <v>#VALUE!</v>
      </c>
      <c r="Z607" s="376" t="s">
        <v>69</v>
      </c>
      <c r="AA607" s="380"/>
      <c r="AB607" s="381"/>
      <c r="AC607" s="374" t="s">
        <v>94</v>
      </c>
      <c r="AD607" s="391" t="s">
        <v>361</v>
      </c>
      <c r="AE607" s="392"/>
      <c r="AF607" s="391"/>
      <c r="AG607" s="393"/>
      <c r="AH607" s="391"/>
    </row>
    <row r="608" spans="1:34" ht="24" customHeight="1">
      <c r="A608" s="378" t="s">
        <v>471</v>
      </c>
      <c r="B608" s="371"/>
      <c r="C608" s="372" t="s">
        <v>60</v>
      </c>
      <c r="D608" s="372" t="s">
        <v>35</v>
      </c>
      <c r="E608" s="371">
        <v>550870</v>
      </c>
      <c r="F608" s="373" t="s">
        <v>347</v>
      </c>
      <c r="G608" s="391" t="s">
        <v>330</v>
      </c>
      <c r="H608" s="374" t="s">
        <v>37</v>
      </c>
      <c r="I608" s="375">
        <v>1560</v>
      </c>
      <c r="J608" s="375" t="str">
        <f t="shared" si="123"/>
        <v>Office</v>
      </c>
      <c r="K608" s="375">
        <v>1500</v>
      </c>
      <c r="L608" s="373" t="s">
        <v>753</v>
      </c>
      <c r="M608" s="384">
        <v>44732</v>
      </c>
      <c r="N608" s="377">
        <v>46557</v>
      </c>
      <c r="O608" s="378"/>
      <c r="P608" s="384"/>
      <c r="Q608" s="384">
        <v>45827</v>
      </c>
      <c r="R608" s="376">
        <v>84816</v>
      </c>
      <c r="S608" s="376">
        <f t="shared" si="124"/>
        <v>45827</v>
      </c>
      <c r="T608" s="378"/>
      <c r="U608" s="376">
        <v>85800</v>
      </c>
      <c r="V608" s="376">
        <f t="shared" si="125"/>
        <v>0</v>
      </c>
      <c r="W608" s="376">
        <v>85800</v>
      </c>
      <c r="X608" s="376">
        <f t="shared" si="126"/>
        <v>0</v>
      </c>
      <c r="Y608" s="379" t="e">
        <f t="shared" si="127"/>
        <v>#VALUE!</v>
      </c>
      <c r="Z608" s="376" t="s">
        <v>39</v>
      </c>
      <c r="AA608" s="380"/>
      <c r="AB608" s="381"/>
      <c r="AC608" s="374" t="s">
        <v>40</v>
      </c>
      <c r="AD608" s="373" t="s">
        <v>773</v>
      </c>
      <c r="AE608" s="378"/>
      <c r="AF608" s="378"/>
      <c r="AG608" s="383"/>
      <c r="AH608" s="378"/>
    </row>
    <row r="609" spans="1:34" ht="36">
      <c r="A609" s="378" t="s">
        <v>471</v>
      </c>
      <c r="B609" s="371"/>
      <c r="C609" s="372" t="s">
        <v>60</v>
      </c>
      <c r="D609" s="372" t="s">
        <v>35</v>
      </c>
      <c r="E609" s="371">
        <v>550870</v>
      </c>
      <c r="F609" s="373" t="s">
        <v>347</v>
      </c>
      <c r="G609" s="391" t="s">
        <v>513</v>
      </c>
      <c r="H609" s="374" t="s">
        <v>37</v>
      </c>
      <c r="I609" s="375">
        <v>1454</v>
      </c>
      <c r="J609" s="375" t="str">
        <f t="shared" si="123"/>
        <v>Office</v>
      </c>
      <c r="K609" s="375">
        <v>1500</v>
      </c>
      <c r="L609" s="373" t="s">
        <v>753</v>
      </c>
      <c r="M609" s="384">
        <v>44419</v>
      </c>
      <c r="N609" s="377">
        <v>46244</v>
      </c>
      <c r="O609" s="378"/>
      <c r="P609" s="384"/>
      <c r="Q609" s="384"/>
      <c r="R609" s="376">
        <v>62963</v>
      </c>
      <c r="S609" s="376">
        <f t="shared" si="124"/>
        <v>0</v>
      </c>
      <c r="T609" s="378"/>
      <c r="U609" s="376">
        <v>80000</v>
      </c>
      <c r="V609" s="376">
        <f t="shared" si="125"/>
        <v>0</v>
      </c>
      <c r="W609" s="376">
        <v>80000</v>
      </c>
      <c r="X609" s="376">
        <f t="shared" si="126"/>
        <v>0</v>
      </c>
      <c r="Y609" s="379" t="e">
        <f t="shared" si="127"/>
        <v>#VALUE!</v>
      </c>
      <c r="Z609" s="376" t="s">
        <v>69</v>
      </c>
      <c r="AA609" s="380"/>
      <c r="AB609" s="381"/>
      <c r="AC609" s="374" t="s">
        <v>40</v>
      </c>
      <c r="AD609" s="373" t="s">
        <v>774</v>
      </c>
      <c r="AE609" s="378"/>
      <c r="AF609" s="378"/>
      <c r="AG609" s="383"/>
      <c r="AH609" s="378"/>
    </row>
    <row r="610" spans="1:34" ht="48">
      <c r="A610" s="378" t="s">
        <v>471</v>
      </c>
      <c r="B610" s="371"/>
      <c r="C610" s="372" t="s">
        <v>60</v>
      </c>
      <c r="D610" s="372" t="s">
        <v>35</v>
      </c>
      <c r="E610" s="371">
        <v>550870</v>
      </c>
      <c r="F610" s="373" t="s">
        <v>347</v>
      </c>
      <c r="G610" s="391" t="s">
        <v>520</v>
      </c>
      <c r="H610" s="374" t="s">
        <v>37</v>
      </c>
      <c r="I610" s="375">
        <v>1395</v>
      </c>
      <c r="J610" s="375" t="str">
        <f t="shared" si="123"/>
        <v>Office</v>
      </c>
      <c r="K610" s="375">
        <v>1500</v>
      </c>
      <c r="L610" s="373" t="s">
        <v>775</v>
      </c>
      <c r="M610" s="384">
        <v>45594</v>
      </c>
      <c r="N610" s="377">
        <v>45958</v>
      </c>
      <c r="O610" s="378"/>
      <c r="P610" s="378"/>
      <c r="Q610" s="377">
        <v>45837</v>
      </c>
      <c r="R610" s="376">
        <v>90675</v>
      </c>
      <c r="S610" s="376">
        <f t="shared" si="124"/>
        <v>45837</v>
      </c>
      <c r="T610" s="378"/>
      <c r="U610" s="376">
        <v>76700</v>
      </c>
      <c r="V610" s="376">
        <f t="shared" si="125"/>
        <v>0</v>
      </c>
      <c r="W610" s="376">
        <v>76700</v>
      </c>
      <c r="X610" s="376">
        <f t="shared" si="126"/>
        <v>0</v>
      </c>
      <c r="Y610" s="379" t="e">
        <f t="shared" si="127"/>
        <v>#VALUE!</v>
      </c>
      <c r="Z610" s="376" t="s">
        <v>76</v>
      </c>
      <c r="AA610" s="380"/>
      <c r="AB610" s="381"/>
      <c r="AC610" s="374" t="s">
        <v>40</v>
      </c>
      <c r="AD610" s="373" t="s">
        <v>776</v>
      </c>
      <c r="AE610" s="378"/>
      <c r="AF610" s="378"/>
      <c r="AG610" s="383"/>
      <c r="AH610" s="378"/>
    </row>
    <row r="611" spans="1:34" ht="60">
      <c r="A611" s="378" t="s">
        <v>471</v>
      </c>
      <c r="B611" s="371"/>
      <c r="C611" s="372" t="s">
        <v>60</v>
      </c>
      <c r="D611" s="372" t="s">
        <v>35</v>
      </c>
      <c r="E611" s="371">
        <v>550870</v>
      </c>
      <c r="F611" s="373" t="s">
        <v>347</v>
      </c>
      <c r="G611" s="391" t="s">
        <v>518</v>
      </c>
      <c r="H611" s="374" t="s">
        <v>37</v>
      </c>
      <c r="I611" s="375">
        <v>1281</v>
      </c>
      <c r="J611" s="375" t="str">
        <f t="shared" si="123"/>
        <v>Office</v>
      </c>
      <c r="K611" s="375">
        <v>1250</v>
      </c>
      <c r="L611" s="373" t="s">
        <v>753</v>
      </c>
      <c r="M611" s="384">
        <v>45393</v>
      </c>
      <c r="N611" s="377">
        <v>47218</v>
      </c>
      <c r="O611" s="378"/>
      <c r="P611" s="378"/>
      <c r="Q611" s="377">
        <v>46488</v>
      </c>
      <c r="R611" s="390">
        <v>72800</v>
      </c>
      <c r="S611" s="376">
        <f t="shared" si="124"/>
        <v>46488</v>
      </c>
      <c r="T611" s="378"/>
      <c r="U611" s="376">
        <v>70500</v>
      </c>
      <c r="V611" s="376">
        <f t="shared" si="125"/>
        <v>0</v>
      </c>
      <c r="W611" s="376">
        <v>70500</v>
      </c>
      <c r="X611" s="376">
        <f t="shared" si="126"/>
        <v>0</v>
      </c>
      <c r="Y611" s="379" t="e">
        <f t="shared" si="127"/>
        <v>#VALUE!</v>
      </c>
      <c r="Z611" s="376" t="s">
        <v>69</v>
      </c>
      <c r="AA611" s="380"/>
      <c r="AB611" s="381"/>
      <c r="AC611" s="374" t="s">
        <v>40</v>
      </c>
      <c r="AD611" s="373" t="s">
        <v>777</v>
      </c>
      <c r="AE611" s="378"/>
      <c r="AF611" s="378"/>
      <c r="AG611" s="383"/>
      <c r="AH611" s="378"/>
    </row>
    <row r="612" spans="1:34">
      <c r="A612" s="378" t="s">
        <v>471</v>
      </c>
      <c r="B612" s="371"/>
      <c r="C612" s="372" t="s">
        <v>60</v>
      </c>
      <c r="D612" s="372" t="s">
        <v>35</v>
      </c>
      <c r="E612" s="371">
        <v>550870</v>
      </c>
      <c r="F612" s="373" t="s">
        <v>347</v>
      </c>
      <c r="G612" s="391" t="s">
        <v>720</v>
      </c>
      <c r="H612" s="374" t="s">
        <v>37</v>
      </c>
      <c r="I612" s="375">
        <v>1371</v>
      </c>
      <c r="J612" s="375" t="str">
        <f t="shared" si="123"/>
        <v>Office</v>
      </c>
      <c r="K612" s="375">
        <v>1250</v>
      </c>
      <c r="L612" s="373" t="s">
        <v>68</v>
      </c>
      <c r="M612" s="378"/>
      <c r="N612" s="378"/>
      <c r="O612" s="377">
        <v>44647</v>
      </c>
      <c r="P612" s="384"/>
      <c r="Q612" s="384"/>
      <c r="R612" s="376">
        <v>0</v>
      </c>
      <c r="S612" s="376">
        <f t="shared" si="124"/>
        <v>0</v>
      </c>
      <c r="T612" s="378"/>
      <c r="U612" s="376">
        <v>75400</v>
      </c>
      <c r="V612" s="376">
        <f t="shared" si="125"/>
        <v>0</v>
      </c>
      <c r="W612" s="376">
        <v>75400</v>
      </c>
      <c r="X612" s="376">
        <f t="shared" si="126"/>
        <v>0</v>
      </c>
      <c r="Y612" s="379" t="e">
        <f t="shared" si="127"/>
        <v>#VALUE!</v>
      </c>
      <c r="Z612" s="376" t="s">
        <v>69</v>
      </c>
      <c r="AA612" s="380"/>
      <c r="AB612" s="381"/>
      <c r="AC612" s="374" t="s">
        <v>40</v>
      </c>
      <c r="AD612" s="391" t="s">
        <v>510</v>
      </c>
      <c r="AE612" s="392">
        <v>62</v>
      </c>
      <c r="AF612" s="391"/>
      <c r="AG612" s="393"/>
      <c r="AH612" s="391"/>
    </row>
    <row r="613" spans="1:34" ht="16.5" customHeight="1">
      <c r="A613" s="378" t="s">
        <v>471</v>
      </c>
      <c r="B613" s="371"/>
      <c r="C613" s="372" t="s">
        <v>60</v>
      </c>
      <c r="D613" s="372" t="s">
        <v>35</v>
      </c>
      <c r="E613" s="371">
        <v>550870</v>
      </c>
      <c r="F613" s="373" t="s">
        <v>347</v>
      </c>
      <c r="G613" s="391" t="s">
        <v>522</v>
      </c>
      <c r="H613" s="374" t="s">
        <v>37</v>
      </c>
      <c r="I613" s="375">
        <v>1204</v>
      </c>
      <c r="J613" s="375" t="str">
        <f t="shared" si="123"/>
        <v>Office</v>
      </c>
      <c r="K613" s="375">
        <v>1250</v>
      </c>
      <c r="L613" s="373" t="s">
        <v>68</v>
      </c>
      <c r="M613" s="378"/>
      <c r="N613" s="378"/>
      <c r="O613" s="377">
        <v>42983</v>
      </c>
      <c r="P613" s="384"/>
      <c r="Q613" s="384"/>
      <c r="R613" s="376">
        <v>0</v>
      </c>
      <c r="S613" s="376">
        <f t="shared" si="124"/>
        <v>0</v>
      </c>
      <c r="T613" s="378"/>
      <c r="U613" s="376">
        <v>66200</v>
      </c>
      <c r="V613" s="376">
        <f t="shared" si="125"/>
        <v>0</v>
      </c>
      <c r="W613" s="376">
        <v>66200</v>
      </c>
      <c r="X613" s="376">
        <f t="shared" si="126"/>
        <v>0</v>
      </c>
      <c r="Y613" s="379" t="e">
        <f t="shared" si="127"/>
        <v>#VALUE!</v>
      </c>
      <c r="Z613" s="376" t="s">
        <v>76</v>
      </c>
      <c r="AA613" s="380"/>
      <c r="AB613" s="381"/>
      <c r="AC613" s="374" t="s">
        <v>40</v>
      </c>
      <c r="AD613" s="391" t="s">
        <v>510</v>
      </c>
      <c r="AE613" s="392">
        <v>62</v>
      </c>
      <c r="AF613" s="391"/>
      <c r="AG613" s="393"/>
      <c r="AH613" s="391"/>
    </row>
    <row r="614" spans="1:34" ht="14.25" customHeight="1">
      <c r="B614" s="2"/>
      <c r="C614" s="11"/>
      <c r="D614" s="11" t="s">
        <v>35</v>
      </c>
      <c r="E614" s="2"/>
      <c r="G614" s="37"/>
      <c r="J614" s="10"/>
      <c r="K614" s="10"/>
      <c r="U614" s="10"/>
      <c r="V614" s="10"/>
      <c r="W614" s="10"/>
      <c r="X614" s="10"/>
      <c r="Y614" s="10"/>
      <c r="Z614" s="10"/>
      <c r="AA614" s="61"/>
      <c r="AC614" s="14"/>
      <c r="AG614" s="300"/>
    </row>
    <row r="615" spans="1:34" ht="14.25" customHeight="1">
      <c r="B615" s="2"/>
      <c r="C615" s="11"/>
      <c r="D615" s="11" t="s">
        <v>35</v>
      </c>
      <c r="E615" s="2"/>
      <c r="G615" s="92" t="s">
        <v>778</v>
      </c>
      <c r="I615" s="18">
        <f>SUM(H603:H613)</f>
        <v>0</v>
      </c>
      <c r="J615" s="19"/>
      <c r="K615" s="19"/>
      <c r="R615" s="38">
        <f>SUM(Q603:Q613)</f>
        <v>230322</v>
      </c>
      <c r="S615" s="19"/>
      <c r="T615" s="19">
        <f>SUM(R601:R614)</f>
        <v>733284</v>
      </c>
      <c r="U615" s="19">
        <f>SUM(T603:T613)</f>
        <v>0</v>
      </c>
      <c r="V615" s="19"/>
      <c r="W615" s="19">
        <f>SUM(V603:V613)</f>
        <v>0</v>
      </c>
      <c r="X615" s="19"/>
      <c r="Y615" s="19"/>
      <c r="Z615" s="19"/>
      <c r="AA615" s="62"/>
      <c r="AB615" s="19">
        <v>12075000</v>
      </c>
      <c r="AC615" s="14"/>
      <c r="AF615" s="29"/>
      <c r="AG615" s="301"/>
      <c r="AH615" s="29"/>
    </row>
    <row r="616" spans="1:34" ht="14.25" customHeight="1">
      <c r="B616" s="2"/>
      <c r="C616" s="11"/>
      <c r="D616" s="11" t="s">
        <v>35</v>
      </c>
      <c r="E616" s="2"/>
      <c r="H616" s="41"/>
      <c r="I616" s="18"/>
      <c r="J616" s="19"/>
      <c r="K616" s="19"/>
      <c r="R616" s="19"/>
      <c r="S616" s="19"/>
      <c r="T616" s="19"/>
      <c r="U616" s="19"/>
      <c r="V616" s="19"/>
      <c r="W616" s="19"/>
      <c r="X616" s="19"/>
      <c r="Y616" s="19"/>
      <c r="Z616" s="19"/>
      <c r="AA616" s="62"/>
      <c r="AB616" s="54"/>
      <c r="AC616" s="14"/>
      <c r="AD616" s="37"/>
      <c r="AE616" s="325"/>
      <c r="AF616" s="37"/>
      <c r="AG616" s="302"/>
      <c r="AH616" s="37"/>
    </row>
    <row r="617" spans="1:34" ht="14.25" customHeight="1">
      <c r="A617" t="s">
        <v>928</v>
      </c>
      <c r="B617" s="2"/>
      <c r="C617" s="11"/>
      <c r="D617" s="11" t="s">
        <v>35</v>
      </c>
      <c r="E617" s="2"/>
      <c r="H617" s="6" t="s">
        <v>362</v>
      </c>
      <c r="J617" s="10"/>
      <c r="K617" s="10"/>
      <c r="L617" s="32"/>
      <c r="V617" s="10"/>
      <c r="X617" s="10"/>
      <c r="Y617" s="10"/>
      <c r="Z617" s="10"/>
      <c r="AA617" s="61"/>
      <c r="AC617" s="14"/>
      <c r="AG617" s="300"/>
    </row>
    <row r="618" spans="1:34" ht="14.25" customHeight="1">
      <c r="B618" s="2"/>
      <c r="C618" s="11"/>
      <c r="D618" s="11" t="s">
        <v>35</v>
      </c>
      <c r="E618" s="2"/>
      <c r="H618" s="41"/>
      <c r="I618" s="18"/>
      <c r="J618" s="19"/>
      <c r="K618" s="19"/>
      <c r="R618" s="19"/>
      <c r="S618" s="19"/>
      <c r="T618" s="19"/>
      <c r="U618" s="19"/>
      <c r="V618" s="19"/>
      <c r="W618" s="19"/>
      <c r="X618" s="19"/>
      <c r="Y618" s="19"/>
      <c r="Z618" s="19"/>
      <c r="AA618" s="62"/>
      <c r="AB618" s="54"/>
      <c r="AC618" s="14"/>
      <c r="AD618" s="37"/>
      <c r="AE618" s="325"/>
      <c r="AF618" s="37"/>
      <c r="AG618" s="302"/>
      <c r="AH618" s="37"/>
    </row>
    <row r="619" spans="1:34" ht="24" customHeight="1">
      <c r="A619" t="s">
        <v>471</v>
      </c>
      <c r="B619" s="2"/>
      <c r="C619" s="11" t="s">
        <v>60</v>
      </c>
      <c r="D619" s="11" t="s">
        <v>35</v>
      </c>
      <c r="E619" s="2">
        <v>550980</v>
      </c>
      <c r="F619" s="4" t="s">
        <v>362</v>
      </c>
      <c r="G619" s="4" t="s">
        <v>246</v>
      </c>
      <c r="H619" s="14" t="s">
        <v>363</v>
      </c>
      <c r="I619" s="18">
        <v>10112</v>
      </c>
      <c r="J619" s="19" t="str">
        <f>H619</f>
        <v>Gallery</v>
      </c>
      <c r="K619" s="19"/>
      <c r="L619" s="4" t="s">
        <v>364</v>
      </c>
      <c r="M619" s="8">
        <v>45708</v>
      </c>
      <c r="N619" s="9">
        <v>51185</v>
      </c>
      <c r="P619" s="9">
        <v>47534</v>
      </c>
      <c r="Q619" s="9">
        <v>47898</v>
      </c>
      <c r="R619" s="38">
        <v>550000</v>
      </c>
      <c r="S619" s="19">
        <f>Q619</f>
        <v>47898</v>
      </c>
      <c r="T619" s="19">
        <f>R619</f>
        <v>550000</v>
      </c>
      <c r="U619" s="19">
        <v>750000</v>
      </c>
      <c r="V619" s="19">
        <f>T619</f>
        <v>550000</v>
      </c>
      <c r="W619" s="19">
        <v>685000</v>
      </c>
      <c r="X619" s="19">
        <f>V619</f>
        <v>550000</v>
      </c>
      <c r="Y619" s="299" t="e">
        <f>T619/H619</f>
        <v>#VALUE!</v>
      </c>
      <c r="Z619" s="19" t="s">
        <v>243</v>
      </c>
      <c r="AA619" s="62"/>
      <c r="AB619" s="19">
        <v>11800000</v>
      </c>
      <c r="AC619" s="14" t="s">
        <v>40</v>
      </c>
      <c r="AD619" s="37" t="s">
        <v>365</v>
      </c>
      <c r="AF619" s="4">
        <v>1</v>
      </c>
      <c r="AG619" s="300">
        <v>1</v>
      </c>
    </row>
    <row r="620" spans="1:34" ht="14.25" customHeight="1">
      <c r="B620" s="2"/>
      <c r="C620" s="11"/>
      <c r="D620" s="11" t="s">
        <v>35</v>
      </c>
      <c r="E620" s="2"/>
      <c r="I620" s="18"/>
      <c r="J620" s="19"/>
      <c r="K620" s="19"/>
      <c r="R620" s="19"/>
      <c r="S620" s="19"/>
      <c r="T620" s="19"/>
      <c r="U620" s="19"/>
      <c r="V620" s="19"/>
      <c r="W620" s="19"/>
      <c r="X620" s="19"/>
      <c r="Y620" s="19"/>
      <c r="Z620" s="19"/>
      <c r="AA620" s="62"/>
      <c r="AB620" s="19"/>
      <c r="AC620" s="14"/>
      <c r="AG620" s="300"/>
    </row>
    <row r="621" spans="1:34" ht="14.25" customHeight="1">
      <c r="B621" s="2"/>
      <c r="C621" s="11"/>
      <c r="D621" s="11" t="s">
        <v>35</v>
      </c>
      <c r="E621" s="2"/>
      <c r="G621" s="92" t="s">
        <v>366</v>
      </c>
      <c r="I621" s="33">
        <f>SUM(H619:H620)</f>
        <v>0</v>
      </c>
      <c r="J621" s="18"/>
      <c r="K621" s="18"/>
      <c r="L621" s="34"/>
      <c r="M621" s="35"/>
      <c r="N621" s="36"/>
      <c r="O621" s="36"/>
      <c r="P621" s="36"/>
      <c r="Q621" s="36"/>
      <c r="R621" s="33">
        <f>SUM(Q619:Q620)</f>
        <v>47898</v>
      </c>
      <c r="S621" s="33"/>
      <c r="T621" s="33"/>
      <c r="U621" s="33">
        <f>SUM(T619:T620)</f>
        <v>550000</v>
      </c>
      <c r="V621" s="33"/>
      <c r="W621" s="33">
        <f>SUM(V619:V620)</f>
        <v>550000</v>
      </c>
      <c r="X621" s="33"/>
      <c r="Y621" s="33"/>
      <c r="Z621" s="33"/>
      <c r="AA621" s="63"/>
      <c r="AB621" s="19"/>
      <c r="AC621" s="14"/>
      <c r="AG621" s="300"/>
    </row>
    <row r="622" spans="1:34" ht="14.25" customHeight="1">
      <c r="A622" t="s">
        <v>928</v>
      </c>
      <c r="B622" s="2"/>
      <c r="C622" s="11"/>
      <c r="D622" s="11" t="s">
        <v>35</v>
      </c>
      <c r="E622" s="2"/>
      <c r="H622" s="6" t="s">
        <v>367</v>
      </c>
      <c r="J622" s="10"/>
      <c r="K622" s="10"/>
      <c r="L622" s="32"/>
      <c r="V622" s="10"/>
      <c r="X622" s="10"/>
      <c r="Y622" s="10"/>
      <c r="Z622" s="10"/>
      <c r="AA622" s="61"/>
      <c r="AB622" s="19"/>
      <c r="AC622" s="14"/>
      <c r="AG622" s="300"/>
    </row>
    <row r="623" spans="1:34" ht="14.25" customHeight="1">
      <c r="B623" s="2"/>
      <c r="C623" s="11"/>
      <c r="D623" s="11" t="s">
        <v>35</v>
      </c>
      <c r="E623" s="2"/>
      <c r="H623" s="6"/>
      <c r="I623" s="26"/>
      <c r="J623" s="10"/>
      <c r="K623" s="10"/>
      <c r="L623" s="26"/>
      <c r="M623" s="57"/>
      <c r="N623" s="57"/>
      <c r="O623" s="57"/>
      <c r="P623" s="43"/>
      <c r="Q623" s="43"/>
      <c r="U623" s="23"/>
      <c r="V623" s="10"/>
      <c r="W623" s="23"/>
      <c r="X623" s="10"/>
      <c r="Y623" s="10"/>
      <c r="Z623" s="10"/>
      <c r="AA623" s="61"/>
      <c r="AB623" s="19"/>
      <c r="AC623" s="14"/>
      <c r="AD623" s="32"/>
      <c r="AF623" s="32"/>
      <c r="AG623" s="306"/>
      <c r="AH623" s="32"/>
    </row>
    <row r="624" spans="1:34" ht="60">
      <c r="A624" s="370" t="s">
        <v>471</v>
      </c>
      <c r="B624" s="371"/>
      <c r="C624" s="372" t="s">
        <v>322</v>
      </c>
      <c r="D624" s="372" t="s">
        <v>35</v>
      </c>
      <c r="E624" s="371">
        <v>100850</v>
      </c>
      <c r="F624" s="373" t="s">
        <v>367</v>
      </c>
      <c r="G624" s="373" t="s">
        <v>99</v>
      </c>
      <c r="H624" s="374" t="s">
        <v>368</v>
      </c>
      <c r="I624" s="375">
        <v>5200</v>
      </c>
      <c r="J624" s="375" t="str">
        <f>H624</f>
        <v>Retail/ Ancillary</v>
      </c>
      <c r="K624" s="375">
        <v>5000</v>
      </c>
      <c r="L624" s="373" t="s">
        <v>68</v>
      </c>
      <c r="M624" s="378"/>
      <c r="N624" s="378"/>
      <c r="O624" s="377">
        <v>45740</v>
      </c>
      <c r="P624" s="378"/>
      <c r="Q624" s="378"/>
      <c r="R624" s="376">
        <v>0</v>
      </c>
      <c r="S624" s="376">
        <f>Q624</f>
        <v>0</v>
      </c>
      <c r="T624" s="378"/>
      <c r="U624" s="416">
        <v>616000</v>
      </c>
      <c r="V624" s="376">
        <f>T624</f>
        <v>0</v>
      </c>
      <c r="W624" s="416">
        <v>617000</v>
      </c>
      <c r="X624" s="376">
        <f>V624</f>
        <v>0</v>
      </c>
      <c r="Y624" s="379" t="e">
        <f>T624/H624</f>
        <v>#VALUE!</v>
      </c>
      <c r="Z624" s="376" t="s">
        <v>58</v>
      </c>
      <c r="AA624" s="380"/>
      <c r="AB624" s="394"/>
      <c r="AC624" s="374" t="s">
        <v>40</v>
      </c>
      <c r="AD624" s="391" t="s">
        <v>369</v>
      </c>
      <c r="AE624" s="392"/>
      <c r="AF624" s="391">
        <v>1</v>
      </c>
      <c r="AG624" s="393">
        <v>1</v>
      </c>
      <c r="AH624" s="391" t="s">
        <v>160</v>
      </c>
    </row>
    <row r="625" spans="1:34" ht="24" customHeight="1">
      <c r="A625" s="378" t="s">
        <v>471</v>
      </c>
      <c r="B625" s="371"/>
      <c r="C625" s="372" t="s">
        <v>322</v>
      </c>
      <c r="D625" s="372" t="s">
        <v>35</v>
      </c>
      <c r="E625" s="371">
        <v>100850</v>
      </c>
      <c r="F625" s="373" t="s">
        <v>367</v>
      </c>
      <c r="G625" s="373" t="s">
        <v>370</v>
      </c>
      <c r="H625" s="374" t="s">
        <v>148</v>
      </c>
      <c r="I625" s="413">
        <v>85</v>
      </c>
      <c r="J625" s="375" t="str">
        <f>H625</f>
        <v>Kiosk</v>
      </c>
      <c r="K625" s="378"/>
      <c r="L625" s="419" t="s">
        <v>371</v>
      </c>
      <c r="M625" s="384">
        <v>45589</v>
      </c>
      <c r="N625" s="384">
        <v>45953</v>
      </c>
      <c r="O625" s="384"/>
      <c r="P625" s="378"/>
      <c r="Q625" s="378"/>
      <c r="R625" s="376">
        <v>68250</v>
      </c>
      <c r="S625" s="376">
        <f>Q625</f>
        <v>0</v>
      </c>
      <c r="T625" s="378"/>
      <c r="U625" s="416">
        <v>65000</v>
      </c>
      <c r="V625" s="376">
        <f>T625</f>
        <v>0</v>
      </c>
      <c r="W625" s="416">
        <v>0</v>
      </c>
      <c r="X625" s="376">
        <f>V625</f>
        <v>0</v>
      </c>
      <c r="Y625" s="379" t="e">
        <f>T625/H625</f>
        <v>#VALUE!</v>
      </c>
      <c r="Z625" s="376"/>
      <c r="AA625" s="380"/>
      <c r="AB625" s="394"/>
      <c r="AC625" s="374" t="s">
        <v>40</v>
      </c>
      <c r="AD625" s="400" t="s">
        <v>372</v>
      </c>
      <c r="AE625" s="378"/>
      <c r="AF625" s="400"/>
      <c r="AG625" s="420"/>
      <c r="AH625" s="400"/>
    </row>
    <row r="626" spans="1:34" ht="24">
      <c r="A626" s="378" t="s">
        <v>471</v>
      </c>
      <c r="B626" s="371"/>
      <c r="C626" s="372" t="s">
        <v>322</v>
      </c>
      <c r="D626" s="372" t="s">
        <v>35</v>
      </c>
      <c r="E626" s="371">
        <v>100850</v>
      </c>
      <c r="F626" s="373" t="s">
        <v>367</v>
      </c>
      <c r="G626" s="373" t="s">
        <v>373</v>
      </c>
      <c r="H626" s="374" t="s">
        <v>210</v>
      </c>
      <c r="I626" s="413">
        <v>4011</v>
      </c>
      <c r="J626" s="375" t="str">
        <f>H626</f>
        <v>Residential</v>
      </c>
      <c r="K626" s="375">
        <v>4000</v>
      </c>
      <c r="L626" s="373" t="s">
        <v>374</v>
      </c>
      <c r="M626" s="384">
        <v>44204</v>
      </c>
      <c r="N626" s="377">
        <v>47855</v>
      </c>
      <c r="O626" s="378"/>
      <c r="P626" s="377">
        <v>46030</v>
      </c>
      <c r="Q626" s="378"/>
      <c r="R626" s="376">
        <v>130000</v>
      </c>
      <c r="S626" s="376">
        <f>Q626</f>
        <v>0</v>
      </c>
      <c r="T626" s="378"/>
      <c r="U626" s="416">
        <v>130000</v>
      </c>
      <c r="V626" s="376">
        <f>T626</f>
        <v>0</v>
      </c>
      <c r="W626" s="416">
        <v>130000</v>
      </c>
      <c r="X626" s="376">
        <f>V626</f>
        <v>0</v>
      </c>
      <c r="Y626" s="379" t="e">
        <f>T626/H626</f>
        <v>#VALUE!</v>
      </c>
      <c r="Z626" s="376" t="s">
        <v>58</v>
      </c>
      <c r="AA626" s="380"/>
      <c r="AB626" s="394"/>
      <c r="AC626" s="374" t="s">
        <v>40</v>
      </c>
      <c r="AD626" s="400"/>
      <c r="AE626" s="378"/>
      <c r="AF626" s="400"/>
      <c r="AG626" s="420"/>
      <c r="AH626" s="400"/>
    </row>
    <row r="627" spans="1:34" ht="14.25" customHeight="1">
      <c r="B627" s="2"/>
      <c r="C627" s="11"/>
      <c r="D627" s="11" t="s">
        <v>35</v>
      </c>
      <c r="E627" s="2"/>
      <c r="H627" s="4"/>
      <c r="I627" s="44"/>
      <c r="J627" s="10"/>
      <c r="K627" s="10"/>
      <c r="L627" s="136"/>
      <c r="N627" s="8"/>
      <c r="O627" s="8"/>
      <c r="U627" s="23"/>
      <c r="V627" s="10"/>
      <c r="W627" s="23"/>
      <c r="X627" s="10"/>
      <c r="Y627" s="10"/>
      <c r="Z627" s="10"/>
      <c r="AA627" s="61"/>
      <c r="AB627" s="19"/>
      <c r="AC627" s="14"/>
      <c r="AD627" s="32"/>
      <c r="AF627" s="32"/>
      <c r="AG627" s="306"/>
      <c r="AH627" s="32"/>
    </row>
    <row r="628" spans="1:34" ht="14.25" customHeight="1">
      <c r="B628" s="2"/>
      <c r="C628" s="11"/>
      <c r="D628" s="11" t="s">
        <v>35</v>
      </c>
      <c r="E628" s="2"/>
      <c r="G628" s="92" t="s">
        <v>367</v>
      </c>
      <c r="H628" s="37"/>
      <c r="I628" s="51">
        <f>SUM(H624:H626)</f>
        <v>0</v>
      </c>
      <c r="J628" s="19"/>
      <c r="K628" s="19"/>
      <c r="L628" s="136"/>
      <c r="M628" s="46"/>
      <c r="N628" s="8"/>
      <c r="O628" s="8"/>
      <c r="R628" s="19">
        <f>SUM(Q624:Q626)</f>
        <v>0</v>
      </c>
      <c r="S628" s="19"/>
      <c r="T628" s="19">
        <f>SUM(R622:R627)</f>
        <v>198250</v>
      </c>
      <c r="U628" s="50">
        <f>SUM(T624:T626)</f>
        <v>0</v>
      </c>
      <c r="V628" s="19"/>
      <c r="W628" s="50">
        <f>SUM(V624:V626)</f>
        <v>0</v>
      </c>
      <c r="X628" s="19"/>
      <c r="Y628" s="19"/>
      <c r="Z628" s="19"/>
      <c r="AA628" s="62"/>
      <c r="AB628" s="19">
        <v>12075000</v>
      </c>
      <c r="AC628" s="14"/>
      <c r="AF628" s="29"/>
      <c r="AG628" s="301"/>
      <c r="AH628" s="29"/>
    </row>
    <row r="629" spans="1:34" ht="14.25" customHeight="1">
      <c r="B629" s="2"/>
      <c r="C629" s="11"/>
      <c r="D629" s="11" t="s">
        <v>35</v>
      </c>
      <c r="E629" s="2"/>
      <c r="G629" s="34"/>
      <c r="H629" s="37"/>
      <c r="I629" s="51"/>
      <c r="J629" s="19"/>
      <c r="K629" s="19"/>
      <c r="L629" s="136"/>
      <c r="M629" s="46"/>
      <c r="N629" s="8"/>
      <c r="O629" s="8"/>
      <c r="R629" s="19"/>
      <c r="S629" s="19"/>
      <c r="T629" s="19"/>
      <c r="U629" s="50"/>
      <c r="V629" s="19"/>
      <c r="W629" s="50"/>
      <c r="X629" s="19"/>
      <c r="Y629" s="19"/>
      <c r="Z629" s="19"/>
      <c r="AA629" s="62"/>
      <c r="AB629" s="54"/>
      <c r="AC629" s="14"/>
      <c r="AD629" s="32"/>
      <c r="AF629" s="32"/>
      <c r="AG629" s="306"/>
      <c r="AH629" s="32"/>
    </row>
    <row r="630" spans="1:34" ht="14.25" customHeight="1">
      <c r="B630" s="2"/>
      <c r="C630" s="11"/>
      <c r="D630" s="11" t="s">
        <v>35</v>
      </c>
      <c r="E630" s="2"/>
      <c r="H630" s="37"/>
      <c r="I630" s="51"/>
      <c r="J630" s="19"/>
      <c r="K630" s="19"/>
      <c r="L630" s="136"/>
      <c r="M630" s="46"/>
      <c r="N630" s="8"/>
      <c r="O630" s="8"/>
      <c r="R630" s="19"/>
      <c r="S630" s="19"/>
      <c r="T630" s="19"/>
      <c r="U630" s="50"/>
      <c r="V630" s="19"/>
      <c r="W630" s="50"/>
      <c r="X630" s="19"/>
      <c r="Y630" s="19"/>
      <c r="Z630" s="19"/>
      <c r="AA630" s="62"/>
      <c r="AB630" s="54"/>
      <c r="AC630" s="14"/>
      <c r="AD630" s="32"/>
      <c r="AF630" s="32"/>
      <c r="AG630" s="306"/>
      <c r="AH630" s="32"/>
    </row>
    <row r="631" spans="1:34" ht="14.25" customHeight="1">
      <c r="A631" t="s">
        <v>928</v>
      </c>
      <c r="B631" s="2"/>
      <c r="C631" s="11"/>
      <c r="D631" s="11" t="s">
        <v>35</v>
      </c>
      <c r="E631" s="2"/>
      <c r="H631" s="6" t="s">
        <v>375</v>
      </c>
      <c r="J631" s="10"/>
      <c r="K631" s="10"/>
      <c r="L631" s="32"/>
      <c r="V631" s="10"/>
      <c r="X631" s="10"/>
      <c r="Y631" s="10"/>
      <c r="Z631" s="10"/>
      <c r="AA631" s="61"/>
      <c r="AC631" s="14"/>
      <c r="AG631" s="300"/>
    </row>
    <row r="632" spans="1:34" ht="14.25" customHeight="1">
      <c r="B632" s="2"/>
      <c r="C632" s="11"/>
      <c r="D632" s="11" t="s">
        <v>35</v>
      </c>
      <c r="E632" s="2"/>
      <c r="H632" s="5"/>
      <c r="I632" s="26"/>
      <c r="J632" s="19"/>
      <c r="K632" s="19"/>
      <c r="L632" s="117"/>
      <c r="R632" s="19"/>
      <c r="S632" s="19"/>
      <c r="T632" s="19"/>
      <c r="U632" s="19"/>
      <c r="V632" s="19"/>
      <c r="W632" s="19"/>
      <c r="X632" s="19"/>
      <c r="Y632" s="19"/>
      <c r="Z632" s="19"/>
      <c r="AA632" s="62"/>
      <c r="AB632" s="54"/>
      <c r="AC632" s="14"/>
      <c r="AD632" s="37"/>
      <c r="AE632" s="325"/>
      <c r="AF632" s="37"/>
      <c r="AG632" s="302"/>
      <c r="AH632" s="37"/>
    </row>
    <row r="633" spans="1:34" ht="28.5" customHeight="1">
      <c r="A633" s="370" t="s">
        <v>471</v>
      </c>
      <c r="B633" s="371"/>
      <c r="C633" s="372" t="s">
        <v>322</v>
      </c>
      <c r="D633" s="372" t="s">
        <v>35</v>
      </c>
      <c r="E633" s="371">
        <v>100670</v>
      </c>
      <c r="F633" s="373" t="s">
        <v>375</v>
      </c>
      <c r="G633" s="373" t="s">
        <v>376</v>
      </c>
      <c r="H633" s="374" t="s">
        <v>46</v>
      </c>
      <c r="I633" s="375">
        <v>3348</v>
      </c>
      <c r="J633" s="376" t="str">
        <f>H633</f>
        <v>Retail</v>
      </c>
      <c r="K633" s="376">
        <v>3250</v>
      </c>
      <c r="L633" s="373" t="s">
        <v>377</v>
      </c>
      <c r="M633" s="384">
        <v>45600</v>
      </c>
      <c r="N633" s="377">
        <v>49251</v>
      </c>
      <c r="O633" s="378"/>
      <c r="P633" s="377">
        <v>47426</v>
      </c>
      <c r="Q633" s="377">
        <v>47790</v>
      </c>
      <c r="R633" s="376">
        <v>260000</v>
      </c>
      <c r="S633" s="376">
        <f>Q633</f>
        <v>47790</v>
      </c>
      <c r="T633" s="378"/>
      <c r="U633" s="376">
        <v>522500</v>
      </c>
      <c r="V633" s="376">
        <f>T633</f>
        <v>0</v>
      </c>
      <c r="W633" s="376">
        <v>522500</v>
      </c>
      <c r="X633" s="376">
        <f>V633</f>
        <v>0</v>
      </c>
      <c r="Y633" s="379" t="e">
        <f>T633/H633</f>
        <v>#VALUE!</v>
      </c>
      <c r="Z633" s="376" t="s">
        <v>58</v>
      </c>
      <c r="AA633" s="380"/>
      <c r="AB633" s="401"/>
      <c r="AC633" s="374" t="s">
        <v>40</v>
      </c>
      <c r="AD633" s="391" t="s">
        <v>378</v>
      </c>
      <c r="AE633" s="421"/>
      <c r="AF633" s="422"/>
      <c r="AG633" s="423"/>
      <c r="AH633" s="422"/>
    </row>
    <row r="634" spans="1:34" ht="24">
      <c r="A634" s="378" t="s">
        <v>471</v>
      </c>
      <c r="B634" s="371"/>
      <c r="C634" s="372" t="s">
        <v>322</v>
      </c>
      <c r="D634" s="372" t="s">
        <v>35</v>
      </c>
      <c r="E634" s="371">
        <v>100670</v>
      </c>
      <c r="F634" s="373" t="s">
        <v>375</v>
      </c>
      <c r="G634" s="373" t="s">
        <v>379</v>
      </c>
      <c r="H634" s="374" t="s">
        <v>325</v>
      </c>
      <c r="I634" s="375">
        <v>2964</v>
      </c>
      <c r="J634" s="376" t="str">
        <f>H634</f>
        <v>Educational</v>
      </c>
      <c r="K634" s="376">
        <v>3000</v>
      </c>
      <c r="L634" s="373" t="s">
        <v>68</v>
      </c>
      <c r="M634" s="378"/>
      <c r="N634" s="378"/>
      <c r="O634" s="377">
        <v>42593</v>
      </c>
      <c r="P634" s="378"/>
      <c r="Q634" s="378"/>
      <c r="R634" s="376">
        <v>0</v>
      </c>
      <c r="S634" s="376">
        <f>Q634</f>
        <v>0</v>
      </c>
      <c r="T634" s="378"/>
      <c r="U634" s="376">
        <v>115000</v>
      </c>
      <c r="V634" s="376">
        <f>T634</f>
        <v>0</v>
      </c>
      <c r="W634" s="376">
        <v>115000</v>
      </c>
      <c r="X634" s="376">
        <f>V634</f>
        <v>0</v>
      </c>
      <c r="Y634" s="379" t="e">
        <f>T634/H634</f>
        <v>#VALUE!</v>
      </c>
      <c r="Z634" s="376" t="s">
        <v>76</v>
      </c>
      <c r="AA634" s="380"/>
      <c r="AB634" s="401"/>
      <c r="AC634" s="374" t="s">
        <v>40</v>
      </c>
      <c r="AD634" s="373" t="s">
        <v>380</v>
      </c>
      <c r="AE634" s="378"/>
      <c r="AF634" s="378"/>
      <c r="AG634" s="383"/>
      <c r="AH634" s="378"/>
    </row>
    <row r="635" spans="1:34" ht="14.25" customHeight="1">
      <c r="B635" s="2"/>
      <c r="C635" s="11"/>
      <c r="D635" s="11" t="s">
        <v>35</v>
      </c>
      <c r="E635" s="2"/>
      <c r="J635" s="10"/>
      <c r="K635" s="10"/>
      <c r="U635" s="10"/>
      <c r="V635" s="10"/>
      <c r="W635" s="10"/>
      <c r="X635" s="10"/>
      <c r="Y635" s="299"/>
      <c r="Z635" s="10"/>
      <c r="AA635" s="61"/>
      <c r="AB635" s="54"/>
      <c r="AC635" s="14"/>
      <c r="AG635" s="300"/>
    </row>
    <row r="636" spans="1:34" ht="14.25" customHeight="1">
      <c r="B636" s="2"/>
      <c r="C636" s="11"/>
      <c r="D636" s="11" t="s">
        <v>35</v>
      </c>
      <c r="E636" s="2"/>
      <c r="G636" s="92" t="s">
        <v>381</v>
      </c>
      <c r="H636" s="41"/>
      <c r="I636" s="18">
        <f>SUM(H633:H634)</f>
        <v>0</v>
      </c>
      <c r="J636" s="19"/>
      <c r="K636" s="19"/>
      <c r="R636" s="19">
        <f>SUM(Q633:Q634)</f>
        <v>47790</v>
      </c>
      <c r="S636" s="19"/>
      <c r="T636" s="19">
        <f>SUM(R632:R635)</f>
        <v>260000</v>
      </c>
      <c r="U636" s="19">
        <f>SUM(T633:T634)</f>
        <v>0</v>
      </c>
      <c r="V636" s="19"/>
      <c r="W636" s="19">
        <f>SUM(V633:V634)</f>
        <v>0</v>
      </c>
      <c r="X636" s="19"/>
      <c r="Y636" s="19"/>
      <c r="Z636" s="19"/>
      <c r="AA636" s="62"/>
      <c r="AB636" s="19">
        <v>9725000</v>
      </c>
      <c r="AC636" s="14"/>
      <c r="AF636" s="29"/>
      <c r="AG636" s="301"/>
      <c r="AH636" s="29"/>
    </row>
    <row r="637" spans="1:34" ht="14.25" customHeight="1">
      <c r="B637" s="2"/>
      <c r="C637" s="11"/>
      <c r="D637" s="11" t="s">
        <v>35</v>
      </c>
      <c r="E637" s="2"/>
      <c r="H637" s="41"/>
      <c r="I637" s="18"/>
      <c r="J637" s="19"/>
      <c r="K637" s="19"/>
      <c r="R637" s="19"/>
      <c r="S637" s="19"/>
      <c r="T637" s="19"/>
      <c r="U637" s="19"/>
      <c r="V637" s="19"/>
      <c r="W637" s="19"/>
      <c r="X637" s="19"/>
      <c r="Y637" s="19"/>
      <c r="Z637" s="19"/>
      <c r="AA637" s="62"/>
      <c r="AB637" s="19"/>
      <c r="AC637" s="14"/>
      <c r="AD637" s="37"/>
      <c r="AE637" s="325"/>
      <c r="AF637" s="37"/>
      <c r="AG637" s="302"/>
      <c r="AH637" s="37"/>
    </row>
    <row r="638" spans="1:34" ht="14.25" customHeight="1">
      <c r="A638" t="s">
        <v>928</v>
      </c>
      <c r="B638" s="2"/>
      <c r="C638" s="11"/>
      <c r="D638" s="11" t="s">
        <v>35</v>
      </c>
      <c r="E638" s="2"/>
      <c r="H638" s="6" t="s">
        <v>382</v>
      </c>
      <c r="J638" s="10"/>
      <c r="K638" s="10"/>
      <c r="L638" s="32"/>
      <c r="V638" s="10"/>
      <c r="X638" s="10"/>
      <c r="Y638" s="10"/>
      <c r="Z638" s="10"/>
      <c r="AA638" s="61"/>
      <c r="AB638" s="19"/>
      <c r="AC638" s="14"/>
      <c r="AG638" s="300"/>
    </row>
    <row r="639" spans="1:34" ht="14.25" customHeight="1">
      <c r="B639" s="2"/>
      <c r="C639" s="11"/>
      <c r="D639" s="11" t="s">
        <v>35</v>
      </c>
      <c r="E639" s="2"/>
      <c r="H639" s="5"/>
      <c r="I639" s="26"/>
      <c r="J639" s="19"/>
      <c r="K639" s="19"/>
      <c r="L639" s="117"/>
      <c r="R639" s="19"/>
      <c r="S639" s="19"/>
      <c r="T639" s="19"/>
      <c r="U639" s="19"/>
      <c r="V639" s="19"/>
      <c r="W639" s="19"/>
      <c r="X639" s="19"/>
      <c r="Y639" s="19"/>
      <c r="Z639" s="19"/>
      <c r="AA639" s="62"/>
      <c r="AB639" s="19"/>
      <c r="AC639" s="14"/>
      <c r="AD639" s="37"/>
      <c r="AE639" s="325"/>
      <c r="AF639" s="37"/>
      <c r="AG639" s="302"/>
      <c r="AH639" s="37"/>
    </row>
    <row r="640" spans="1:34" ht="24" customHeight="1">
      <c r="A640" t="s">
        <v>471</v>
      </c>
      <c r="B640" s="2"/>
      <c r="C640" s="11" t="s">
        <v>322</v>
      </c>
      <c r="D640" s="11" t="s">
        <v>35</v>
      </c>
      <c r="E640" s="2">
        <v>100650</v>
      </c>
      <c r="F640" s="4" t="s">
        <v>382</v>
      </c>
      <c r="G640" s="4" t="s">
        <v>383</v>
      </c>
      <c r="H640" s="14" t="s">
        <v>46</v>
      </c>
      <c r="I640" s="18">
        <v>61433</v>
      </c>
      <c r="J640" s="10" t="str">
        <f>H640</f>
        <v>Retail</v>
      </c>
      <c r="K640" s="10">
        <v>60000</v>
      </c>
      <c r="L640" s="4" t="s">
        <v>384</v>
      </c>
      <c r="M640" s="8">
        <v>40925</v>
      </c>
      <c r="N640" s="9">
        <v>46403</v>
      </c>
      <c r="P640" s="9">
        <v>44578</v>
      </c>
      <c r="R640" s="19">
        <v>4275000</v>
      </c>
      <c r="S640" s="10">
        <f>Q640</f>
        <v>0</v>
      </c>
      <c r="T640" s="19">
        <f>R640</f>
        <v>4275000</v>
      </c>
      <c r="U640" s="19">
        <v>2569000</v>
      </c>
      <c r="V640" s="10">
        <f>T640</f>
        <v>4275000</v>
      </c>
      <c r="W640" s="19">
        <v>3039000</v>
      </c>
      <c r="X640" s="10">
        <f>V640</f>
        <v>4275000</v>
      </c>
      <c r="Y640" s="299" t="e">
        <f>T640/H640</f>
        <v>#VALUE!</v>
      </c>
      <c r="Z640" s="10" t="s">
        <v>58</v>
      </c>
      <c r="AA640" s="61"/>
      <c r="AB640" s="19">
        <v>66775000</v>
      </c>
      <c r="AC640" s="14" t="s">
        <v>94</v>
      </c>
      <c r="AD640" s="37" t="s">
        <v>385</v>
      </c>
      <c r="AE640" s="325"/>
      <c r="AF640" s="37"/>
      <c r="AG640" s="302"/>
      <c r="AH640" s="37"/>
    </row>
    <row r="641" spans="1:34" ht="14.25" customHeight="1">
      <c r="B641" s="2"/>
      <c r="C641" s="11"/>
      <c r="D641" s="11" t="s">
        <v>35</v>
      </c>
      <c r="E641" s="2"/>
      <c r="I641" s="18"/>
      <c r="J641" s="19"/>
      <c r="K641" s="19"/>
      <c r="R641" s="19"/>
      <c r="S641" s="19"/>
      <c r="T641" s="19"/>
      <c r="U641" s="19"/>
      <c r="V641" s="19"/>
      <c r="W641" s="19"/>
      <c r="X641" s="19"/>
      <c r="Y641" s="19"/>
      <c r="Z641" s="19"/>
      <c r="AA641" s="62"/>
      <c r="AB641" s="54"/>
      <c r="AC641" s="14"/>
      <c r="AG641" s="300"/>
    </row>
    <row r="642" spans="1:34" ht="14.25" customHeight="1">
      <c r="B642" s="2"/>
      <c r="C642" s="11"/>
      <c r="D642" s="11" t="s">
        <v>35</v>
      </c>
      <c r="E642" s="2"/>
      <c r="G642" s="87"/>
      <c r="I642" s="33"/>
      <c r="J642" s="18"/>
      <c r="K642" s="18"/>
      <c r="L642" s="34"/>
      <c r="M642" s="35"/>
      <c r="N642" s="36"/>
      <c r="O642" s="36"/>
      <c r="P642" s="36"/>
      <c r="Q642" s="36"/>
      <c r="R642" s="33">
        <f>SUM(Q640:Q641)</f>
        <v>0</v>
      </c>
      <c r="S642" s="33"/>
      <c r="T642" s="33"/>
      <c r="U642" s="33">
        <f>SUM(T640:T641)</f>
        <v>4275000</v>
      </c>
      <c r="V642" s="33"/>
      <c r="W642" s="33">
        <f>SUM(V640:V641)</f>
        <v>4275000</v>
      </c>
      <c r="X642" s="33"/>
      <c r="Y642" s="33"/>
      <c r="Z642" s="33"/>
      <c r="AA642" s="63"/>
      <c r="AB642" s="260"/>
      <c r="AC642" s="14"/>
      <c r="AG642" s="300"/>
    </row>
    <row r="643" spans="1:34" ht="14.25" customHeight="1">
      <c r="A643" t="s">
        <v>928</v>
      </c>
      <c r="B643" s="2"/>
      <c r="C643" s="11"/>
      <c r="D643" s="11" t="s">
        <v>35</v>
      </c>
      <c r="E643" s="2"/>
      <c r="H643" s="6" t="s">
        <v>386</v>
      </c>
      <c r="J643" s="10"/>
      <c r="K643" s="10"/>
      <c r="L643" s="32"/>
      <c r="M643" s="230"/>
      <c r="V643" s="10"/>
      <c r="X643" s="10"/>
      <c r="Y643" s="10"/>
      <c r="Z643" s="10"/>
      <c r="AA643" s="61"/>
      <c r="AC643" s="14"/>
      <c r="AG643" s="300"/>
    </row>
    <row r="644" spans="1:34" ht="14.25" customHeight="1">
      <c r="B644" s="2"/>
      <c r="C644" s="11"/>
      <c r="D644" s="11" t="s">
        <v>35</v>
      </c>
      <c r="E644" s="2"/>
      <c r="G644" s="20"/>
      <c r="H644" s="5"/>
      <c r="I644" s="26"/>
      <c r="J644" s="112"/>
      <c r="K644" s="112"/>
      <c r="L644" s="26"/>
      <c r="M644" s="21"/>
      <c r="N644" s="21"/>
      <c r="O644" s="21"/>
      <c r="P644" s="21"/>
      <c r="Q644" s="21"/>
      <c r="R644" s="112"/>
      <c r="S644" s="112"/>
      <c r="T644" s="112"/>
      <c r="U644" s="112"/>
      <c r="V644" s="112"/>
      <c r="W644" s="112"/>
      <c r="X644" s="112"/>
      <c r="Y644" s="112"/>
      <c r="Z644" s="112"/>
      <c r="AA644" s="62"/>
      <c r="AB644" s="263"/>
      <c r="AC644" s="14"/>
      <c r="AD644" s="128"/>
      <c r="AE644" s="329"/>
      <c r="AF644" s="128"/>
      <c r="AG644" s="308"/>
      <c r="AH644" s="128"/>
    </row>
    <row r="645" spans="1:34" ht="28.5" customHeight="1">
      <c r="A645" s="370" t="s">
        <v>471</v>
      </c>
      <c r="B645" s="371"/>
      <c r="C645" s="372" t="s">
        <v>322</v>
      </c>
      <c r="D645" s="372" t="s">
        <v>35</v>
      </c>
      <c r="E645" s="371">
        <v>100650</v>
      </c>
      <c r="F645" s="373" t="s">
        <v>387</v>
      </c>
      <c r="G645" s="373" t="s">
        <v>388</v>
      </c>
      <c r="H645" s="374" t="s">
        <v>251</v>
      </c>
      <c r="I645" s="375">
        <v>114</v>
      </c>
      <c r="J645" s="375" t="str">
        <f t="shared" ref="J645:J678" si="128">H645</f>
        <v>Storage</v>
      </c>
      <c r="K645" s="378"/>
      <c r="L645" s="373" t="s">
        <v>389</v>
      </c>
      <c r="M645" s="378"/>
      <c r="N645" s="378"/>
      <c r="O645" s="378"/>
      <c r="P645" s="378"/>
      <c r="Q645" s="378"/>
      <c r="R645" s="376">
        <v>0</v>
      </c>
      <c r="S645" s="376">
        <f t="shared" ref="S645:S678" si="129">Q645</f>
        <v>0</v>
      </c>
      <c r="T645" s="378"/>
      <c r="U645" s="376">
        <v>2007</v>
      </c>
      <c r="V645" s="376">
        <f>T645</f>
        <v>0</v>
      </c>
      <c r="W645" s="376">
        <v>2007</v>
      </c>
      <c r="X645" s="376">
        <f>V645</f>
        <v>0</v>
      </c>
      <c r="Y645" s="379" t="e">
        <f t="shared" ref="Y645:Y676" si="130">T645/H645</f>
        <v>#VALUE!</v>
      </c>
      <c r="Z645" s="376"/>
      <c r="AA645" s="380"/>
      <c r="AB645" s="381"/>
      <c r="AC645" s="374" t="s">
        <v>40</v>
      </c>
      <c r="AD645" s="378"/>
      <c r="AE645" s="378"/>
      <c r="AF645" s="378"/>
      <c r="AG645" s="383"/>
      <c r="AH645" s="378"/>
    </row>
    <row r="646" spans="1:34" ht="28.5" customHeight="1">
      <c r="A646" s="378" t="s">
        <v>471</v>
      </c>
      <c r="B646" s="371"/>
      <c r="C646" s="372" t="s">
        <v>322</v>
      </c>
      <c r="D646" s="372" t="s">
        <v>35</v>
      </c>
      <c r="E646" s="371">
        <v>100650</v>
      </c>
      <c r="F646" s="373" t="s">
        <v>387</v>
      </c>
      <c r="G646" s="373" t="s">
        <v>390</v>
      </c>
      <c r="H646" s="374" t="s">
        <v>251</v>
      </c>
      <c r="I646" s="375">
        <v>454</v>
      </c>
      <c r="J646" s="375" t="str">
        <f t="shared" si="128"/>
        <v>Storage</v>
      </c>
      <c r="K646" s="378"/>
      <c r="L646" s="373" t="s">
        <v>391</v>
      </c>
      <c r="M646" s="384">
        <v>45685</v>
      </c>
      <c r="N646" s="377">
        <v>47358</v>
      </c>
      <c r="O646" s="378"/>
      <c r="P646" s="378"/>
      <c r="Q646" s="377">
        <v>46627</v>
      </c>
      <c r="R646" s="376">
        <v>18000</v>
      </c>
      <c r="S646" s="376">
        <f t="shared" si="129"/>
        <v>46627</v>
      </c>
      <c r="T646" s="378"/>
      <c r="U646" s="376">
        <v>7993</v>
      </c>
      <c r="V646" s="376"/>
      <c r="W646" s="376">
        <v>7993</v>
      </c>
      <c r="X646" s="376"/>
      <c r="Y646" s="379" t="e">
        <f t="shared" si="130"/>
        <v>#VALUE!</v>
      </c>
      <c r="Z646" s="376"/>
      <c r="AA646" s="380"/>
      <c r="AB646" s="381"/>
      <c r="AC646" s="374"/>
      <c r="AD646" s="373" t="s">
        <v>130</v>
      </c>
      <c r="AE646" s="378"/>
      <c r="AF646" s="378"/>
      <c r="AG646" s="383"/>
      <c r="AH646" s="378"/>
    </row>
    <row r="647" spans="1:34" ht="24" customHeight="1">
      <c r="A647" s="378" t="s">
        <v>471</v>
      </c>
      <c r="B647" s="371"/>
      <c r="C647" s="372" t="s">
        <v>322</v>
      </c>
      <c r="D647" s="372" t="s">
        <v>35</v>
      </c>
      <c r="E647" s="371">
        <v>100650</v>
      </c>
      <c r="F647" s="373" t="s">
        <v>387</v>
      </c>
      <c r="G647" s="373" t="s">
        <v>73</v>
      </c>
      <c r="H647" s="374" t="s">
        <v>392</v>
      </c>
      <c r="I647" s="375">
        <v>780</v>
      </c>
      <c r="J647" s="375" t="str">
        <f t="shared" si="128"/>
        <v>Building Managers Office</v>
      </c>
      <c r="K647" s="375">
        <v>750</v>
      </c>
      <c r="L647" s="373" t="s">
        <v>252</v>
      </c>
      <c r="M647" s="384">
        <v>44562</v>
      </c>
      <c r="N647" s="377">
        <v>46752</v>
      </c>
      <c r="O647" s="378"/>
      <c r="P647" s="377">
        <v>45292</v>
      </c>
      <c r="Q647" s="378"/>
      <c r="R647" s="376">
        <v>17100</v>
      </c>
      <c r="S647" s="376">
        <f t="shared" si="129"/>
        <v>0</v>
      </c>
      <c r="T647" s="378"/>
      <c r="U647" s="376">
        <v>12500</v>
      </c>
      <c r="V647" s="376">
        <f t="shared" ref="V647:V678" si="131">T647</f>
        <v>0</v>
      </c>
      <c r="W647" s="376">
        <v>12500</v>
      </c>
      <c r="X647" s="376">
        <f t="shared" ref="X647:X678" si="132">V647</f>
        <v>0</v>
      </c>
      <c r="Y647" s="379" t="e">
        <f t="shared" si="130"/>
        <v>#VALUE!</v>
      </c>
      <c r="Z647" s="376" t="s">
        <v>69</v>
      </c>
      <c r="AA647" s="380"/>
      <c r="AB647" s="381"/>
      <c r="AC647" s="374" t="s">
        <v>40</v>
      </c>
      <c r="AD647" s="373" t="s">
        <v>393</v>
      </c>
      <c r="AE647" s="378"/>
      <c r="AF647" s="378"/>
      <c r="AG647" s="383"/>
      <c r="AH647" s="378"/>
    </row>
    <row r="648" spans="1:34" ht="28.5" customHeight="1">
      <c r="A648" s="378" t="s">
        <v>471</v>
      </c>
      <c r="B648" s="371"/>
      <c r="C648" s="372" t="s">
        <v>322</v>
      </c>
      <c r="D648" s="372" t="s">
        <v>35</v>
      </c>
      <c r="E648" s="371">
        <v>100650</v>
      </c>
      <c r="F648" s="373" t="s">
        <v>387</v>
      </c>
      <c r="G648" s="373" t="s">
        <v>394</v>
      </c>
      <c r="H648" s="374" t="s">
        <v>83</v>
      </c>
      <c r="I648" s="375">
        <v>3661</v>
      </c>
      <c r="J648" s="375" t="str">
        <f t="shared" si="128"/>
        <v>Restaurant</v>
      </c>
      <c r="K648" s="375">
        <v>3500</v>
      </c>
      <c r="L648" s="373" t="s">
        <v>395</v>
      </c>
      <c r="M648" s="384">
        <v>44115</v>
      </c>
      <c r="N648" s="377">
        <v>46670</v>
      </c>
      <c r="O648" s="378"/>
      <c r="P648" s="378"/>
      <c r="Q648" s="378"/>
      <c r="R648" s="376">
        <v>170000</v>
      </c>
      <c r="S648" s="376">
        <f t="shared" si="129"/>
        <v>0</v>
      </c>
      <c r="T648" s="378"/>
      <c r="U648" s="376">
        <v>216700</v>
      </c>
      <c r="V648" s="376">
        <f t="shared" si="131"/>
        <v>0</v>
      </c>
      <c r="W648" s="376">
        <v>216700</v>
      </c>
      <c r="X648" s="376">
        <f t="shared" si="132"/>
        <v>0</v>
      </c>
      <c r="Y648" s="379" t="e">
        <f t="shared" si="130"/>
        <v>#VALUE!</v>
      </c>
      <c r="Z648" s="376" t="s">
        <v>69</v>
      </c>
      <c r="AA648" s="380"/>
      <c r="AB648" s="381"/>
      <c r="AC648" s="374" t="s">
        <v>40</v>
      </c>
      <c r="AD648" s="378"/>
      <c r="AE648" s="378"/>
      <c r="AF648" s="378"/>
      <c r="AG648" s="383"/>
      <c r="AH648" s="378"/>
    </row>
    <row r="649" spans="1:34" ht="24">
      <c r="A649" s="378" t="s">
        <v>471</v>
      </c>
      <c r="B649" s="371"/>
      <c r="C649" s="372" t="s">
        <v>322</v>
      </c>
      <c r="D649" s="372" t="s">
        <v>35</v>
      </c>
      <c r="E649" s="371">
        <v>100650</v>
      </c>
      <c r="F649" s="373" t="s">
        <v>387</v>
      </c>
      <c r="G649" s="373" t="s">
        <v>396</v>
      </c>
      <c r="H649" s="374" t="s">
        <v>120</v>
      </c>
      <c r="I649" s="375">
        <v>1716</v>
      </c>
      <c r="J649" s="375" t="str">
        <f t="shared" si="128"/>
        <v>Showroom</v>
      </c>
      <c r="K649" s="375">
        <v>1750</v>
      </c>
      <c r="L649" s="373" t="s">
        <v>68</v>
      </c>
      <c r="M649" s="378"/>
      <c r="N649" s="378"/>
      <c r="O649" s="378"/>
      <c r="P649" s="378"/>
      <c r="Q649" s="378"/>
      <c r="R649" s="376">
        <v>0</v>
      </c>
      <c r="S649" s="376">
        <f t="shared" si="129"/>
        <v>0</v>
      </c>
      <c r="T649" s="378"/>
      <c r="U649" s="376">
        <v>107600</v>
      </c>
      <c r="V649" s="376">
        <f t="shared" si="131"/>
        <v>0</v>
      </c>
      <c r="W649" s="376">
        <v>107600</v>
      </c>
      <c r="X649" s="376">
        <f t="shared" si="132"/>
        <v>0</v>
      </c>
      <c r="Y649" s="379" t="e">
        <f t="shared" si="130"/>
        <v>#VALUE!</v>
      </c>
      <c r="Z649" s="376"/>
      <c r="AA649" s="380"/>
      <c r="AB649" s="381"/>
      <c r="AC649" s="374" t="s">
        <v>40</v>
      </c>
      <c r="AD649" s="373" t="s">
        <v>202</v>
      </c>
      <c r="AE649" s="378"/>
      <c r="AF649" s="378"/>
      <c r="AG649" s="383"/>
      <c r="AH649" s="378"/>
    </row>
    <row r="650" spans="1:34" ht="24" customHeight="1">
      <c r="A650" s="378" t="s">
        <v>471</v>
      </c>
      <c r="B650" s="371"/>
      <c r="C650" s="372" t="s">
        <v>322</v>
      </c>
      <c r="D650" s="372" t="s">
        <v>35</v>
      </c>
      <c r="E650" s="371">
        <v>100650</v>
      </c>
      <c r="F650" s="373" t="s">
        <v>387</v>
      </c>
      <c r="G650" s="373" t="s">
        <v>397</v>
      </c>
      <c r="H650" s="374" t="s">
        <v>120</v>
      </c>
      <c r="I650" s="375">
        <v>1952</v>
      </c>
      <c r="J650" s="375" t="str">
        <f t="shared" si="128"/>
        <v>Showroom</v>
      </c>
      <c r="K650" s="375">
        <v>2000</v>
      </c>
      <c r="L650" s="373" t="s">
        <v>398</v>
      </c>
      <c r="M650" s="384">
        <v>45450</v>
      </c>
      <c r="N650" s="377">
        <v>49101</v>
      </c>
      <c r="O650" s="378"/>
      <c r="P650" s="377">
        <v>47276</v>
      </c>
      <c r="Q650" s="377">
        <v>47275</v>
      </c>
      <c r="R650" s="376">
        <v>93042</v>
      </c>
      <c r="S650" s="376">
        <f t="shared" si="129"/>
        <v>47275</v>
      </c>
      <c r="T650" s="378"/>
      <c r="U650" s="376">
        <v>122400</v>
      </c>
      <c r="V650" s="376">
        <f t="shared" si="131"/>
        <v>0</v>
      </c>
      <c r="W650" s="376">
        <v>122400</v>
      </c>
      <c r="X650" s="376">
        <f t="shared" si="132"/>
        <v>0</v>
      </c>
      <c r="Y650" s="379" t="e">
        <f t="shared" si="130"/>
        <v>#VALUE!</v>
      </c>
      <c r="Z650" s="376" t="s">
        <v>39</v>
      </c>
      <c r="AA650" s="380"/>
      <c r="AB650" s="381"/>
      <c r="AC650" s="374" t="s">
        <v>40</v>
      </c>
      <c r="AD650" s="373" t="s">
        <v>399</v>
      </c>
      <c r="AE650" s="378"/>
      <c r="AF650" s="378"/>
      <c r="AG650" s="383"/>
      <c r="AH650" s="378"/>
    </row>
    <row r="651" spans="1:34" ht="28.5" customHeight="1">
      <c r="A651" s="378" t="s">
        <v>471</v>
      </c>
      <c r="B651" s="371"/>
      <c r="C651" s="372" t="s">
        <v>322</v>
      </c>
      <c r="D651" s="372" t="s">
        <v>35</v>
      </c>
      <c r="E651" s="371">
        <v>100650</v>
      </c>
      <c r="F651" s="373" t="s">
        <v>387</v>
      </c>
      <c r="G651" s="373" t="s">
        <v>400</v>
      </c>
      <c r="H651" s="374" t="s">
        <v>401</v>
      </c>
      <c r="I651" s="375">
        <v>1710</v>
      </c>
      <c r="J651" s="375" t="str">
        <f t="shared" si="128"/>
        <v>Art Gallery</v>
      </c>
      <c r="K651" s="375">
        <v>1750</v>
      </c>
      <c r="L651" s="373" t="s">
        <v>402</v>
      </c>
      <c r="M651" s="384">
        <v>45143</v>
      </c>
      <c r="N651" s="377">
        <v>45873</v>
      </c>
      <c r="O651" s="378"/>
      <c r="P651" s="378"/>
      <c r="Q651" s="378"/>
      <c r="R651" s="376">
        <v>100000</v>
      </c>
      <c r="S651" s="376">
        <f t="shared" si="129"/>
        <v>0</v>
      </c>
      <c r="T651" s="378"/>
      <c r="U651" s="376">
        <v>85500</v>
      </c>
      <c r="V651" s="376">
        <f t="shared" si="131"/>
        <v>0</v>
      </c>
      <c r="W651" s="376">
        <v>100000</v>
      </c>
      <c r="X651" s="376">
        <f t="shared" si="132"/>
        <v>0</v>
      </c>
      <c r="Y651" s="379" t="e">
        <f t="shared" si="130"/>
        <v>#VALUE!</v>
      </c>
      <c r="Z651" s="376" t="s">
        <v>69</v>
      </c>
      <c r="AA651" s="380"/>
      <c r="AB651" s="381"/>
      <c r="AC651" s="374" t="s">
        <v>40</v>
      </c>
      <c r="AD651" s="385" t="s">
        <v>403</v>
      </c>
      <c r="AE651" s="378"/>
      <c r="AF651" s="378"/>
      <c r="AG651" s="383"/>
      <c r="AH651" s="378"/>
    </row>
    <row r="652" spans="1:34" ht="37.5" customHeight="1">
      <c r="A652" s="378" t="s">
        <v>471</v>
      </c>
      <c r="B652" s="371"/>
      <c r="C652" s="372" t="s">
        <v>322</v>
      </c>
      <c r="D652" s="372" t="s">
        <v>35</v>
      </c>
      <c r="E652" s="371">
        <v>100650</v>
      </c>
      <c r="F652" s="373" t="s">
        <v>387</v>
      </c>
      <c r="G652" s="373" t="s">
        <v>404</v>
      </c>
      <c r="H652" s="374" t="s">
        <v>401</v>
      </c>
      <c r="I652" s="375">
        <v>3601</v>
      </c>
      <c r="J652" s="375" t="str">
        <f t="shared" si="128"/>
        <v>Art Gallery</v>
      </c>
      <c r="K652" s="375">
        <v>3500</v>
      </c>
      <c r="L652" s="373" t="s">
        <v>391</v>
      </c>
      <c r="M652" s="384">
        <v>45533</v>
      </c>
      <c r="N652" s="377">
        <v>49184</v>
      </c>
      <c r="O652" s="378"/>
      <c r="P652" s="377">
        <v>47359</v>
      </c>
      <c r="Q652" s="377">
        <v>46627</v>
      </c>
      <c r="R652" s="376">
        <v>83500</v>
      </c>
      <c r="S652" s="376">
        <f t="shared" si="129"/>
        <v>46627</v>
      </c>
      <c r="T652" s="378"/>
      <c r="U652" s="376">
        <v>144000</v>
      </c>
      <c r="V652" s="376">
        <f t="shared" si="131"/>
        <v>0</v>
      </c>
      <c r="W652" s="376">
        <v>167400</v>
      </c>
      <c r="X652" s="376">
        <f t="shared" si="132"/>
        <v>0</v>
      </c>
      <c r="Y652" s="379" t="e">
        <f t="shared" si="130"/>
        <v>#VALUE!</v>
      </c>
      <c r="Z652" s="376" t="s">
        <v>69</v>
      </c>
      <c r="AA652" s="380"/>
      <c r="AB652" s="401"/>
      <c r="AC652" s="374" t="s">
        <v>40</v>
      </c>
      <c r="AD652" s="373" t="s">
        <v>405</v>
      </c>
      <c r="AE652" s="378"/>
      <c r="AF652" s="385"/>
      <c r="AG652" s="386"/>
      <c r="AH652" s="385"/>
    </row>
    <row r="653" spans="1:34" ht="24" customHeight="1">
      <c r="A653" s="378" t="s">
        <v>471</v>
      </c>
      <c r="B653" s="371"/>
      <c r="C653" s="372" t="s">
        <v>322</v>
      </c>
      <c r="D653" s="372" t="s">
        <v>35</v>
      </c>
      <c r="E653" s="371">
        <v>100650</v>
      </c>
      <c r="F653" s="373" t="s">
        <v>387</v>
      </c>
      <c r="G653" s="373" t="s">
        <v>406</v>
      </c>
      <c r="H653" s="374" t="s">
        <v>83</v>
      </c>
      <c r="I653" s="375">
        <v>6889</v>
      </c>
      <c r="J653" s="375" t="str">
        <f t="shared" si="128"/>
        <v>Restaurant</v>
      </c>
      <c r="K653" s="375">
        <v>7000</v>
      </c>
      <c r="L653" s="373" t="s">
        <v>407</v>
      </c>
      <c r="M653" s="384">
        <v>44630</v>
      </c>
      <c r="N653" s="377">
        <v>48282</v>
      </c>
      <c r="O653" s="378"/>
      <c r="P653" s="377">
        <v>46456</v>
      </c>
      <c r="Q653" s="378"/>
      <c r="R653" s="376">
        <v>385000</v>
      </c>
      <c r="S653" s="376">
        <f t="shared" si="129"/>
        <v>0</v>
      </c>
      <c r="T653" s="378"/>
      <c r="U653" s="376">
        <v>390000</v>
      </c>
      <c r="V653" s="376">
        <f t="shared" si="131"/>
        <v>0</v>
      </c>
      <c r="W653" s="376">
        <v>390000</v>
      </c>
      <c r="X653" s="376">
        <f t="shared" si="132"/>
        <v>0</v>
      </c>
      <c r="Y653" s="379" t="e">
        <f t="shared" si="130"/>
        <v>#VALUE!</v>
      </c>
      <c r="Z653" s="376" t="s">
        <v>243</v>
      </c>
      <c r="AA653" s="380"/>
      <c r="AB653" s="401"/>
      <c r="AC653" s="374" t="s">
        <v>40</v>
      </c>
      <c r="AD653" s="373" t="s">
        <v>408</v>
      </c>
      <c r="AE653" s="378"/>
      <c r="AF653" s="378"/>
      <c r="AG653" s="383"/>
      <c r="AH653" s="378"/>
    </row>
    <row r="654" spans="1:34" ht="18" customHeight="1">
      <c r="A654" s="378" t="s">
        <v>471</v>
      </c>
      <c r="B654" s="371"/>
      <c r="C654" s="372" t="s">
        <v>322</v>
      </c>
      <c r="D654" s="372" t="s">
        <v>35</v>
      </c>
      <c r="E654" s="371">
        <v>100650</v>
      </c>
      <c r="F654" s="373" t="s">
        <v>387</v>
      </c>
      <c r="G654" s="373" t="s">
        <v>779</v>
      </c>
      <c r="H654" s="374" t="s">
        <v>37</v>
      </c>
      <c r="I654" s="375">
        <v>1200</v>
      </c>
      <c r="J654" s="375" t="str">
        <f t="shared" si="128"/>
        <v>Office</v>
      </c>
      <c r="K654" s="375">
        <v>1250</v>
      </c>
      <c r="L654" s="373" t="s">
        <v>780</v>
      </c>
      <c r="M654" s="384">
        <v>44734</v>
      </c>
      <c r="N654" s="377">
        <v>46194</v>
      </c>
      <c r="O654" s="378"/>
      <c r="P654" s="378"/>
      <c r="Q654" s="378"/>
      <c r="R654" s="376">
        <v>63000</v>
      </c>
      <c r="S654" s="376">
        <f t="shared" si="129"/>
        <v>0</v>
      </c>
      <c r="T654" s="378"/>
      <c r="U654" s="376">
        <v>72000</v>
      </c>
      <c r="V654" s="376">
        <f t="shared" si="131"/>
        <v>0</v>
      </c>
      <c r="W654" s="376">
        <v>69000</v>
      </c>
      <c r="X654" s="376">
        <f t="shared" si="132"/>
        <v>0</v>
      </c>
      <c r="Y654" s="379" t="e">
        <f t="shared" si="130"/>
        <v>#VALUE!</v>
      </c>
      <c r="Z654" s="376" t="s">
        <v>69</v>
      </c>
      <c r="AA654" s="380"/>
      <c r="AB654" s="401"/>
      <c r="AC654" s="374" t="s">
        <v>40</v>
      </c>
      <c r="AD654" s="378"/>
      <c r="AE654" s="378"/>
      <c r="AF654" s="378"/>
      <c r="AG654" s="383"/>
      <c r="AH654" s="378"/>
    </row>
    <row r="655" spans="1:34" ht="22.5" customHeight="1">
      <c r="A655" s="378" t="s">
        <v>471</v>
      </c>
      <c r="B655" s="371"/>
      <c r="C655" s="372" t="s">
        <v>322</v>
      </c>
      <c r="D655" s="372" t="s">
        <v>35</v>
      </c>
      <c r="E655" s="371">
        <v>100650</v>
      </c>
      <c r="F655" s="373" t="s">
        <v>387</v>
      </c>
      <c r="G655" s="373" t="s">
        <v>781</v>
      </c>
      <c r="H655" s="374" t="s">
        <v>175</v>
      </c>
      <c r="I655" s="375">
        <v>1372</v>
      </c>
      <c r="J655" s="375" t="str">
        <f t="shared" si="128"/>
        <v>Showroom/ Office</v>
      </c>
      <c r="K655" s="375">
        <v>1250</v>
      </c>
      <c r="L655" s="373" t="s">
        <v>68</v>
      </c>
      <c r="M655" s="378"/>
      <c r="N655" s="378"/>
      <c r="O655" s="377">
        <v>45672</v>
      </c>
      <c r="P655" s="378"/>
      <c r="Q655" s="378"/>
      <c r="R655" s="376">
        <v>0</v>
      </c>
      <c r="S655" s="376">
        <f t="shared" si="129"/>
        <v>0</v>
      </c>
      <c r="T655" s="378"/>
      <c r="U655" s="376">
        <v>82300</v>
      </c>
      <c r="V655" s="376">
        <f t="shared" si="131"/>
        <v>0</v>
      </c>
      <c r="W655" s="376">
        <v>78900</v>
      </c>
      <c r="X655" s="376">
        <f t="shared" si="132"/>
        <v>0</v>
      </c>
      <c r="Y655" s="379" t="e">
        <f t="shared" si="130"/>
        <v>#VALUE!</v>
      </c>
      <c r="Z655" s="376" t="s">
        <v>69</v>
      </c>
      <c r="AA655" s="380"/>
      <c r="AB655" s="401"/>
      <c r="AC655" s="374" t="s">
        <v>40</v>
      </c>
      <c r="AD655" s="373" t="s">
        <v>482</v>
      </c>
      <c r="AE655" s="378"/>
      <c r="AF655" s="378"/>
      <c r="AG655" s="383"/>
      <c r="AH655" s="378"/>
    </row>
    <row r="656" spans="1:34" ht="22.5" customHeight="1">
      <c r="A656" s="378" t="s">
        <v>471</v>
      </c>
      <c r="B656" s="371"/>
      <c r="C656" s="372" t="s">
        <v>322</v>
      </c>
      <c r="D656" s="372" t="s">
        <v>35</v>
      </c>
      <c r="E656" s="371">
        <v>100650</v>
      </c>
      <c r="F656" s="373" t="s">
        <v>387</v>
      </c>
      <c r="G656" s="373" t="s">
        <v>782</v>
      </c>
      <c r="H656" s="374" t="s">
        <v>175</v>
      </c>
      <c r="I656" s="375">
        <v>1020</v>
      </c>
      <c r="J656" s="375" t="str">
        <f t="shared" si="128"/>
        <v>Showroom/ Office</v>
      </c>
      <c r="K656" s="375">
        <v>1000</v>
      </c>
      <c r="L656" s="373" t="s">
        <v>68</v>
      </c>
      <c r="M656" s="378"/>
      <c r="N656" s="378"/>
      <c r="O656" s="377">
        <v>44576</v>
      </c>
      <c r="P656" s="378"/>
      <c r="Q656" s="378"/>
      <c r="R656" s="376">
        <v>0</v>
      </c>
      <c r="S656" s="376">
        <f t="shared" si="129"/>
        <v>0</v>
      </c>
      <c r="T656" s="378"/>
      <c r="U656" s="376">
        <v>61200</v>
      </c>
      <c r="V656" s="376">
        <f t="shared" si="131"/>
        <v>0</v>
      </c>
      <c r="W656" s="376">
        <v>58700</v>
      </c>
      <c r="X656" s="376">
        <f t="shared" si="132"/>
        <v>0</v>
      </c>
      <c r="Y656" s="379" t="e">
        <f t="shared" si="130"/>
        <v>#VALUE!</v>
      </c>
      <c r="Z656" s="376" t="s">
        <v>69</v>
      </c>
      <c r="AA656" s="380"/>
      <c r="AB656" s="401"/>
      <c r="AC656" s="374" t="s">
        <v>40</v>
      </c>
      <c r="AD656" s="373" t="s">
        <v>510</v>
      </c>
      <c r="AE656" s="378"/>
      <c r="AF656" s="378"/>
      <c r="AG656" s="383"/>
      <c r="AH656" s="378"/>
    </row>
    <row r="657" spans="1:34" ht="28.5" customHeight="1">
      <c r="A657" s="378" t="s">
        <v>471</v>
      </c>
      <c r="B657" s="371"/>
      <c r="C657" s="372" t="s">
        <v>322</v>
      </c>
      <c r="D657" s="372" t="s">
        <v>35</v>
      </c>
      <c r="E657" s="371">
        <v>100650</v>
      </c>
      <c r="F657" s="373" t="s">
        <v>387</v>
      </c>
      <c r="G657" s="373" t="s">
        <v>783</v>
      </c>
      <c r="H657" s="374" t="s">
        <v>37</v>
      </c>
      <c r="I657" s="375">
        <v>6636</v>
      </c>
      <c r="J657" s="375" t="str">
        <f t="shared" si="128"/>
        <v>Office</v>
      </c>
      <c r="K657" s="375">
        <v>6500</v>
      </c>
      <c r="L657" s="373" t="s">
        <v>68</v>
      </c>
      <c r="M657" s="378"/>
      <c r="N657" s="378"/>
      <c r="O657" s="377">
        <v>44172</v>
      </c>
      <c r="P657" s="378"/>
      <c r="Q657" s="378"/>
      <c r="R657" s="376">
        <v>0</v>
      </c>
      <c r="S657" s="376">
        <f t="shared" si="129"/>
        <v>0</v>
      </c>
      <c r="T657" s="378"/>
      <c r="U657" s="376">
        <v>398200</v>
      </c>
      <c r="V657" s="376">
        <f t="shared" si="131"/>
        <v>0</v>
      </c>
      <c r="W657" s="376">
        <v>381600</v>
      </c>
      <c r="X657" s="376">
        <f t="shared" si="132"/>
        <v>0</v>
      </c>
      <c r="Y657" s="379" t="e">
        <f t="shared" si="130"/>
        <v>#VALUE!</v>
      </c>
      <c r="Z657" s="376" t="s">
        <v>76</v>
      </c>
      <c r="AA657" s="380"/>
      <c r="AB657" s="401"/>
      <c r="AC657" s="374" t="s">
        <v>40</v>
      </c>
      <c r="AD657" s="373" t="s">
        <v>510</v>
      </c>
      <c r="AE657" s="378"/>
      <c r="AF657" s="378"/>
      <c r="AG657" s="383"/>
      <c r="AH657" s="378"/>
    </row>
    <row r="658" spans="1:34" ht="28.5" customHeight="1">
      <c r="A658" s="378" t="s">
        <v>471</v>
      </c>
      <c r="B658" s="371"/>
      <c r="C658" s="372" t="s">
        <v>322</v>
      </c>
      <c r="D658" s="372" t="s">
        <v>35</v>
      </c>
      <c r="E658" s="371">
        <v>100650</v>
      </c>
      <c r="F658" s="373" t="s">
        <v>387</v>
      </c>
      <c r="G658" s="373" t="s">
        <v>784</v>
      </c>
      <c r="H658" s="374" t="s">
        <v>175</v>
      </c>
      <c r="I658" s="375">
        <v>950</v>
      </c>
      <c r="J658" s="375" t="str">
        <f t="shared" si="128"/>
        <v>Showroom/ Office</v>
      </c>
      <c r="K658" s="375">
        <v>1000</v>
      </c>
      <c r="L658" s="373" t="s">
        <v>68</v>
      </c>
      <c r="M658" s="378"/>
      <c r="N658" s="378"/>
      <c r="O658" s="377">
        <v>44682</v>
      </c>
      <c r="P658" s="378"/>
      <c r="Q658" s="378"/>
      <c r="R658" s="376">
        <v>0</v>
      </c>
      <c r="S658" s="376">
        <f t="shared" si="129"/>
        <v>0</v>
      </c>
      <c r="T658" s="378"/>
      <c r="U658" s="376">
        <v>57000</v>
      </c>
      <c r="V658" s="376">
        <f t="shared" si="131"/>
        <v>0</v>
      </c>
      <c r="W658" s="376">
        <v>54600</v>
      </c>
      <c r="X658" s="376">
        <f t="shared" si="132"/>
        <v>0</v>
      </c>
      <c r="Y658" s="379" t="e">
        <f t="shared" si="130"/>
        <v>#VALUE!</v>
      </c>
      <c r="Z658" s="376" t="s">
        <v>69</v>
      </c>
      <c r="AA658" s="380"/>
      <c r="AB658" s="401"/>
      <c r="AC658" s="374" t="s">
        <v>40</v>
      </c>
      <c r="AD658" s="373" t="s">
        <v>510</v>
      </c>
      <c r="AE658" s="378"/>
      <c r="AF658" s="378"/>
      <c r="AG658" s="383"/>
      <c r="AH658" s="378"/>
    </row>
    <row r="659" spans="1:34" ht="28.5" customHeight="1">
      <c r="A659" s="378" t="s">
        <v>471</v>
      </c>
      <c r="B659" s="371"/>
      <c r="C659" s="372" t="s">
        <v>322</v>
      </c>
      <c r="D659" s="372" t="s">
        <v>35</v>
      </c>
      <c r="E659" s="371">
        <v>100650</v>
      </c>
      <c r="F659" s="373" t="s">
        <v>387</v>
      </c>
      <c r="G659" s="373" t="s">
        <v>785</v>
      </c>
      <c r="H659" s="374" t="s">
        <v>37</v>
      </c>
      <c r="I659" s="375">
        <v>15445</v>
      </c>
      <c r="J659" s="375" t="str">
        <f t="shared" si="128"/>
        <v>Office</v>
      </c>
      <c r="K659" s="375">
        <v>15500</v>
      </c>
      <c r="L659" s="373" t="s">
        <v>68</v>
      </c>
      <c r="M659" s="378"/>
      <c r="N659" s="378"/>
      <c r="O659" s="377">
        <v>45358</v>
      </c>
      <c r="P659" s="378"/>
      <c r="Q659" s="378"/>
      <c r="R659" s="376">
        <v>0</v>
      </c>
      <c r="S659" s="376">
        <f t="shared" si="129"/>
        <v>0</v>
      </c>
      <c r="T659" s="378"/>
      <c r="U659" s="376">
        <v>926700</v>
      </c>
      <c r="V659" s="376">
        <f t="shared" si="131"/>
        <v>0</v>
      </c>
      <c r="W659" s="376">
        <v>810900</v>
      </c>
      <c r="X659" s="376">
        <f t="shared" si="132"/>
        <v>0</v>
      </c>
      <c r="Y659" s="379" t="e">
        <f t="shared" si="130"/>
        <v>#VALUE!</v>
      </c>
      <c r="Z659" s="376" t="s">
        <v>69</v>
      </c>
      <c r="AA659" s="380"/>
      <c r="AB659" s="401"/>
      <c r="AC659" s="374" t="s">
        <v>40</v>
      </c>
      <c r="AD659" s="373" t="s">
        <v>510</v>
      </c>
      <c r="AE659" s="378"/>
      <c r="AF659" s="373">
        <v>2</v>
      </c>
      <c r="AG659" s="383">
        <v>2</v>
      </c>
      <c r="AH659" s="373" t="s">
        <v>160</v>
      </c>
    </row>
    <row r="660" spans="1:34" ht="28.5" customHeight="1">
      <c r="A660" s="378" t="s">
        <v>471</v>
      </c>
      <c r="B660" s="371"/>
      <c r="C660" s="372" t="s">
        <v>322</v>
      </c>
      <c r="D660" s="372" t="s">
        <v>35</v>
      </c>
      <c r="E660" s="371">
        <v>100650</v>
      </c>
      <c r="F660" s="373" t="s">
        <v>387</v>
      </c>
      <c r="G660" s="373" t="s">
        <v>786</v>
      </c>
      <c r="H660" s="374" t="s">
        <v>37</v>
      </c>
      <c r="I660" s="375">
        <v>5350</v>
      </c>
      <c r="J660" s="375" t="str">
        <f t="shared" si="128"/>
        <v>Office</v>
      </c>
      <c r="K660" s="375">
        <v>5250</v>
      </c>
      <c r="L660" s="373" t="s">
        <v>787</v>
      </c>
      <c r="M660" s="384">
        <v>44986</v>
      </c>
      <c r="N660" s="377">
        <v>46081</v>
      </c>
      <c r="O660" s="378"/>
      <c r="P660" s="378"/>
      <c r="Q660" s="378"/>
      <c r="R660" s="376">
        <v>320000</v>
      </c>
      <c r="S660" s="376">
        <f t="shared" si="129"/>
        <v>0</v>
      </c>
      <c r="T660" s="378"/>
      <c r="U660" s="376">
        <v>321000</v>
      </c>
      <c r="V660" s="376">
        <f t="shared" si="131"/>
        <v>0</v>
      </c>
      <c r="W660" s="376">
        <v>307600</v>
      </c>
      <c r="X660" s="376">
        <f t="shared" si="132"/>
        <v>0</v>
      </c>
      <c r="Y660" s="379" t="e">
        <f t="shared" si="130"/>
        <v>#VALUE!</v>
      </c>
      <c r="Z660" s="376" t="s">
        <v>69</v>
      </c>
      <c r="AA660" s="380"/>
      <c r="AB660" s="401"/>
      <c r="AC660" s="374" t="s">
        <v>40</v>
      </c>
      <c r="AD660" s="378"/>
      <c r="AE660" s="378"/>
      <c r="AF660" s="378"/>
      <c r="AG660" s="383"/>
      <c r="AH660" s="378"/>
    </row>
    <row r="661" spans="1:34" ht="24">
      <c r="A661" s="378" t="s">
        <v>471</v>
      </c>
      <c r="B661" s="371"/>
      <c r="C661" s="372" t="s">
        <v>322</v>
      </c>
      <c r="D661" s="372" t="s">
        <v>35</v>
      </c>
      <c r="E661" s="371">
        <v>100650</v>
      </c>
      <c r="F661" s="373" t="s">
        <v>387</v>
      </c>
      <c r="G661" s="373" t="s">
        <v>788</v>
      </c>
      <c r="H661" s="374" t="s">
        <v>37</v>
      </c>
      <c r="I661" s="375">
        <v>3461</v>
      </c>
      <c r="J661" s="375" t="str">
        <f t="shared" si="128"/>
        <v>Office</v>
      </c>
      <c r="K661" s="375">
        <v>3500</v>
      </c>
      <c r="L661" s="373" t="s">
        <v>68</v>
      </c>
      <c r="M661" s="378"/>
      <c r="N661" s="378"/>
      <c r="O661" s="377">
        <v>44958</v>
      </c>
      <c r="P661" s="378"/>
      <c r="Q661" s="378"/>
      <c r="R661" s="376">
        <v>0</v>
      </c>
      <c r="S661" s="376">
        <f t="shared" si="129"/>
        <v>0</v>
      </c>
      <c r="T661" s="378"/>
      <c r="U661" s="376">
        <v>207700</v>
      </c>
      <c r="V661" s="376">
        <f t="shared" si="131"/>
        <v>0</v>
      </c>
      <c r="W661" s="376">
        <v>199000</v>
      </c>
      <c r="X661" s="376">
        <f t="shared" si="132"/>
        <v>0</v>
      </c>
      <c r="Y661" s="379" t="e">
        <f t="shared" si="130"/>
        <v>#VALUE!</v>
      </c>
      <c r="Z661" s="376" t="s">
        <v>69</v>
      </c>
      <c r="AA661" s="380"/>
      <c r="AB661" s="401"/>
      <c r="AC661" s="374" t="s">
        <v>40</v>
      </c>
      <c r="AD661" s="373" t="s">
        <v>510</v>
      </c>
      <c r="AE661" s="378"/>
      <c r="AF661" s="378"/>
      <c r="AG661" s="383"/>
      <c r="AH661" s="378"/>
    </row>
    <row r="662" spans="1:34" s="56" customFormat="1">
      <c r="A662" s="378" t="s">
        <v>471</v>
      </c>
      <c r="B662" s="371"/>
      <c r="C662" s="372" t="s">
        <v>322</v>
      </c>
      <c r="D662" s="372" t="s">
        <v>35</v>
      </c>
      <c r="E662" s="371">
        <v>100650</v>
      </c>
      <c r="F662" s="373" t="s">
        <v>387</v>
      </c>
      <c r="G662" s="373" t="s">
        <v>789</v>
      </c>
      <c r="H662" s="374" t="s">
        <v>37</v>
      </c>
      <c r="I662" s="375">
        <v>445</v>
      </c>
      <c r="J662" s="375" t="str">
        <f t="shared" si="128"/>
        <v>Office</v>
      </c>
      <c r="K662" s="375">
        <v>500</v>
      </c>
      <c r="L662" s="373" t="s">
        <v>68</v>
      </c>
      <c r="M662" s="384"/>
      <c r="N662" s="377"/>
      <c r="O662" s="377">
        <v>44849</v>
      </c>
      <c r="P662" s="377"/>
      <c r="Q662" s="377"/>
      <c r="R662" s="376">
        <v>0</v>
      </c>
      <c r="S662" s="376">
        <f t="shared" si="129"/>
        <v>0</v>
      </c>
      <c r="T662" s="376"/>
      <c r="U662" s="376">
        <v>26700</v>
      </c>
      <c r="V662" s="376">
        <f t="shared" si="131"/>
        <v>0</v>
      </c>
      <c r="W662" s="376">
        <v>25600</v>
      </c>
      <c r="X662" s="376">
        <f t="shared" si="132"/>
        <v>0</v>
      </c>
      <c r="Y662" s="379" t="e">
        <f t="shared" si="130"/>
        <v>#VALUE!</v>
      </c>
      <c r="Z662" s="376" t="s">
        <v>69</v>
      </c>
      <c r="AA662" s="380"/>
      <c r="AB662" s="401"/>
      <c r="AC662" s="374" t="s">
        <v>40</v>
      </c>
      <c r="AD662" s="373" t="s">
        <v>510</v>
      </c>
      <c r="AE662" s="388"/>
      <c r="AF662" s="373"/>
      <c r="AG662" s="383">
        <v>1</v>
      </c>
      <c r="AH662" s="373" t="s">
        <v>160</v>
      </c>
    </row>
    <row r="663" spans="1:34">
      <c r="A663" s="378" t="s">
        <v>471</v>
      </c>
      <c r="B663" s="371"/>
      <c r="C663" s="372" t="s">
        <v>322</v>
      </c>
      <c r="D663" s="372" t="s">
        <v>35</v>
      </c>
      <c r="E663" s="371">
        <v>100650</v>
      </c>
      <c r="F663" s="373" t="s">
        <v>387</v>
      </c>
      <c r="G663" s="373" t="s">
        <v>790</v>
      </c>
      <c r="H663" s="374" t="s">
        <v>37</v>
      </c>
      <c r="I663" s="375">
        <v>783</v>
      </c>
      <c r="J663" s="375" t="str">
        <f t="shared" si="128"/>
        <v>Office</v>
      </c>
      <c r="K663" s="375">
        <v>750</v>
      </c>
      <c r="L663" s="373" t="s">
        <v>68</v>
      </c>
      <c r="M663" s="378"/>
      <c r="N663" s="378"/>
      <c r="O663" s="377">
        <v>45406</v>
      </c>
      <c r="P663" s="378"/>
      <c r="Q663" s="378"/>
      <c r="R663" s="376">
        <v>0</v>
      </c>
      <c r="S663" s="376">
        <f t="shared" si="129"/>
        <v>0</v>
      </c>
      <c r="T663" s="378"/>
      <c r="U663" s="376">
        <v>45000</v>
      </c>
      <c r="V663" s="376">
        <f t="shared" si="131"/>
        <v>0</v>
      </c>
      <c r="W663" s="376">
        <v>45000</v>
      </c>
      <c r="X663" s="376">
        <f t="shared" si="132"/>
        <v>0</v>
      </c>
      <c r="Y663" s="379" t="e">
        <f t="shared" si="130"/>
        <v>#VALUE!</v>
      </c>
      <c r="Z663" s="376" t="s">
        <v>69</v>
      </c>
      <c r="AA663" s="380"/>
      <c r="AB663" s="401"/>
      <c r="AC663" s="374" t="s">
        <v>40</v>
      </c>
      <c r="AD663" s="373" t="s">
        <v>510</v>
      </c>
      <c r="AE663" s="378"/>
      <c r="AF663" s="378"/>
      <c r="AG663" s="383">
        <v>1</v>
      </c>
      <c r="AH663" s="373" t="s">
        <v>160</v>
      </c>
    </row>
    <row r="664" spans="1:34">
      <c r="A664" s="378" t="s">
        <v>471</v>
      </c>
      <c r="B664" s="371"/>
      <c r="C664" s="372" t="s">
        <v>322</v>
      </c>
      <c r="D664" s="372" t="s">
        <v>35</v>
      </c>
      <c r="E664" s="371">
        <v>100650</v>
      </c>
      <c r="F664" s="373" t="s">
        <v>387</v>
      </c>
      <c r="G664" s="373" t="s">
        <v>791</v>
      </c>
      <c r="H664" s="374" t="s">
        <v>37</v>
      </c>
      <c r="I664" s="375">
        <v>1929</v>
      </c>
      <c r="J664" s="375" t="str">
        <f t="shared" si="128"/>
        <v>Office</v>
      </c>
      <c r="K664" s="375">
        <v>2000</v>
      </c>
      <c r="L664" s="411" t="s">
        <v>792</v>
      </c>
      <c r="M664" s="384">
        <v>45096</v>
      </c>
      <c r="N664" s="377">
        <v>46191</v>
      </c>
      <c r="O664" s="378"/>
      <c r="P664" s="378"/>
      <c r="Q664" s="378"/>
      <c r="R664" s="376">
        <v>111825</v>
      </c>
      <c r="S664" s="376">
        <f t="shared" si="129"/>
        <v>0</v>
      </c>
      <c r="T664" s="378"/>
      <c r="U664" s="376">
        <v>110900</v>
      </c>
      <c r="V664" s="376">
        <f t="shared" si="131"/>
        <v>0</v>
      </c>
      <c r="W664" s="376">
        <v>110900</v>
      </c>
      <c r="X664" s="376">
        <f t="shared" si="132"/>
        <v>0</v>
      </c>
      <c r="Y664" s="379" t="e">
        <f t="shared" si="130"/>
        <v>#VALUE!</v>
      </c>
      <c r="Z664" s="376" t="s">
        <v>76</v>
      </c>
      <c r="AA664" s="380"/>
      <c r="AB664" s="401"/>
      <c r="AC664" s="374" t="s">
        <v>40</v>
      </c>
      <c r="AD664" s="373" t="s">
        <v>510</v>
      </c>
      <c r="AE664" s="378"/>
      <c r="AF664" s="378"/>
      <c r="AG664" s="383"/>
      <c r="AH664" s="378"/>
    </row>
    <row r="665" spans="1:34" ht="28.5" customHeight="1">
      <c r="A665" s="378" t="s">
        <v>471</v>
      </c>
      <c r="B665" s="371"/>
      <c r="C665" s="372" t="s">
        <v>322</v>
      </c>
      <c r="D665" s="372" t="s">
        <v>35</v>
      </c>
      <c r="E665" s="371">
        <v>100650</v>
      </c>
      <c r="F665" s="373" t="s">
        <v>387</v>
      </c>
      <c r="G665" s="373" t="s">
        <v>793</v>
      </c>
      <c r="H665" s="374" t="s">
        <v>124</v>
      </c>
      <c r="I665" s="375">
        <v>6893</v>
      </c>
      <c r="J665" s="375" t="str">
        <f t="shared" si="128"/>
        <v>Offices</v>
      </c>
      <c r="K665" s="375">
        <v>7000</v>
      </c>
      <c r="L665" s="373" t="s">
        <v>68</v>
      </c>
      <c r="M665" s="378"/>
      <c r="N665" s="378"/>
      <c r="O665" s="377">
        <v>44340</v>
      </c>
      <c r="P665" s="378"/>
      <c r="Q665" s="378"/>
      <c r="R665" s="376">
        <v>0</v>
      </c>
      <c r="S665" s="376">
        <f t="shared" si="129"/>
        <v>0</v>
      </c>
      <c r="T665" s="378"/>
      <c r="U665" s="376">
        <v>396300</v>
      </c>
      <c r="V665" s="376">
        <f t="shared" si="131"/>
        <v>0</v>
      </c>
      <c r="W665" s="376">
        <v>396300</v>
      </c>
      <c r="X665" s="376">
        <f t="shared" si="132"/>
        <v>0</v>
      </c>
      <c r="Y665" s="379" t="e">
        <f t="shared" si="130"/>
        <v>#VALUE!</v>
      </c>
      <c r="Z665" s="376" t="s">
        <v>76</v>
      </c>
      <c r="AA665" s="380"/>
      <c r="AB665" s="401"/>
      <c r="AC665" s="374" t="s">
        <v>40</v>
      </c>
      <c r="AD665" s="373" t="s">
        <v>510</v>
      </c>
      <c r="AE665" s="378"/>
      <c r="AF665" s="373">
        <v>1</v>
      </c>
      <c r="AG665" s="383">
        <v>1</v>
      </c>
      <c r="AH665" s="373" t="s">
        <v>160</v>
      </c>
    </row>
    <row r="666" spans="1:34" ht="22.5" customHeight="1">
      <c r="A666" s="378" t="s">
        <v>471</v>
      </c>
      <c r="B666" s="371"/>
      <c r="C666" s="372" t="s">
        <v>322</v>
      </c>
      <c r="D666" s="372" t="s">
        <v>35</v>
      </c>
      <c r="E666" s="371">
        <v>100650</v>
      </c>
      <c r="F666" s="373" t="s">
        <v>387</v>
      </c>
      <c r="G666" s="373" t="s">
        <v>794</v>
      </c>
      <c r="H666" s="374" t="s">
        <v>175</v>
      </c>
      <c r="I666" s="375">
        <v>363</v>
      </c>
      <c r="J666" s="375" t="str">
        <f t="shared" si="128"/>
        <v>Showroom/ Office</v>
      </c>
      <c r="K666" s="375">
        <v>500</v>
      </c>
      <c r="L666" s="373" t="s">
        <v>68</v>
      </c>
      <c r="M666" s="378"/>
      <c r="N666" s="378"/>
      <c r="O666" s="377">
        <v>45139</v>
      </c>
      <c r="P666" s="378"/>
      <c r="Q666" s="378"/>
      <c r="R666" s="376">
        <v>0</v>
      </c>
      <c r="S666" s="376">
        <f t="shared" si="129"/>
        <v>0</v>
      </c>
      <c r="T666" s="378"/>
      <c r="U666" s="376">
        <v>20900</v>
      </c>
      <c r="V666" s="376">
        <f t="shared" si="131"/>
        <v>0</v>
      </c>
      <c r="W666" s="376">
        <v>20900</v>
      </c>
      <c r="X666" s="376">
        <f t="shared" si="132"/>
        <v>0</v>
      </c>
      <c r="Y666" s="379" t="e">
        <f t="shared" si="130"/>
        <v>#VALUE!</v>
      </c>
      <c r="Z666" s="376" t="s">
        <v>69</v>
      </c>
      <c r="AA666" s="380"/>
      <c r="AB666" s="401"/>
      <c r="AC666" s="374" t="s">
        <v>40</v>
      </c>
      <c r="AD666" s="373" t="s">
        <v>510</v>
      </c>
      <c r="AE666" s="378"/>
      <c r="AF666" s="378"/>
      <c r="AG666" s="383"/>
      <c r="AH666" s="378"/>
    </row>
    <row r="667" spans="1:34" ht="24">
      <c r="A667" s="378" t="s">
        <v>471</v>
      </c>
      <c r="B667" s="371"/>
      <c r="C667" s="372" t="s">
        <v>322</v>
      </c>
      <c r="D667" s="372" t="s">
        <v>35</v>
      </c>
      <c r="E667" s="371">
        <v>100650</v>
      </c>
      <c r="F667" s="373" t="s">
        <v>387</v>
      </c>
      <c r="G667" s="373" t="s">
        <v>795</v>
      </c>
      <c r="H667" s="374" t="s">
        <v>175</v>
      </c>
      <c r="I667" s="375">
        <v>933</v>
      </c>
      <c r="J667" s="375" t="str">
        <f t="shared" si="128"/>
        <v>Showroom/ Office</v>
      </c>
      <c r="K667" s="375">
        <v>1000</v>
      </c>
      <c r="L667" s="373" t="s">
        <v>68</v>
      </c>
      <c r="M667" s="378"/>
      <c r="N667" s="378"/>
      <c r="O667" s="377">
        <v>44340</v>
      </c>
      <c r="P667" s="378"/>
      <c r="Q667" s="378"/>
      <c r="R667" s="376">
        <v>0</v>
      </c>
      <c r="S667" s="376">
        <f t="shared" si="129"/>
        <v>0</v>
      </c>
      <c r="T667" s="378"/>
      <c r="U667" s="376">
        <v>53600</v>
      </c>
      <c r="V667" s="376">
        <f t="shared" si="131"/>
        <v>0</v>
      </c>
      <c r="W667" s="376">
        <v>53600</v>
      </c>
      <c r="X667" s="376">
        <f t="shared" si="132"/>
        <v>0</v>
      </c>
      <c r="Y667" s="379" t="e">
        <f t="shared" si="130"/>
        <v>#VALUE!</v>
      </c>
      <c r="Z667" s="376" t="s">
        <v>76</v>
      </c>
      <c r="AA667" s="380"/>
      <c r="AB667" s="401"/>
      <c r="AC667" s="374" t="s">
        <v>40</v>
      </c>
      <c r="AD667" s="373" t="s">
        <v>510</v>
      </c>
      <c r="AE667" s="378"/>
      <c r="AF667" s="378"/>
      <c r="AG667" s="383">
        <v>1</v>
      </c>
      <c r="AH667" s="373" t="s">
        <v>160</v>
      </c>
    </row>
    <row r="668" spans="1:34" ht="36">
      <c r="A668" s="378" t="s">
        <v>471</v>
      </c>
      <c r="B668" s="371"/>
      <c r="C668" s="372" t="s">
        <v>322</v>
      </c>
      <c r="D668" s="372" t="s">
        <v>35</v>
      </c>
      <c r="E668" s="371">
        <v>100650</v>
      </c>
      <c r="F668" s="373" t="s">
        <v>387</v>
      </c>
      <c r="G668" s="373" t="s">
        <v>796</v>
      </c>
      <c r="H668" s="374" t="s">
        <v>175</v>
      </c>
      <c r="I668" s="375">
        <v>1350</v>
      </c>
      <c r="J668" s="375" t="str">
        <f t="shared" si="128"/>
        <v>Showroom/ Office</v>
      </c>
      <c r="K668" s="375">
        <v>1350</v>
      </c>
      <c r="L668" s="373" t="s">
        <v>797</v>
      </c>
      <c r="M668" s="384">
        <v>44501</v>
      </c>
      <c r="N668" s="377">
        <v>46326</v>
      </c>
      <c r="O668" s="378"/>
      <c r="P668" s="378"/>
      <c r="Q668" s="378"/>
      <c r="R668" s="376">
        <v>74250</v>
      </c>
      <c r="S668" s="376">
        <f t="shared" si="129"/>
        <v>0</v>
      </c>
      <c r="T668" s="378"/>
      <c r="U668" s="375">
        <v>77600</v>
      </c>
      <c r="V668" s="376">
        <f t="shared" si="131"/>
        <v>0</v>
      </c>
      <c r="W668" s="376">
        <v>77600</v>
      </c>
      <c r="X668" s="376">
        <f t="shared" si="132"/>
        <v>0</v>
      </c>
      <c r="Y668" s="379" t="e">
        <f t="shared" si="130"/>
        <v>#VALUE!</v>
      </c>
      <c r="Z668" s="376" t="s">
        <v>76</v>
      </c>
      <c r="AA668" s="380"/>
      <c r="AB668" s="401"/>
      <c r="AC668" s="374" t="s">
        <v>40</v>
      </c>
      <c r="AD668" s="378"/>
      <c r="AE668" s="378"/>
      <c r="AF668" s="378"/>
      <c r="AG668" s="383"/>
      <c r="AH668" s="378"/>
    </row>
    <row r="669" spans="1:34">
      <c r="A669" s="378" t="s">
        <v>471</v>
      </c>
      <c r="B669" s="371"/>
      <c r="C669" s="372" t="s">
        <v>322</v>
      </c>
      <c r="D669" s="372" t="s">
        <v>35</v>
      </c>
      <c r="E669" s="371">
        <v>100650</v>
      </c>
      <c r="F669" s="373" t="s">
        <v>387</v>
      </c>
      <c r="G669" s="373" t="s">
        <v>798</v>
      </c>
      <c r="H669" s="374" t="s">
        <v>37</v>
      </c>
      <c r="I669" s="375">
        <v>688</v>
      </c>
      <c r="J669" s="375" t="str">
        <f t="shared" si="128"/>
        <v>Office</v>
      </c>
      <c r="K669" s="375">
        <v>750</v>
      </c>
      <c r="L669" s="373" t="s">
        <v>68</v>
      </c>
      <c r="M669" s="378"/>
      <c r="N669" s="378"/>
      <c r="O669" s="377">
        <v>45139</v>
      </c>
      <c r="P669" s="378"/>
      <c r="Q669" s="378"/>
      <c r="R669" s="376">
        <v>0</v>
      </c>
      <c r="S669" s="376">
        <f t="shared" si="129"/>
        <v>0</v>
      </c>
      <c r="T669" s="378"/>
      <c r="U669" s="376">
        <v>39600</v>
      </c>
      <c r="V669" s="376">
        <f t="shared" si="131"/>
        <v>0</v>
      </c>
      <c r="W669" s="376">
        <v>39600</v>
      </c>
      <c r="X669" s="376">
        <f t="shared" si="132"/>
        <v>0</v>
      </c>
      <c r="Y669" s="379" t="e">
        <f t="shared" si="130"/>
        <v>#VALUE!</v>
      </c>
      <c r="Z669" s="376" t="s">
        <v>76</v>
      </c>
      <c r="AA669" s="380"/>
      <c r="AB669" s="401"/>
      <c r="AC669" s="374" t="s">
        <v>40</v>
      </c>
      <c r="AD669" s="373" t="s">
        <v>510</v>
      </c>
      <c r="AE669" s="378"/>
      <c r="AF669" s="378"/>
      <c r="AG669" s="383"/>
      <c r="AH669" s="378"/>
    </row>
    <row r="670" spans="1:34">
      <c r="A670" s="378" t="s">
        <v>471</v>
      </c>
      <c r="B670" s="371"/>
      <c r="C670" s="372" t="s">
        <v>322</v>
      </c>
      <c r="D670" s="372" t="s">
        <v>35</v>
      </c>
      <c r="E670" s="371">
        <v>100650</v>
      </c>
      <c r="F670" s="373" t="s">
        <v>387</v>
      </c>
      <c r="G670" s="373" t="s">
        <v>799</v>
      </c>
      <c r="H670" s="374" t="s">
        <v>37</v>
      </c>
      <c r="I670" s="375">
        <v>325</v>
      </c>
      <c r="J670" s="375" t="str">
        <f t="shared" si="128"/>
        <v>Office</v>
      </c>
      <c r="K670" s="375">
        <v>500</v>
      </c>
      <c r="L670" s="373" t="s">
        <v>68</v>
      </c>
      <c r="M670" s="378"/>
      <c r="N670" s="378"/>
      <c r="O670" s="377">
        <v>44340</v>
      </c>
      <c r="P670" s="378"/>
      <c r="Q670" s="378"/>
      <c r="R670" s="376">
        <v>0</v>
      </c>
      <c r="S670" s="376">
        <f t="shared" si="129"/>
        <v>0</v>
      </c>
      <c r="T670" s="378"/>
      <c r="U670" s="376">
        <v>18700</v>
      </c>
      <c r="V670" s="376">
        <f t="shared" si="131"/>
        <v>0</v>
      </c>
      <c r="W670" s="376">
        <v>18700</v>
      </c>
      <c r="X670" s="376">
        <f t="shared" si="132"/>
        <v>0</v>
      </c>
      <c r="Y670" s="379" t="e">
        <f t="shared" si="130"/>
        <v>#VALUE!</v>
      </c>
      <c r="Z670" s="376" t="s">
        <v>76</v>
      </c>
      <c r="AA670" s="380"/>
      <c r="AB670" s="401"/>
      <c r="AC670" s="374" t="s">
        <v>40</v>
      </c>
      <c r="AD670" s="373" t="s">
        <v>510</v>
      </c>
      <c r="AE670" s="378"/>
      <c r="AF670" s="378"/>
      <c r="AG670" s="383"/>
      <c r="AH670" s="378"/>
    </row>
    <row r="671" spans="1:34" ht="21.75" customHeight="1">
      <c r="A671" s="378" t="s">
        <v>471</v>
      </c>
      <c r="B671" s="371"/>
      <c r="C671" s="372" t="s">
        <v>322</v>
      </c>
      <c r="D671" s="372" t="s">
        <v>35</v>
      </c>
      <c r="E671" s="371">
        <v>100650</v>
      </c>
      <c r="F671" s="373" t="s">
        <v>387</v>
      </c>
      <c r="G671" s="373" t="s">
        <v>800</v>
      </c>
      <c r="H671" s="374" t="s">
        <v>37</v>
      </c>
      <c r="I671" s="375">
        <v>489</v>
      </c>
      <c r="J671" s="375" t="str">
        <f t="shared" si="128"/>
        <v>Office</v>
      </c>
      <c r="K671" s="375">
        <v>500</v>
      </c>
      <c r="L671" s="385" t="s">
        <v>801</v>
      </c>
      <c r="M671" s="424">
        <v>45770</v>
      </c>
      <c r="N671" s="425">
        <v>46088</v>
      </c>
      <c r="O671" s="425"/>
      <c r="P671" s="387"/>
      <c r="Q671" s="387"/>
      <c r="R671" s="426">
        <v>36529</v>
      </c>
      <c r="S671" s="390">
        <f t="shared" si="129"/>
        <v>0</v>
      </c>
      <c r="T671" s="390"/>
      <c r="U671" s="376">
        <v>28100</v>
      </c>
      <c r="V671" s="376">
        <f t="shared" si="131"/>
        <v>0</v>
      </c>
      <c r="W671" s="376">
        <v>28100</v>
      </c>
      <c r="X671" s="376">
        <f t="shared" si="132"/>
        <v>0</v>
      </c>
      <c r="Y671" s="379" t="e">
        <f t="shared" si="130"/>
        <v>#VALUE!</v>
      </c>
      <c r="Z671" s="376" t="s">
        <v>76</v>
      </c>
      <c r="AA671" s="380"/>
      <c r="AB671" s="401"/>
      <c r="AC671" s="374" t="s">
        <v>40</v>
      </c>
      <c r="AD671" s="427" t="s">
        <v>802</v>
      </c>
      <c r="AE671" s="378"/>
      <c r="AF671" s="378"/>
      <c r="AG671" s="383"/>
      <c r="AH671" s="378"/>
    </row>
    <row r="672" spans="1:34" ht="23.25" customHeight="1">
      <c r="A672" s="378" t="s">
        <v>471</v>
      </c>
      <c r="B672" s="371"/>
      <c r="C672" s="372" t="s">
        <v>322</v>
      </c>
      <c r="D672" s="372" t="s">
        <v>35</v>
      </c>
      <c r="E672" s="371">
        <v>100650</v>
      </c>
      <c r="F672" s="373" t="s">
        <v>387</v>
      </c>
      <c r="G672" s="373" t="s">
        <v>803</v>
      </c>
      <c r="H672" s="374" t="s">
        <v>37</v>
      </c>
      <c r="I672" s="375">
        <v>3558</v>
      </c>
      <c r="J672" s="375" t="str">
        <f t="shared" si="128"/>
        <v>Office</v>
      </c>
      <c r="K672" s="375">
        <v>3500</v>
      </c>
      <c r="L672" s="373" t="s">
        <v>804</v>
      </c>
      <c r="M672" s="384">
        <v>45072</v>
      </c>
      <c r="N672" s="377">
        <v>46898</v>
      </c>
      <c r="O672" s="378"/>
      <c r="P672" s="378"/>
      <c r="Q672" s="377">
        <v>46167</v>
      </c>
      <c r="R672" s="376">
        <v>202920</v>
      </c>
      <c r="S672" s="376">
        <f t="shared" si="129"/>
        <v>46167</v>
      </c>
      <c r="T672" s="378"/>
      <c r="U672" s="376">
        <v>204600</v>
      </c>
      <c r="V672" s="376">
        <f t="shared" si="131"/>
        <v>0</v>
      </c>
      <c r="W672" s="376">
        <v>204600</v>
      </c>
      <c r="X672" s="376">
        <f t="shared" si="132"/>
        <v>0</v>
      </c>
      <c r="Y672" s="379" t="e">
        <f t="shared" si="130"/>
        <v>#VALUE!</v>
      </c>
      <c r="Z672" s="376" t="s">
        <v>805</v>
      </c>
      <c r="AA672" s="380"/>
      <c r="AB672" s="401"/>
      <c r="AC672" s="374" t="s">
        <v>40</v>
      </c>
      <c r="AD672" s="373" t="s">
        <v>725</v>
      </c>
      <c r="AE672" s="378"/>
      <c r="AF672" s="378"/>
      <c r="AG672" s="383"/>
      <c r="AH672" s="378"/>
    </row>
    <row r="673" spans="1:34">
      <c r="A673" s="378" t="s">
        <v>471</v>
      </c>
      <c r="B673" s="371"/>
      <c r="C673" s="372" t="s">
        <v>322</v>
      </c>
      <c r="D673" s="372" t="s">
        <v>35</v>
      </c>
      <c r="E673" s="371">
        <v>100650</v>
      </c>
      <c r="F673" s="373" t="s">
        <v>387</v>
      </c>
      <c r="G673" s="373" t="s">
        <v>806</v>
      </c>
      <c r="H673" s="374" t="s">
        <v>37</v>
      </c>
      <c r="I673" s="375">
        <v>3500</v>
      </c>
      <c r="J673" s="375" t="str">
        <f t="shared" si="128"/>
        <v>Office</v>
      </c>
      <c r="K673" s="375">
        <v>3500</v>
      </c>
      <c r="L673" s="373" t="s">
        <v>807</v>
      </c>
      <c r="M673" s="384">
        <v>44879</v>
      </c>
      <c r="N673" s="377">
        <v>46704</v>
      </c>
      <c r="O673" s="378"/>
      <c r="P673" s="378"/>
      <c r="Q673" s="378"/>
      <c r="R673" s="376">
        <v>200000</v>
      </c>
      <c r="S673" s="376">
        <f t="shared" si="129"/>
        <v>0</v>
      </c>
      <c r="T673" s="378"/>
      <c r="U673" s="376">
        <v>201300</v>
      </c>
      <c r="V673" s="376">
        <f t="shared" si="131"/>
        <v>0</v>
      </c>
      <c r="W673" s="376">
        <v>201300</v>
      </c>
      <c r="X673" s="376">
        <f t="shared" si="132"/>
        <v>0</v>
      </c>
      <c r="Y673" s="379" t="e">
        <f t="shared" si="130"/>
        <v>#VALUE!</v>
      </c>
      <c r="Z673" s="376" t="s">
        <v>69</v>
      </c>
      <c r="AA673" s="380"/>
      <c r="AB673" s="401"/>
      <c r="AC673" s="374" t="s">
        <v>40</v>
      </c>
      <c r="AD673" s="378"/>
      <c r="AE673" s="378"/>
      <c r="AF673" s="378"/>
      <c r="AG673" s="383"/>
      <c r="AH673" s="378"/>
    </row>
    <row r="674" spans="1:34" ht="18" customHeight="1">
      <c r="A674" s="378" t="s">
        <v>471</v>
      </c>
      <c r="B674" s="371"/>
      <c r="C674" s="372" t="s">
        <v>322</v>
      </c>
      <c r="D674" s="372" t="s">
        <v>35</v>
      </c>
      <c r="E674" s="371">
        <v>100650</v>
      </c>
      <c r="F674" s="373" t="s">
        <v>387</v>
      </c>
      <c r="G674" s="373" t="s">
        <v>808</v>
      </c>
      <c r="H674" s="374" t="s">
        <v>37</v>
      </c>
      <c r="I674" s="375">
        <v>416</v>
      </c>
      <c r="J674" s="375" t="str">
        <f t="shared" si="128"/>
        <v>Office</v>
      </c>
      <c r="K674" s="375">
        <v>500</v>
      </c>
      <c r="L674" s="373" t="s">
        <v>807</v>
      </c>
      <c r="M674" s="384">
        <v>45701</v>
      </c>
      <c r="N674" s="377">
        <v>46704</v>
      </c>
      <c r="O674" s="378"/>
      <c r="P674" s="378"/>
      <c r="Q674" s="378"/>
      <c r="R674" s="376">
        <v>15000</v>
      </c>
      <c r="S674" s="376">
        <f t="shared" si="129"/>
        <v>0</v>
      </c>
      <c r="T674" s="378"/>
      <c r="U674" s="376">
        <v>23900</v>
      </c>
      <c r="V674" s="376">
        <f t="shared" si="131"/>
        <v>0</v>
      </c>
      <c r="W674" s="376">
        <v>23900</v>
      </c>
      <c r="X674" s="376">
        <f t="shared" si="132"/>
        <v>0</v>
      </c>
      <c r="Y674" s="379" t="e">
        <f t="shared" si="130"/>
        <v>#VALUE!</v>
      </c>
      <c r="Z674" s="376" t="s">
        <v>76</v>
      </c>
      <c r="AA674" s="380"/>
      <c r="AB674" s="401"/>
      <c r="AC674" s="374" t="s">
        <v>40</v>
      </c>
      <c r="AD674" s="373" t="s">
        <v>809</v>
      </c>
      <c r="AE674" s="378"/>
      <c r="AF674" s="378"/>
      <c r="AG674" s="383"/>
      <c r="AH674" s="378"/>
    </row>
    <row r="675" spans="1:34" ht="22.5" customHeight="1">
      <c r="A675" s="378" t="s">
        <v>471</v>
      </c>
      <c r="B675" s="371"/>
      <c r="C675" s="372" t="s">
        <v>322</v>
      </c>
      <c r="D675" s="372" t="s">
        <v>35</v>
      </c>
      <c r="E675" s="371">
        <v>100650</v>
      </c>
      <c r="F675" s="373" t="s">
        <v>387</v>
      </c>
      <c r="G675" s="373" t="s">
        <v>810</v>
      </c>
      <c r="H675" s="374" t="s">
        <v>175</v>
      </c>
      <c r="I675" s="375">
        <v>1400</v>
      </c>
      <c r="J675" s="375" t="str">
        <f t="shared" si="128"/>
        <v>Showroom/ Office</v>
      </c>
      <c r="K675" s="375">
        <v>1500</v>
      </c>
      <c r="L675" s="373" t="s">
        <v>811</v>
      </c>
      <c r="M675" s="384">
        <v>45359</v>
      </c>
      <c r="N675" s="377">
        <v>46088</v>
      </c>
      <c r="O675" s="378"/>
      <c r="P675" s="378"/>
      <c r="Q675" s="378"/>
      <c r="R675" s="376">
        <v>81900</v>
      </c>
      <c r="S675" s="376">
        <f t="shared" si="129"/>
        <v>0</v>
      </c>
      <c r="T675" s="378"/>
      <c r="U675" s="376">
        <v>80500</v>
      </c>
      <c r="V675" s="376">
        <f t="shared" si="131"/>
        <v>0</v>
      </c>
      <c r="W675" s="376">
        <v>80500</v>
      </c>
      <c r="X675" s="376">
        <f t="shared" si="132"/>
        <v>0</v>
      </c>
      <c r="Y675" s="379" t="e">
        <f t="shared" si="130"/>
        <v>#VALUE!</v>
      </c>
      <c r="Z675" s="376" t="s">
        <v>76</v>
      </c>
      <c r="AA675" s="380"/>
      <c r="AB675" s="401"/>
      <c r="AC675" s="374" t="s">
        <v>40</v>
      </c>
      <c r="AD675" s="378"/>
      <c r="AE675" s="378"/>
      <c r="AF675" s="378"/>
      <c r="AG675" s="383"/>
      <c r="AH675" s="378"/>
    </row>
    <row r="676" spans="1:34" ht="22.5" customHeight="1">
      <c r="A676" s="378" t="s">
        <v>471</v>
      </c>
      <c r="B676" s="371"/>
      <c r="C676" s="372" t="s">
        <v>322</v>
      </c>
      <c r="D676" s="372" t="s">
        <v>35</v>
      </c>
      <c r="E676" s="371">
        <v>100650</v>
      </c>
      <c r="F676" s="373" t="s">
        <v>387</v>
      </c>
      <c r="G676" s="373" t="s">
        <v>812</v>
      </c>
      <c r="H676" s="374" t="s">
        <v>175</v>
      </c>
      <c r="I676" s="375">
        <v>1277</v>
      </c>
      <c r="J676" s="375" t="str">
        <f t="shared" si="128"/>
        <v>Showroom/ Office</v>
      </c>
      <c r="K676" s="375">
        <v>750</v>
      </c>
      <c r="L676" s="373" t="s">
        <v>801</v>
      </c>
      <c r="M676" s="384">
        <v>45714</v>
      </c>
      <c r="N676" s="377">
        <v>46088</v>
      </c>
      <c r="O676" s="378"/>
      <c r="P676" s="378"/>
      <c r="Q676" s="378"/>
      <c r="R676" s="390">
        <v>95395</v>
      </c>
      <c r="S676" s="376">
        <f t="shared" si="129"/>
        <v>0</v>
      </c>
      <c r="T676" s="378"/>
      <c r="U676" s="376">
        <v>73400</v>
      </c>
      <c r="V676" s="376">
        <f t="shared" si="131"/>
        <v>0</v>
      </c>
      <c r="W676" s="376">
        <v>73400</v>
      </c>
      <c r="X676" s="376">
        <f t="shared" si="132"/>
        <v>0</v>
      </c>
      <c r="Y676" s="379" t="e">
        <f t="shared" si="130"/>
        <v>#VALUE!</v>
      </c>
      <c r="Z676" s="376" t="s">
        <v>76</v>
      </c>
      <c r="AA676" s="380"/>
      <c r="AB676" s="401"/>
      <c r="AC676" s="374" t="s">
        <v>40</v>
      </c>
      <c r="AD676" s="373" t="s">
        <v>813</v>
      </c>
      <c r="AE676" s="378"/>
      <c r="AF676" s="373">
        <v>1</v>
      </c>
      <c r="AG676" s="383">
        <v>2</v>
      </c>
      <c r="AH676" s="373" t="s">
        <v>160</v>
      </c>
    </row>
    <row r="677" spans="1:34" ht="28.5" customHeight="1">
      <c r="A677" s="378" t="s">
        <v>471</v>
      </c>
      <c r="B677" s="371"/>
      <c r="C677" s="372" t="s">
        <v>322</v>
      </c>
      <c r="D677" s="372" t="s">
        <v>35</v>
      </c>
      <c r="E677" s="371">
        <v>100650</v>
      </c>
      <c r="F677" s="373" t="s">
        <v>387</v>
      </c>
      <c r="G677" s="373" t="s">
        <v>814</v>
      </c>
      <c r="H677" s="374" t="s">
        <v>815</v>
      </c>
      <c r="I677" s="375">
        <v>0</v>
      </c>
      <c r="J677" s="375" t="str">
        <f t="shared" si="128"/>
        <v>Plant Room</v>
      </c>
      <c r="K677" s="378"/>
      <c r="L677" s="373" t="s">
        <v>448</v>
      </c>
      <c r="M677" s="384">
        <v>39295</v>
      </c>
      <c r="N677" s="377">
        <v>46599</v>
      </c>
      <c r="O677" s="378"/>
      <c r="P677" s="377">
        <v>44409</v>
      </c>
      <c r="Q677" s="378"/>
      <c r="R677" s="376">
        <v>681</v>
      </c>
      <c r="S677" s="376">
        <f t="shared" si="129"/>
        <v>0</v>
      </c>
      <c r="T677" s="378"/>
      <c r="U677" s="376">
        <v>700</v>
      </c>
      <c r="V677" s="376">
        <f t="shared" si="131"/>
        <v>0</v>
      </c>
      <c r="W677" s="376">
        <v>700</v>
      </c>
      <c r="X677" s="376">
        <f t="shared" si="132"/>
        <v>0</v>
      </c>
      <c r="Y677" s="379"/>
      <c r="Z677" s="376"/>
      <c r="AA677" s="380"/>
      <c r="AB677" s="401"/>
      <c r="AC677" s="374" t="s">
        <v>40</v>
      </c>
      <c r="AD677" s="373" t="s">
        <v>547</v>
      </c>
      <c r="AE677" s="378"/>
      <c r="AF677" s="378"/>
      <c r="AG677" s="383"/>
      <c r="AH677" s="378"/>
    </row>
    <row r="678" spans="1:34" ht="28.5" customHeight="1">
      <c r="A678" s="378" t="s">
        <v>471</v>
      </c>
      <c r="B678" s="371"/>
      <c r="C678" s="372" t="s">
        <v>322</v>
      </c>
      <c r="D678" s="372" t="s">
        <v>35</v>
      </c>
      <c r="E678" s="371">
        <v>100650</v>
      </c>
      <c r="F678" s="373" t="s">
        <v>387</v>
      </c>
      <c r="G678" s="391" t="s">
        <v>816</v>
      </c>
      <c r="H678" s="374" t="s">
        <v>815</v>
      </c>
      <c r="I678" s="375">
        <v>0</v>
      </c>
      <c r="J678" s="375" t="str">
        <f t="shared" si="128"/>
        <v>Plant Room</v>
      </c>
      <c r="K678" s="378"/>
      <c r="L678" s="373" t="s">
        <v>448</v>
      </c>
      <c r="M678" s="384">
        <v>39295</v>
      </c>
      <c r="N678" s="377">
        <v>46599</v>
      </c>
      <c r="O678" s="378"/>
      <c r="P678" s="377">
        <v>44409</v>
      </c>
      <c r="Q678" s="378"/>
      <c r="R678" s="376">
        <v>681</v>
      </c>
      <c r="S678" s="376">
        <f t="shared" si="129"/>
        <v>0</v>
      </c>
      <c r="T678" s="378"/>
      <c r="U678" s="376">
        <v>700</v>
      </c>
      <c r="V678" s="376">
        <f t="shared" si="131"/>
        <v>0</v>
      </c>
      <c r="W678" s="376">
        <v>700</v>
      </c>
      <c r="X678" s="376">
        <f t="shared" si="132"/>
        <v>0</v>
      </c>
      <c r="Y678" s="379"/>
      <c r="Z678" s="376"/>
      <c r="AA678" s="380"/>
      <c r="AB678" s="401"/>
      <c r="AC678" s="374" t="s">
        <v>40</v>
      </c>
      <c r="AD678" s="373" t="s">
        <v>547</v>
      </c>
      <c r="AE678" s="378"/>
      <c r="AF678" s="378"/>
      <c r="AG678" s="383"/>
      <c r="AH678" s="378"/>
    </row>
    <row r="679" spans="1:34">
      <c r="B679" s="2"/>
      <c r="C679" s="11"/>
      <c r="D679" s="11"/>
      <c r="E679" s="2"/>
      <c r="G679" s="37"/>
      <c r="U679" s="10"/>
      <c r="V679" s="10"/>
      <c r="W679" s="10"/>
      <c r="X679" s="10"/>
      <c r="Y679" s="10"/>
      <c r="Z679" s="10"/>
      <c r="AA679" s="61"/>
      <c r="AB679" s="54"/>
      <c r="AC679" s="14"/>
      <c r="AG679" s="300"/>
    </row>
    <row r="680" spans="1:34" ht="14.25" customHeight="1">
      <c r="B680" s="2"/>
      <c r="C680" s="11"/>
      <c r="D680" s="11" t="s">
        <v>35</v>
      </c>
      <c r="E680" s="2"/>
      <c r="G680" s="92" t="s">
        <v>817</v>
      </c>
      <c r="I680" s="18">
        <f>SUM(H645:H678)</f>
        <v>0</v>
      </c>
      <c r="J680" s="19"/>
      <c r="K680" s="19"/>
      <c r="R680" s="38">
        <f>SUM(Q645:Q678)</f>
        <v>186696</v>
      </c>
      <c r="S680" s="19"/>
      <c r="T680" s="19">
        <f>SUM(R643:R678)</f>
        <v>2068823</v>
      </c>
      <c r="U680" s="19">
        <f>SUM(T645:T678)</f>
        <v>0</v>
      </c>
      <c r="V680" s="19"/>
      <c r="W680" s="19">
        <f>SUM(V645:V678)</f>
        <v>0</v>
      </c>
      <c r="X680" s="19"/>
      <c r="Y680" s="19"/>
      <c r="Z680" s="19"/>
      <c r="AA680" s="62"/>
      <c r="AB680" s="19">
        <v>61800000</v>
      </c>
      <c r="AC680" s="14"/>
      <c r="AF680" s="29"/>
      <c r="AG680" s="301"/>
      <c r="AH680" s="29"/>
    </row>
    <row r="681" spans="1:34" ht="14.25" customHeight="1">
      <c r="B681" s="2"/>
      <c r="C681" s="11"/>
      <c r="D681" s="11" t="s">
        <v>35</v>
      </c>
      <c r="E681" s="2"/>
      <c r="I681" s="18"/>
      <c r="J681" s="19"/>
      <c r="K681" s="19"/>
      <c r="R681" s="19"/>
      <c r="S681" s="19"/>
      <c r="T681" s="19"/>
      <c r="U681" s="19"/>
      <c r="V681" s="19"/>
      <c r="W681" s="19"/>
      <c r="X681" s="19"/>
      <c r="Y681" s="19"/>
      <c r="Z681" s="19"/>
      <c r="AA681" s="62"/>
      <c r="AB681" s="54"/>
      <c r="AC681" s="14"/>
      <c r="AG681" s="300"/>
    </row>
    <row r="682" spans="1:34" ht="14.25" customHeight="1">
      <c r="A682" t="s">
        <v>928</v>
      </c>
      <c r="B682" s="2"/>
      <c r="C682" s="11"/>
      <c r="D682" s="11" t="s">
        <v>35</v>
      </c>
      <c r="E682" s="2"/>
      <c r="H682" s="6" t="s">
        <v>409</v>
      </c>
      <c r="J682" s="10"/>
      <c r="K682" s="10"/>
      <c r="L682" s="32"/>
      <c r="V682" s="10"/>
      <c r="X682" s="10"/>
      <c r="Y682" s="10"/>
      <c r="Z682" s="10"/>
      <c r="AA682" s="61"/>
      <c r="AC682" s="14"/>
      <c r="AG682" s="300"/>
    </row>
    <row r="683" spans="1:34" ht="14.25" customHeight="1">
      <c r="B683" s="2"/>
      <c r="C683" s="11"/>
      <c r="D683" s="11" t="s">
        <v>35</v>
      </c>
      <c r="E683" s="2"/>
      <c r="H683" s="26"/>
      <c r="J683" s="10"/>
      <c r="K683" s="10"/>
      <c r="L683" s="32"/>
      <c r="V683" s="10"/>
      <c r="X683" s="10"/>
      <c r="Y683" s="10"/>
      <c r="Z683" s="10"/>
      <c r="AA683" s="61"/>
      <c r="AC683" s="14"/>
      <c r="AG683" s="300"/>
    </row>
    <row r="684" spans="1:34" ht="14.25" customHeight="1">
      <c r="A684" s="370" t="s">
        <v>471</v>
      </c>
      <c r="B684" s="371"/>
      <c r="C684" s="372" t="s">
        <v>322</v>
      </c>
      <c r="D684" s="372" t="s">
        <v>35</v>
      </c>
      <c r="E684" s="371">
        <v>100680</v>
      </c>
      <c r="F684" s="373" t="s">
        <v>409</v>
      </c>
      <c r="G684" s="373" t="s">
        <v>410</v>
      </c>
      <c r="H684" s="374" t="s">
        <v>251</v>
      </c>
      <c r="I684" s="372">
        <v>0</v>
      </c>
      <c r="J684" s="375" t="str">
        <f t="shared" ref="J684:J696" si="133">H684</f>
        <v>Storage</v>
      </c>
      <c r="K684" s="378"/>
      <c r="L684" s="373" t="s">
        <v>411</v>
      </c>
      <c r="M684" s="384">
        <v>44736</v>
      </c>
      <c r="N684" s="377">
        <v>46657</v>
      </c>
      <c r="O684" s="378"/>
      <c r="P684" s="378"/>
      <c r="Q684" s="378"/>
      <c r="R684" s="376">
        <v>1000</v>
      </c>
      <c r="S684" s="376">
        <f t="shared" ref="S684:S696" si="134">Q684</f>
        <v>0</v>
      </c>
      <c r="T684" s="378"/>
      <c r="U684" s="376">
        <v>1000</v>
      </c>
      <c r="V684" s="376">
        <f t="shared" ref="V684:V696" si="135">T684</f>
        <v>0</v>
      </c>
      <c r="W684" s="376">
        <v>0</v>
      </c>
      <c r="X684" s="376">
        <f t="shared" ref="X684:X696" si="136">V684</f>
        <v>0</v>
      </c>
      <c r="Y684" s="379"/>
      <c r="Z684" s="376"/>
      <c r="AA684" s="380"/>
      <c r="AB684" s="381"/>
      <c r="AC684" s="374" t="s">
        <v>40</v>
      </c>
      <c r="AD684" s="373" t="s">
        <v>412</v>
      </c>
      <c r="AE684" s="378"/>
      <c r="AF684" s="378"/>
      <c r="AG684" s="383"/>
      <c r="AH684" s="378"/>
    </row>
    <row r="685" spans="1:34" ht="24" customHeight="1">
      <c r="A685" s="378" t="s">
        <v>471</v>
      </c>
      <c r="B685" s="371"/>
      <c r="C685" s="372" t="s">
        <v>322</v>
      </c>
      <c r="D685" s="372" t="s">
        <v>35</v>
      </c>
      <c r="E685" s="371">
        <v>100680</v>
      </c>
      <c r="F685" s="373" t="s">
        <v>409</v>
      </c>
      <c r="G685" s="373" t="s">
        <v>413</v>
      </c>
      <c r="H685" s="374" t="s">
        <v>285</v>
      </c>
      <c r="I685" s="375">
        <v>7079</v>
      </c>
      <c r="J685" s="375" t="str">
        <f t="shared" si="133"/>
        <v>Nightclub</v>
      </c>
      <c r="K685" s="375">
        <v>7000</v>
      </c>
      <c r="L685" s="373" t="s">
        <v>411</v>
      </c>
      <c r="M685" s="384">
        <v>41180</v>
      </c>
      <c r="N685" s="377">
        <v>46657</v>
      </c>
      <c r="O685" s="378"/>
      <c r="P685" s="378"/>
      <c r="Q685" s="378"/>
      <c r="R685" s="376">
        <v>425033</v>
      </c>
      <c r="S685" s="376">
        <f t="shared" si="134"/>
        <v>0</v>
      </c>
      <c r="T685" s="378"/>
      <c r="U685" s="376">
        <v>447350</v>
      </c>
      <c r="V685" s="376">
        <f t="shared" si="135"/>
        <v>0</v>
      </c>
      <c r="W685" s="376">
        <v>360100</v>
      </c>
      <c r="X685" s="376">
        <f t="shared" si="136"/>
        <v>0</v>
      </c>
      <c r="Y685" s="379" t="e">
        <f>T685/H685</f>
        <v>#VALUE!</v>
      </c>
      <c r="Z685" s="376" t="s">
        <v>58</v>
      </c>
      <c r="AA685" s="380"/>
      <c r="AB685" s="401"/>
      <c r="AC685" s="374" t="s">
        <v>94</v>
      </c>
      <c r="AD685" s="378"/>
      <c r="AE685" s="378"/>
      <c r="AF685" s="378"/>
      <c r="AG685" s="383"/>
      <c r="AH685" s="378"/>
    </row>
    <row r="686" spans="1:34" ht="24">
      <c r="A686" s="378" t="s">
        <v>471</v>
      </c>
      <c r="B686" s="371"/>
      <c r="C686" s="372" t="s">
        <v>322</v>
      </c>
      <c r="D686" s="372" t="s">
        <v>35</v>
      </c>
      <c r="E686" s="371">
        <v>100680</v>
      </c>
      <c r="F686" s="373" t="s">
        <v>409</v>
      </c>
      <c r="G686" s="373" t="s">
        <v>414</v>
      </c>
      <c r="H686" s="374" t="s">
        <v>251</v>
      </c>
      <c r="I686" s="375">
        <v>0</v>
      </c>
      <c r="J686" s="375" t="str">
        <f t="shared" si="133"/>
        <v>Storage</v>
      </c>
      <c r="K686" s="378"/>
      <c r="L686" s="373" t="s">
        <v>411</v>
      </c>
      <c r="M686" s="384">
        <v>42114</v>
      </c>
      <c r="N686" s="377">
        <v>46657</v>
      </c>
      <c r="O686" s="378"/>
      <c r="P686" s="378"/>
      <c r="Q686" s="378"/>
      <c r="R686" s="376">
        <v>22317</v>
      </c>
      <c r="S686" s="376">
        <f t="shared" si="134"/>
        <v>0</v>
      </c>
      <c r="T686" s="378"/>
      <c r="U686" s="376">
        <v>21000</v>
      </c>
      <c r="V686" s="376">
        <f t="shared" si="135"/>
        <v>0</v>
      </c>
      <c r="W686" s="376">
        <v>0</v>
      </c>
      <c r="X686" s="376">
        <f t="shared" si="136"/>
        <v>0</v>
      </c>
      <c r="Y686" s="379"/>
      <c r="Z686" s="376"/>
      <c r="AA686" s="380"/>
      <c r="AB686" s="401"/>
      <c r="AC686" s="374" t="s">
        <v>40</v>
      </c>
      <c r="AD686" s="378"/>
      <c r="AE686" s="378"/>
      <c r="AF686" s="378"/>
      <c r="AG686" s="383"/>
      <c r="AH686" s="378"/>
    </row>
    <row r="687" spans="1:34" ht="30" customHeight="1">
      <c r="A687" s="378" t="s">
        <v>471</v>
      </c>
      <c r="B687" s="371"/>
      <c r="C687" s="372" t="s">
        <v>322</v>
      </c>
      <c r="D687" s="372" t="s">
        <v>35</v>
      </c>
      <c r="E687" s="371">
        <v>100680</v>
      </c>
      <c r="F687" s="373" t="s">
        <v>409</v>
      </c>
      <c r="G687" s="373" t="s">
        <v>415</v>
      </c>
      <c r="H687" s="372" t="s">
        <v>46</v>
      </c>
      <c r="I687" s="375">
        <v>3030</v>
      </c>
      <c r="J687" s="375" t="str">
        <f t="shared" si="133"/>
        <v>Retail</v>
      </c>
      <c r="K687" s="375">
        <v>3000</v>
      </c>
      <c r="L687" s="373" t="s">
        <v>416</v>
      </c>
      <c r="M687" s="384">
        <v>45711</v>
      </c>
      <c r="N687" s="377">
        <v>49362</v>
      </c>
      <c r="O687" s="378"/>
      <c r="P687" s="378"/>
      <c r="Q687" s="378"/>
      <c r="R687" s="376">
        <v>250000</v>
      </c>
      <c r="S687" s="376">
        <f t="shared" si="134"/>
        <v>0</v>
      </c>
      <c r="T687" s="378"/>
      <c r="U687" s="376">
        <v>393300</v>
      </c>
      <c r="V687" s="376">
        <f t="shared" si="135"/>
        <v>0</v>
      </c>
      <c r="W687" s="376">
        <v>500000</v>
      </c>
      <c r="X687" s="376">
        <f t="shared" si="136"/>
        <v>0</v>
      </c>
      <c r="Y687" s="379" t="e">
        <f t="shared" ref="Y687:Y696" si="137">T687/H687</f>
        <v>#VALUE!</v>
      </c>
      <c r="Z687" s="376" t="s">
        <v>39</v>
      </c>
      <c r="AA687" s="380"/>
      <c r="AB687" s="401"/>
      <c r="AC687" s="374" t="s">
        <v>40</v>
      </c>
      <c r="AD687" s="373" t="s">
        <v>417</v>
      </c>
      <c r="AE687" s="392"/>
      <c r="AF687" s="391"/>
      <c r="AG687" s="393"/>
      <c r="AH687" s="391"/>
    </row>
    <row r="688" spans="1:34" ht="28.5" customHeight="1">
      <c r="A688" s="378" t="s">
        <v>471</v>
      </c>
      <c r="B688" s="371"/>
      <c r="C688" s="372" t="s">
        <v>322</v>
      </c>
      <c r="D688" s="372" t="s">
        <v>35</v>
      </c>
      <c r="E688" s="371">
        <v>100680</v>
      </c>
      <c r="F688" s="373" t="s">
        <v>409</v>
      </c>
      <c r="G688" s="373" t="s">
        <v>418</v>
      </c>
      <c r="H688" s="374" t="s">
        <v>46</v>
      </c>
      <c r="I688" s="375">
        <v>1296</v>
      </c>
      <c r="J688" s="375" t="str">
        <f t="shared" si="133"/>
        <v>Retail</v>
      </c>
      <c r="K688" s="375">
        <v>1250</v>
      </c>
      <c r="L688" s="373" t="s">
        <v>419</v>
      </c>
      <c r="M688" s="384">
        <v>44908</v>
      </c>
      <c r="N688" s="377">
        <v>46003</v>
      </c>
      <c r="O688" s="378"/>
      <c r="P688" s="378"/>
      <c r="Q688" s="378"/>
      <c r="R688" s="376">
        <v>295000</v>
      </c>
      <c r="S688" s="376">
        <f t="shared" si="134"/>
        <v>0</v>
      </c>
      <c r="T688" s="378"/>
      <c r="U688" s="376">
        <v>275300</v>
      </c>
      <c r="V688" s="376">
        <f t="shared" si="135"/>
        <v>0</v>
      </c>
      <c r="W688" s="376">
        <v>333100</v>
      </c>
      <c r="X688" s="376">
        <f t="shared" si="136"/>
        <v>0</v>
      </c>
      <c r="Y688" s="379" t="e">
        <f t="shared" si="137"/>
        <v>#VALUE!</v>
      </c>
      <c r="Z688" s="376" t="s">
        <v>58</v>
      </c>
      <c r="AA688" s="380"/>
      <c r="AB688" s="401"/>
      <c r="AC688" s="374" t="s">
        <v>40</v>
      </c>
      <c r="AD688" s="391"/>
      <c r="AE688" s="392"/>
      <c r="AF688" s="391"/>
      <c r="AG688" s="393"/>
      <c r="AH688" s="391"/>
    </row>
    <row r="689" spans="1:34" ht="36">
      <c r="A689" s="378" t="s">
        <v>471</v>
      </c>
      <c r="B689" s="371"/>
      <c r="C689" s="372" t="s">
        <v>322</v>
      </c>
      <c r="D689" s="372" t="s">
        <v>35</v>
      </c>
      <c r="E689" s="371">
        <v>100680</v>
      </c>
      <c r="F689" s="373" t="s">
        <v>409</v>
      </c>
      <c r="G689" s="373" t="s">
        <v>420</v>
      </c>
      <c r="H689" s="374" t="s">
        <v>46</v>
      </c>
      <c r="I689" s="375">
        <v>1690</v>
      </c>
      <c r="J689" s="375" t="str">
        <f t="shared" si="133"/>
        <v>Retail</v>
      </c>
      <c r="K689" s="375">
        <v>1500</v>
      </c>
      <c r="L689" s="373" t="s">
        <v>421</v>
      </c>
      <c r="M689" s="384">
        <v>42388</v>
      </c>
      <c r="N689" s="377">
        <v>46040</v>
      </c>
      <c r="O689" s="378"/>
      <c r="P689" s="378"/>
      <c r="Q689" s="378"/>
      <c r="R689" s="376">
        <v>500000</v>
      </c>
      <c r="S689" s="376">
        <f t="shared" si="134"/>
        <v>0</v>
      </c>
      <c r="T689" s="378"/>
      <c r="U689" s="376">
        <v>337700</v>
      </c>
      <c r="V689" s="376">
        <f t="shared" si="135"/>
        <v>0</v>
      </c>
      <c r="W689" s="376">
        <v>415900</v>
      </c>
      <c r="X689" s="376">
        <f t="shared" si="136"/>
        <v>0</v>
      </c>
      <c r="Y689" s="379" t="e">
        <f t="shared" si="137"/>
        <v>#VALUE!</v>
      </c>
      <c r="Z689" s="376" t="s">
        <v>58</v>
      </c>
      <c r="AA689" s="380"/>
      <c r="AB689" s="401"/>
      <c r="AC689" s="374" t="s">
        <v>40</v>
      </c>
      <c r="AD689" s="378"/>
      <c r="AE689" s="378"/>
      <c r="AF689" s="378"/>
      <c r="AG689" s="383"/>
      <c r="AH689" s="378"/>
    </row>
    <row r="690" spans="1:34" ht="24" customHeight="1">
      <c r="A690" s="378" t="s">
        <v>471</v>
      </c>
      <c r="B690" s="371"/>
      <c r="C690" s="372" t="s">
        <v>322</v>
      </c>
      <c r="D690" s="372" t="s">
        <v>35</v>
      </c>
      <c r="E690" s="371">
        <v>100680</v>
      </c>
      <c r="F690" s="373" t="s">
        <v>409</v>
      </c>
      <c r="G690" s="373" t="s">
        <v>422</v>
      </c>
      <c r="H690" s="374" t="s">
        <v>46</v>
      </c>
      <c r="I690" s="375">
        <v>2304</v>
      </c>
      <c r="J690" s="375" t="str">
        <f t="shared" si="133"/>
        <v>Retail</v>
      </c>
      <c r="K690" s="375">
        <v>2250</v>
      </c>
      <c r="L690" s="373" t="s">
        <v>423</v>
      </c>
      <c r="M690" s="384">
        <v>45017</v>
      </c>
      <c r="N690" s="377">
        <v>45747</v>
      </c>
      <c r="O690" s="378"/>
      <c r="P690" s="378"/>
      <c r="Q690" s="378"/>
      <c r="R690" s="376">
        <v>255000</v>
      </c>
      <c r="S690" s="376">
        <f t="shared" si="134"/>
        <v>0</v>
      </c>
      <c r="T690" s="378"/>
      <c r="U690" s="376">
        <v>371300</v>
      </c>
      <c r="V690" s="376">
        <f t="shared" si="135"/>
        <v>0</v>
      </c>
      <c r="W690" s="376">
        <v>426800</v>
      </c>
      <c r="X690" s="376">
        <f t="shared" si="136"/>
        <v>0</v>
      </c>
      <c r="Y690" s="379" t="e">
        <f t="shared" si="137"/>
        <v>#VALUE!</v>
      </c>
      <c r="Z690" s="376" t="s">
        <v>39</v>
      </c>
      <c r="AA690" s="380"/>
      <c r="AB690" s="401"/>
      <c r="AC690" s="374" t="s">
        <v>40</v>
      </c>
      <c r="AD690" s="373" t="s">
        <v>424</v>
      </c>
      <c r="AE690" s="378"/>
      <c r="AF690" s="378"/>
      <c r="AG690" s="383"/>
      <c r="AH690" s="378"/>
    </row>
    <row r="691" spans="1:34" ht="24.75" customHeight="1">
      <c r="A691" s="378" t="s">
        <v>471</v>
      </c>
      <c r="B691" s="371"/>
      <c r="C691" s="372" t="s">
        <v>322</v>
      </c>
      <c r="D691" s="372" t="s">
        <v>35</v>
      </c>
      <c r="E691" s="371">
        <v>100680</v>
      </c>
      <c r="F691" s="373" t="s">
        <v>409</v>
      </c>
      <c r="G691" s="373" t="s">
        <v>818</v>
      </c>
      <c r="H691" s="374" t="s">
        <v>37</v>
      </c>
      <c r="I691" s="375">
        <v>7519</v>
      </c>
      <c r="J691" s="375" t="str">
        <f t="shared" si="133"/>
        <v>Office</v>
      </c>
      <c r="K691" s="375">
        <v>7500</v>
      </c>
      <c r="L691" s="373" t="s">
        <v>819</v>
      </c>
      <c r="M691" s="384">
        <v>45231</v>
      </c>
      <c r="N691" s="377">
        <v>45961</v>
      </c>
      <c r="O691" s="378"/>
      <c r="P691" s="378"/>
      <c r="Q691" s="378"/>
      <c r="R691" s="376">
        <v>450600</v>
      </c>
      <c r="S691" s="376">
        <f t="shared" si="134"/>
        <v>0</v>
      </c>
      <c r="T691" s="428"/>
      <c r="U691" s="376">
        <v>489500</v>
      </c>
      <c r="V691" s="376">
        <f t="shared" si="135"/>
        <v>0</v>
      </c>
      <c r="W691" s="376">
        <v>469900</v>
      </c>
      <c r="X691" s="376">
        <f t="shared" si="136"/>
        <v>0</v>
      </c>
      <c r="Y691" s="379" t="e">
        <f t="shared" si="137"/>
        <v>#VALUE!</v>
      </c>
      <c r="Z691" s="376" t="s">
        <v>69</v>
      </c>
      <c r="AA691" s="380"/>
      <c r="AB691" s="401"/>
      <c r="AC691" s="374" t="s">
        <v>40</v>
      </c>
      <c r="AD691" s="391"/>
      <c r="AE691" s="392"/>
      <c r="AF691" s="391"/>
      <c r="AG691" s="393"/>
      <c r="AH691" s="391"/>
    </row>
    <row r="692" spans="1:34" ht="37.5" customHeight="1">
      <c r="A692" s="378" t="s">
        <v>471</v>
      </c>
      <c r="B692" s="371"/>
      <c r="C692" s="372" t="s">
        <v>322</v>
      </c>
      <c r="D692" s="372" t="s">
        <v>35</v>
      </c>
      <c r="E692" s="371">
        <v>100680</v>
      </c>
      <c r="F692" s="373" t="s">
        <v>409</v>
      </c>
      <c r="G692" s="373" t="s">
        <v>494</v>
      </c>
      <c r="H692" s="374" t="s">
        <v>37</v>
      </c>
      <c r="I692" s="375">
        <v>6890</v>
      </c>
      <c r="J692" s="375" t="str">
        <f t="shared" si="133"/>
        <v>Office</v>
      </c>
      <c r="K692" s="375">
        <v>7000</v>
      </c>
      <c r="L692" s="373" t="s">
        <v>820</v>
      </c>
      <c r="M692" s="384">
        <v>45672</v>
      </c>
      <c r="N692" s="377">
        <v>46766</v>
      </c>
      <c r="O692" s="378"/>
      <c r="P692" s="378"/>
      <c r="Q692" s="377">
        <v>46218</v>
      </c>
      <c r="R692" s="376">
        <v>241776</v>
      </c>
      <c r="S692" s="376">
        <f t="shared" si="134"/>
        <v>46218</v>
      </c>
      <c r="T692" s="429"/>
      <c r="U692" s="376">
        <v>438000</v>
      </c>
      <c r="V692" s="376">
        <f t="shared" si="135"/>
        <v>0</v>
      </c>
      <c r="W692" s="376">
        <v>430600</v>
      </c>
      <c r="X692" s="376">
        <f t="shared" si="136"/>
        <v>0</v>
      </c>
      <c r="Y692" s="379" t="e">
        <f t="shared" si="137"/>
        <v>#VALUE!</v>
      </c>
      <c r="Z692" s="376" t="s">
        <v>58</v>
      </c>
      <c r="AA692" s="380"/>
      <c r="AB692" s="401"/>
      <c r="AC692" s="374" t="s">
        <v>40</v>
      </c>
      <c r="AD692" s="373" t="s">
        <v>821</v>
      </c>
      <c r="AE692" s="378"/>
      <c r="AF692" s="378"/>
      <c r="AG692" s="383"/>
      <c r="AH692" s="378"/>
    </row>
    <row r="693" spans="1:34" ht="37.5" customHeight="1">
      <c r="A693" s="378" t="s">
        <v>471</v>
      </c>
      <c r="B693" s="371"/>
      <c r="C693" s="372" t="s">
        <v>322</v>
      </c>
      <c r="D693" s="372" t="s">
        <v>35</v>
      </c>
      <c r="E693" s="371">
        <v>100680</v>
      </c>
      <c r="F693" s="373" t="s">
        <v>409</v>
      </c>
      <c r="G693" s="373" t="s">
        <v>497</v>
      </c>
      <c r="H693" s="374" t="s">
        <v>37</v>
      </c>
      <c r="I693" s="375">
        <v>6973</v>
      </c>
      <c r="J693" s="375" t="str">
        <f t="shared" si="133"/>
        <v>Office</v>
      </c>
      <c r="K693" s="375">
        <v>7000</v>
      </c>
      <c r="L693" s="373" t="s">
        <v>820</v>
      </c>
      <c r="M693" s="384">
        <v>45672</v>
      </c>
      <c r="N693" s="377">
        <v>46766</v>
      </c>
      <c r="O693" s="378"/>
      <c r="P693" s="378"/>
      <c r="Q693" s="377">
        <v>46218</v>
      </c>
      <c r="R693" s="376">
        <v>242259</v>
      </c>
      <c r="S693" s="376">
        <f t="shared" si="134"/>
        <v>46218</v>
      </c>
      <c r="T693" s="429"/>
      <c r="U693" s="376">
        <v>438900</v>
      </c>
      <c r="V693" s="376">
        <f t="shared" si="135"/>
        <v>0</v>
      </c>
      <c r="W693" s="376">
        <v>435800</v>
      </c>
      <c r="X693" s="376">
        <f t="shared" si="136"/>
        <v>0</v>
      </c>
      <c r="Y693" s="379" t="e">
        <f t="shared" si="137"/>
        <v>#VALUE!</v>
      </c>
      <c r="Z693" s="376" t="s">
        <v>58</v>
      </c>
      <c r="AA693" s="380"/>
      <c r="AB693" s="401"/>
      <c r="AC693" s="374" t="s">
        <v>40</v>
      </c>
      <c r="AD693" s="373" t="s">
        <v>822</v>
      </c>
      <c r="AE693" s="378"/>
      <c r="AF693" s="378"/>
      <c r="AG693" s="383"/>
      <c r="AH693" s="378"/>
    </row>
    <row r="694" spans="1:34" ht="35.25" customHeight="1">
      <c r="A694" s="378" t="s">
        <v>471</v>
      </c>
      <c r="B694" s="371"/>
      <c r="C694" s="372" t="s">
        <v>322</v>
      </c>
      <c r="D694" s="372" t="s">
        <v>35</v>
      </c>
      <c r="E694" s="371">
        <v>100680</v>
      </c>
      <c r="F694" s="373" t="s">
        <v>409</v>
      </c>
      <c r="G694" s="373" t="s">
        <v>498</v>
      </c>
      <c r="H694" s="374" t="s">
        <v>37</v>
      </c>
      <c r="I694" s="375">
        <v>6999</v>
      </c>
      <c r="J694" s="375" t="str">
        <f t="shared" si="133"/>
        <v>Office</v>
      </c>
      <c r="K694" s="375">
        <v>7000</v>
      </c>
      <c r="L694" s="373" t="s">
        <v>68</v>
      </c>
      <c r="M694" s="378"/>
      <c r="N694" s="378"/>
      <c r="O694" s="377">
        <v>45673</v>
      </c>
      <c r="P694" s="378"/>
      <c r="Q694" s="378"/>
      <c r="R694" s="376">
        <v>0</v>
      </c>
      <c r="S694" s="376">
        <f t="shared" si="134"/>
        <v>0</v>
      </c>
      <c r="T694" s="429"/>
      <c r="U694" s="376">
        <v>448100</v>
      </c>
      <c r="V694" s="376">
        <f t="shared" si="135"/>
        <v>0</v>
      </c>
      <c r="W694" s="376">
        <v>437400</v>
      </c>
      <c r="X694" s="376">
        <f t="shared" si="136"/>
        <v>0</v>
      </c>
      <c r="Y694" s="379" t="e">
        <f t="shared" si="137"/>
        <v>#VALUE!</v>
      </c>
      <c r="Z694" s="376" t="s">
        <v>69</v>
      </c>
      <c r="AA694" s="380"/>
      <c r="AB694" s="401"/>
      <c r="AC694" s="374" t="s">
        <v>40</v>
      </c>
      <c r="AD694" s="373" t="s">
        <v>267</v>
      </c>
      <c r="AE694" s="378"/>
      <c r="AF694" s="373">
        <v>1</v>
      </c>
      <c r="AG694" s="383">
        <v>1</v>
      </c>
      <c r="AH694" s="373" t="s">
        <v>160</v>
      </c>
    </row>
    <row r="695" spans="1:34" ht="24" customHeight="1">
      <c r="A695" s="378" t="s">
        <v>471</v>
      </c>
      <c r="B695" s="371"/>
      <c r="C695" s="372" t="s">
        <v>322</v>
      </c>
      <c r="D695" s="372" t="s">
        <v>35</v>
      </c>
      <c r="E695" s="371">
        <v>100680</v>
      </c>
      <c r="F695" s="373" t="s">
        <v>409</v>
      </c>
      <c r="G695" s="373" t="s">
        <v>509</v>
      </c>
      <c r="H695" s="374" t="s">
        <v>37</v>
      </c>
      <c r="I695" s="375">
        <v>7007</v>
      </c>
      <c r="J695" s="375" t="str">
        <f t="shared" si="133"/>
        <v>Office</v>
      </c>
      <c r="K695" s="375">
        <v>7000</v>
      </c>
      <c r="L695" s="373" t="s">
        <v>820</v>
      </c>
      <c r="M695" s="384">
        <v>45672</v>
      </c>
      <c r="N695" s="377">
        <v>46766</v>
      </c>
      <c r="O695" s="378"/>
      <c r="P695" s="378"/>
      <c r="Q695" s="377">
        <v>46218</v>
      </c>
      <c r="R695" s="376">
        <v>252885</v>
      </c>
      <c r="S695" s="376">
        <f t="shared" si="134"/>
        <v>46218</v>
      </c>
      <c r="T695" s="429"/>
      <c r="U695" s="376">
        <v>458100</v>
      </c>
      <c r="V695" s="376">
        <f t="shared" si="135"/>
        <v>0</v>
      </c>
      <c r="W695" s="376">
        <v>437900</v>
      </c>
      <c r="X695" s="376">
        <f t="shared" si="136"/>
        <v>0</v>
      </c>
      <c r="Y695" s="379" t="e">
        <f t="shared" si="137"/>
        <v>#VALUE!</v>
      </c>
      <c r="Z695" s="376" t="s">
        <v>58</v>
      </c>
      <c r="AA695" s="380"/>
      <c r="AB695" s="401"/>
      <c r="AC695" s="374" t="s">
        <v>40</v>
      </c>
      <c r="AD695" s="373" t="s">
        <v>823</v>
      </c>
      <c r="AE695" s="378"/>
      <c r="AF695" s="378"/>
      <c r="AG695" s="383"/>
      <c r="AH695" s="378"/>
    </row>
    <row r="696" spans="1:34" ht="24" customHeight="1">
      <c r="A696" s="378" t="s">
        <v>471</v>
      </c>
      <c r="B696" s="371"/>
      <c r="C696" s="372" t="s">
        <v>322</v>
      </c>
      <c r="D696" s="372" t="s">
        <v>35</v>
      </c>
      <c r="E696" s="371">
        <v>100680</v>
      </c>
      <c r="F696" s="373" t="s">
        <v>409</v>
      </c>
      <c r="G696" s="373" t="s">
        <v>546</v>
      </c>
      <c r="H696" s="374" t="s">
        <v>37</v>
      </c>
      <c r="I696" s="375">
        <v>6662</v>
      </c>
      <c r="J696" s="375" t="str">
        <f t="shared" si="133"/>
        <v>Office</v>
      </c>
      <c r="K696" s="375">
        <v>6500</v>
      </c>
      <c r="L696" s="373" t="s">
        <v>820</v>
      </c>
      <c r="M696" s="384">
        <v>45672</v>
      </c>
      <c r="N696" s="377">
        <v>46766</v>
      </c>
      <c r="O696" s="378"/>
      <c r="P696" s="378"/>
      <c r="Q696" s="377">
        <v>46218</v>
      </c>
      <c r="R696" s="376">
        <v>252394</v>
      </c>
      <c r="S696" s="376">
        <f t="shared" si="134"/>
        <v>46218</v>
      </c>
      <c r="T696" s="429"/>
      <c r="U696" s="376">
        <v>434600</v>
      </c>
      <c r="V696" s="376">
        <f t="shared" si="135"/>
        <v>0</v>
      </c>
      <c r="W696" s="376">
        <v>416400</v>
      </c>
      <c r="X696" s="376">
        <f t="shared" si="136"/>
        <v>0</v>
      </c>
      <c r="Y696" s="379" t="e">
        <f t="shared" si="137"/>
        <v>#VALUE!</v>
      </c>
      <c r="Z696" s="376" t="s">
        <v>58</v>
      </c>
      <c r="AA696" s="380"/>
      <c r="AB696" s="401"/>
      <c r="AC696" s="374" t="s">
        <v>40</v>
      </c>
      <c r="AD696" s="373" t="s">
        <v>824</v>
      </c>
      <c r="AE696" s="378"/>
      <c r="AF696" s="378"/>
      <c r="AG696" s="383"/>
      <c r="AH696" s="378"/>
    </row>
    <row r="697" spans="1:34" ht="14.25" customHeight="1">
      <c r="B697" s="2"/>
      <c r="C697" s="11"/>
      <c r="D697" s="11" t="s">
        <v>35</v>
      </c>
      <c r="E697" s="2"/>
      <c r="J697" s="10"/>
      <c r="K697" s="10"/>
      <c r="Q697" s="43"/>
      <c r="U697" s="10"/>
      <c r="V697" s="10"/>
      <c r="W697" s="10"/>
      <c r="X697" s="10"/>
      <c r="Y697" s="10"/>
      <c r="Z697" s="10"/>
      <c r="AA697" s="61"/>
      <c r="AB697" s="54"/>
      <c r="AC697" s="14"/>
      <c r="AG697" s="300"/>
    </row>
    <row r="698" spans="1:34" ht="14.25" customHeight="1">
      <c r="B698" s="2"/>
      <c r="C698" s="11"/>
      <c r="D698" s="11" t="s">
        <v>35</v>
      </c>
      <c r="E698" s="2"/>
      <c r="G698" s="92" t="s">
        <v>825</v>
      </c>
      <c r="I698" s="18">
        <f>SUM(H684:H696)</f>
        <v>0</v>
      </c>
      <c r="J698" s="19"/>
      <c r="K698" s="19"/>
      <c r="P698" s="43"/>
      <c r="R698" s="19">
        <f>SUM(Q684:Q697)</f>
        <v>184872</v>
      </c>
      <c r="S698" s="19"/>
      <c r="T698" s="19">
        <f>SUM(R683:R697)</f>
        <v>3188264</v>
      </c>
      <c r="U698" s="19">
        <f>SUM(T684:T696)</f>
        <v>0</v>
      </c>
      <c r="V698" s="19"/>
      <c r="W698" s="19">
        <f>SUM(V684:V696)</f>
        <v>0</v>
      </c>
      <c r="X698" s="19"/>
      <c r="Y698" s="19"/>
      <c r="Z698" s="19"/>
      <c r="AA698" s="62"/>
      <c r="AB698" s="19">
        <v>75525000</v>
      </c>
      <c r="AC698" s="14"/>
      <c r="AF698" s="29"/>
      <c r="AG698" s="301"/>
      <c r="AH698" s="29"/>
    </row>
    <row r="699" spans="1:34" ht="14.25" customHeight="1">
      <c r="B699" s="2"/>
      <c r="C699" s="11"/>
      <c r="D699" s="11" t="s">
        <v>35</v>
      </c>
      <c r="E699" s="2"/>
      <c r="H699" s="41"/>
      <c r="I699" s="18"/>
      <c r="J699" s="19"/>
      <c r="K699" s="19"/>
      <c r="P699" s="43"/>
      <c r="Q699" s="8"/>
      <c r="R699" s="19"/>
      <c r="S699" s="19"/>
      <c r="T699" s="19"/>
      <c r="U699" s="19"/>
      <c r="V699" s="19"/>
      <c r="W699" s="19"/>
      <c r="X699" s="19"/>
      <c r="Y699" s="19"/>
      <c r="Z699" s="19"/>
      <c r="AA699" s="62"/>
      <c r="AB699" s="54"/>
      <c r="AC699" s="14"/>
      <c r="AD699" s="37"/>
      <c r="AE699" s="325"/>
      <c r="AF699" s="37"/>
      <c r="AG699" s="302"/>
      <c r="AH699" s="37"/>
    </row>
    <row r="700" spans="1:34" ht="14.25" customHeight="1">
      <c r="A700" t="s">
        <v>928</v>
      </c>
      <c r="B700" s="2"/>
      <c r="C700" s="11"/>
      <c r="D700" s="11" t="s">
        <v>35</v>
      </c>
      <c r="E700" s="2"/>
      <c r="H700" s="6" t="s">
        <v>425</v>
      </c>
      <c r="J700" s="10"/>
      <c r="K700" s="10"/>
      <c r="L700" s="32"/>
      <c r="V700" s="10"/>
      <c r="X700" s="10"/>
      <c r="Y700" s="10"/>
      <c r="Z700" s="10"/>
      <c r="AA700" s="61"/>
      <c r="AC700" s="14"/>
      <c r="AG700" s="300"/>
    </row>
    <row r="701" spans="1:34" ht="14.25" customHeight="1">
      <c r="B701" s="2"/>
      <c r="C701" s="11"/>
      <c r="D701" s="11" t="s">
        <v>35</v>
      </c>
      <c r="E701" s="2"/>
      <c r="I701" s="18"/>
      <c r="J701" s="19"/>
      <c r="K701" s="19"/>
      <c r="R701" s="19"/>
      <c r="S701" s="19"/>
      <c r="T701" s="19"/>
      <c r="U701" s="19"/>
      <c r="V701" s="19"/>
      <c r="W701" s="19"/>
      <c r="X701" s="19"/>
      <c r="Y701" s="19"/>
      <c r="Z701" s="19"/>
      <c r="AA701" s="62"/>
      <c r="AB701" s="54"/>
      <c r="AC701" s="14"/>
      <c r="AG701" s="300"/>
    </row>
    <row r="702" spans="1:34" ht="14.25" customHeight="1">
      <c r="A702" s="370" t="s">
        <v>471</v>
      </c>
      <c r="B702" s="371"/>
      <c r="C702" s="372" t="s">
        <v>119</v>
      </c>
      <c r="D702" s="372" t="s">
        <v>35</v>
      </c>
      <c r="E702" s="371">
        <v>550030</v>
      </c>
      <c r="F702" s="373" t="s">
        <v>425</v>
      </c>
      <c r="G702" s="373" t="s">
        <v>317</v>
      </c>
      <c r="H702" s="374" t="s">
        <v>37</v>
      </c>
      <c r="I702" s="375">
        <v>825</v>
      </c>
      <c r="J702" s="376" t="str">
        <f>H702</f>
        <v>Office</v>
      </c>
      <c r="K702" s="376">
        <v>1000</v>
      </c>
      <c r="L702" s="373" t="s">
        <v>68</v>
      </c>
      <c r="M702" s="378"/>
      <c r="N702" s="378"/>
      <c r="O702" s="377">
        <v>44709</v>
      </c>
      <c r="P702" s="378"/>
      <c r="Q702" s="378"/>
      <c r="R702" s="376">
        <v>0</v>
      </c>
      <c r="S702" s="376">
        <f>Q702</f>
        <v>0</v>
      </c>
      <c r="T702" s="378"/>
      <c r="U702" s="376">
        <v>27200</v>
      </c>
      <c r="V702" s="376">
        <f>T702</f>
        <v>0</v>
      </c>
      <c r="W702" s="376">
        <v>33000</v>
      </c>
      <c r="X702" s="376">
        <f>V702</f>
        <v>0</v>
      </c>
      <c r="Y702" s="379" t="e">
        <f>T702/H702</f>
        <v>#VALUE!</v>
      </c>
      <c r="Z702" s="376" t="s">
        <v>58</v>
      </c>
      <c r="AA702" s="380"/>
      <c r="AB702" s="401"/>
      <c r="AC702" s="374" t="s">
        <v>40</v>
      </c>
      <c r="AD702" s="378"/>
      <c r="AE702" s="378"/>
      <c r="AF702" s="378"/>
      <c r="AG702" s="383"/>
      <c r="AH702" s="378"/>
    </row>
    <row r="703" spans="1:34" ht="24">
      <c r="A703" s="378" t="s">
        <v>471</v>
      </c>
      <c r="B703" s="371"/>
      <c r="C703" s="372" t="s">
        <v>119</v>
      </c>
      <c r="D703" s="372" t="s">
        <v>35</v>
      </c>
      <c r="E703" s="371">
        <v>550030</v>
      </c>
      <c r="F703" s="373" t="s">
        <v>425</v>
      </c>
      <c r="G703" s="373" t="s">
        <v>826</v>
      </c>
      <c r="H703" s="374" t="s">
        <v>827</v>
      </c>
      <c r="I703" s="375">
        <v>0</v>
      </c>
      <c r="J703" s="376" t="str">
        <f>H703</f>
        <v>One Bed Flat</v>
      </c>
      <c r="K703" s="376"/>
      <c r="L703" s="373" t="s">
        <v>828</v>
      </c>
      <c r="M703" s="384">
        <v>30310</v>
      </c>
      <c r="N703" s="430">
        <v>66469</v>
      </c>
      <c r="O703" s="430"/>
      <c r="P703" s="377">
        <v>54417</v>
      </c>
      <c r="Q703" s="378"/>
      <c r="R703" s="376">
        <v>150</v>
      </c>
      <c r="S703" s="376">
        <f>Q703</f>
        <v>0</v>
      </c>
      <c r="T703" s="378"/>
      <c r="U703" s="376">
        <v>150</v>
      </c>
      <c r="V703" s="376">
        <f>T703</f>
        <v>0</v>
      </c>
      <c r="W703" s="376">
        <v>150</v>
      </c>
      <c r="X703" s="376">
        <f>V703</f>
        <v>0</v>
      </c>
      <c r="Y703" s="379"/>
      <c r="Z703" s="376"/>
      <c r="AA703" s="380"/>
      <c r="AB703" s="401"/>
      <c r="AC703" s="374"/>
      <c r="AD703" s="378"/>
      <c r="AE703" s="378"/>
      <c r="AF703" s="378"/>
      <c r="AG703" s="383"/>
      <c r="AH703" s="378"/>
    </row>
    <row r="704" spans="1:34" ht="22.5" customHeight="1">
      <c r="A704" s="378" t="s">
        <v>471</v>
      </c>
      <c r="B704" s="371"/>
      <c r="C704" s="372" t="s">
        <v>119</v>
      </c>
      <c r="D704" s="372" t="s">
        <v>35</v>
      </c>
      <c r="E704" s="371">
        <v>550030</v>
      </c>
      <c r="F704" s="373" t="s">
        <v>425</v>
      </c>
      <c r="G704" s="373" t="s">
        <v>829</v>
      </c>
      <c r="H704" s="374" t="s">
        <v>827</v>
      </c>
      <c r="I704" s="375">
        <v>0</v>
      </c>
      <c r="J704" s="376" t="str">
        <f>H704</f>
        <v>One Bed Flat</v>
      </c>
      <c r="K704" s="376"/>
      <c r="L704" s="373" t="s">
        <v>830</v>
      </c>
      <c r="M704" s="384">
        <v>30310</v>
      </c>
      <c r="N704" s="430">
        <v>66469</v>
      </c>
      <c r="O704" s="430"/>
      <c r="P704" s="377">
        <v>54417</v>
      </c>
      <c r="Q704" s="378"/>
      <c r="R704" s="376">
        <v>150</v>
      </c>
      <c r="S704" s="376">
        <f>Q704</f>
        <v>0</v>
      </c>
      <c r="T704" s="378"/>
      <c r="U704" s="376">
        <v>150</v>
      </c>
      <c r="V704" s="376">
        <f>T704</f>
        <v>0</v>
      </c>
      <c r="W704" s="376">
        <v>150</v>
      </c>
      <c r="X704" s="376">
        <f>V704</f>
        <v>0</v>
      </c>
      <c r="Y704" s="379"/>
      <c r="Z704" s="376"/>
      <c r="AA704" s="380"/>
      <c r="AB704" s="401"/>
      <c r="AC704" s="374"/>
      <c r="AD704" s="378"/>
      <c r="AE704" s="378"/>
      <c r="AF704" s="378"/>
      <c r="AG704" s="383"/>
      <c r="AH704" s="378"/>
    </row>
    <row r="705" spans="1:34" ht="22.5" customHeight="1">
      <c r="A705" s="378" t="s">
        <v>471</v>
      </c>
      <c r="B705" s="371"/>
      <c r="C705" s="372" t="s">
        <v>119</v>
      </c>
      <c r="D705" s="372" t="s">
        <v>35</v>
      </c>
      <c r="E705" s="371">
        <v>550030</v>
      </c>
      <c r="F705" s="373" t="s">
        <v>425</v>
      </c>
      <c r="G705" s="373" t="s">
        <v>831</v>
      </c>
      <c r="H705" s="374" t="s">
        <v>827</v>
      </c>
      <c r="I705" s="375">
        <v>0</v>
      </c>
      <c r="J705" s="376" t="str">
        <f>H705</f>
        <v>One Bed Flat</v>
      </c>
      <c r="K705" s="376"/>
      <c r="L705" s="373" t="s">
        <v>832</v>
      </c>
      <c r="M705" s="384">
        <v>30310</v>
      </c>
      <c r="N705" s="430">
        <v>99340</v>
      </c>
      <c r="O705" s="430"/>
      <c r="P705" s="378"/>
      <c r="Q705" s="378"/>
      <c r="R705" s="376">
        <v>0</v>
      </c>
      <c r="S705" s="376">
        <f>Q705</f>
        <v>0</v>
      </c>
      <c r="T705" s="378"/>
      <c r="U705" s="376">
        <v>150</v>
      </c>
      <c r="V705" s="376">
        <f>T705</f>
        <v>0</v>
      </c>
      <c r="W705" s="376">
        <v>150</v>
      </c>
      <c r="X705" s="376">
        <f>V705</f>
        <v>0</v>
      </c>
      <c r="Y705" s="379"/>
      <c r="Z705" s="376"/>
      <c r="AA705" s="380"/>
      <c r="AB705" s="401"/>
      <c r="AC705" s="374"/>
      <c r="AD705" s="373" t="s">
        <v>833</v>
      </c>
      <c r="AE705" s="378"/>
      <c r="AF705" s="378"/>
      <c r="AG705" s="383"/>
      <c r="AH705" s="378"/>
    </row>
    <row r="706" spans="1:34" ht="22.5" customHeight="1">
      <c r="A706" s="378" t="s">
        <v>471</v>
      </c>
      <c r="B706" s="371"/>
      <c r="C706" s="372" t="s">
        <v>119</v>
      </c>
      <c r="D706" s="372" t="s">
        <v>35</v>
      </c>
      <c r="E706" s="371">
        <v>550030</v>
      </c>
      <c r="F706" s="373" t="s">
        <v>425</v>
      </c>
      <c r="G706" s="373" t="s">
        <v>834</v>
      </c>
      <c r="H706" s="374" t="s">
        <v>827</v>
      </c>
      <c r="I706" s="375">
        <v>0</v>
      </c>
      <c r="J706" s="376" t="str">
        <f>H706</f>
        <v>One Bed Flat</v>
      </c>
      <c r="K706" s="376"/>
      <c r="L706" s="373" t="s">
        <v>835</v>
      </c>
      <c r="M706" s="384">
        <v>30310</v>
      </c>
      <c r="N706" s="430">
        <v>66469</v>
      </c>
      <c r="O706" s="430"/>
      <c r="P706" s="377">
        <v>54417</v>
      </c>
      <c r="Q706" s="378"/>
      <c r="R706" s="376">
        <v>0</v>
      </c>
      <c r="S706" s="376">
        <f>Q706</f>
        <v>0</v>
      </c>
      <c r="T706" s="378"/>
      <c r="U706" s="376">
        <v>150</v>
      </c>
      <c r="V706" s="376">
        <f>T706</f>
        <v>0</v>
      </c>
      <c r="W706" s="376">
        <v>150</v>
      </c>
      <c r="X706" s="376">
        <f>V706</f>
        <v>0</v>
      </c>
      <c r="Y706" s="379"/>
      <c r="Z706" s="376"/>
      <c r="AA706" s="380"/>
      <c r="AB706" s="401"/>
      <c r="AC706" s="374"/>
      <c r="AD706" s="373" t="s">
        <v>833</v>
      </c>
      <c r="AE706" s="378"/>
      <c r="AF706" s="378"/>
      <c r="AG706" s="383"/>
      <c r="AH706" s="378"/>
    </row>
    <row r="707" spans="1:34" ht="14.25" customHeight="1">
      <c r="B707" s="2"/>
      <c r="C707" s="11"/>
      <c r="D707" s="11" t="s">
        <v>35</v>
      </c>
      <c r="E707" s="2"/>
      <c r="H707" s="41"/>
      <c r="I707" s="2"/>
      <c r="J707" s="10"/>
      <c r="K707" s="10"/>
      <c r="R707" s="19"/>
      <c r="S707" s="19"/>
      <c r="T707" s="19"/>
      <c r="U707" s="19"/>
      <c r="V707" s="19"/>
      <c r="W707" s="19"/>
      <c r="X707" s="19"/>
      <c r="Y707" s="19"/>
      <c r="Z707" s="19"/>
      <c r="AA707" s="62"/>
      <c r="AB707" s="54"/>
      <c r="AC707" s="14"/>
      <c r="AG707" s="300"/>
    </row>
    <row r="708" spans="1:34" ht="14.25" customHeight="1">
      <c r="B708" s="2"/>
      <c r="C708" s="11"/>
      <c r="D708" s="11" t="s">
        <v>35</v>
      </c>
      <c r="E708" s="2"/>
      <c r="G708" s="92" t="s">
        <v>425</v>
      </c>
      <c r="H708" s="53"/>
      <c r="I708" s="18">
        <f>SUM(H702:H706)</f>
        <v>0</v>
      </c>
      <c r="J708" s="19"/>
      <c r="K708" s="19"/>
      <c r="L708" s="87"/>
      <c r="M708" s="57"/>
      <c r="R708" s="19">
        <f>SUM(Q702:Q706)</f>
        <v>0</v>
      </c>
      <c r="S708" s="19"/>
      <c r="T708" s="19">
        <f>SUM(R701:R707)</f>
        <v>300</v>
      </c>
      <c r="U708" s="19">
        <f>SUM(T702:T706)</f>
        <v>0</v>
      </c>
      <c r="V708" s="19"/>
      <c r="W708" s="19">
        <f>SUM(V702:V706)</f>
        <v>0</v>
      </c>
      <c r="X708" s="19"/>
      <c r="Y708" s="19"/>
      <c r="Z708" s="19"/>
      <c r="AA708" s="62"/>
      <c r="AB708" s="19">
        <v>300000</v>
      </c>
      <c r="AC708" s="14"/>
      <c r="AG708" s="300"/>
    </row>
    <row r="709" spans="1:34" ht="14.25" customHeight="1">
      <c r="B709" s="2"/>
      <c r="C709" s="11"/>
      <c r="D709" s="11" t="s">
        <v>35</v>
      </c>
      <c r="E709" s="2"/>
      <c r="H709" s="41"/>
      <c r="I709" s="18"/>
      <c r="J709" s="19"/>
      <c r="K709" s="19"/>
      <c r="R709" s="19"/>
      <c r="S709" s="19"/>
      <c r="T709" s="19"/>
      <c r="U709" s="19"/>
      <c r="V709" s="19"/>
      <c r="W709" s="19"/>
      <c r="X709" s="19"/>
      <c r="Y709" s="19"/>
      <c r="Z709" s="19"/>
      <c r="AA709" s="62"/>
      <c r="AB709" s="54"/>
      <c r="AC709" s="14"/>
      <c r="AG709" s="300"/>
    </row>
    <row r="710" spans="1:34" ht="14.25" customHeight="1">
      <c r="A710" t="s">
        <v>928</v>
      </c>
      <c r="B710" s="2"/>
      <c r="C710" s="11"/>
      <c r="D710" s="11" t="s">
        <v>35</v>
      </c>
      <c r="E710" s="2"/>
      <c r="H710" s="6" t="s">
        <v>426</v>
      </c>
      <c r="J710" s="10"/>
      <c r="K710" s="10"/>
      <c r="L710" s="32"/>
      <c r="Q710" s="36"/>
      <c r="V710" s="10"/>
      <c r="X710" s="10"/>
      <c r="Y710" s="10"/>
      <c r="Z710" s="10"/>
      <c r="AA710" s="61"/>
      <c r="AC710" s="14"/>
      <c r="AG710" s="300"/>
    </row>
    <row r="711" spans="1:34" ht="14.25" customHeight="1">
      <c r="B711" s="2"/>
      <c r="C711" s="11"/>
      <c r="D711" s="11" t="s">
        <v>35</v>
      </c>
      <c r="E711" s="2"/>
      <c r="J711" s="10"/>
      <c r="K711" s="10"/>
      <c r="Q711" s="36"/>
      <c r="U711" s="10"/>
      <c r="V711" s="10"/>
      <c r="W711" s="10"/>
      <c r="X711" s="10"/>
      <c r="Y711" s="10"/>
      <c r="Z711" s="10"/>
      <c r="AA711" s="61"/>
      <c r="AC711" s="14"/>
      <c r="AG711" s="300"/>
    </row>
    <row r="712" spans="1:34" ht="72">
      <c r="A712" t="s">
        <v>471</v>
      </c>
      <c r="B712" s="2"/>
      <c r="C712" s="11" t="s">
        <v>119</v>
      </c>
      <c r="D712" s="11" t="s">
        <v>35</v>
      </c>
      <c r="E712" s="2">
        <v>550760</v>
      </c>
      <c r="F712" s="4" t="s">
        <v>426</v>
      </c>
      <c r="G712" s="4" t="s">
        <v>36</v>
      </c>
      <c r="H712" s="14" t="s">
        <v>427</v>
      </c>
      <c r="I712" s="18">
        <v>2085</v>
      </c>
      <c r="J712" s="10" t="str">
        <f>H712</f>
        <v>Showroom &amp; Office</v>
      </c>
      <c r="K712" s="10">
        <v>2000</v>
      </c>
      <c r="L712" s="4" t="s">
        <v>428</v>
      </c>
      <c r="M712" s="8">
        <v>44927</v>
      </c>
      <c r="R712" s="19">
        <v>89918</v>
      </c>
      <c r="S712" s="10">
        <f>Q712</f>
        <v>0</v>
      </c>
      <c r="T712" s="19">
        <f>R712</f>
        <v>89918</v>
      </c>
      <c r="U712" s="19">
        <v>80000</v>
      </c>
      <c r="V712" s="10">
        <f>T712</f>
        <v>89918</v>
      </c>
      <c r="W712" s="19">
        <v>79600</v>
      </c>
      <c r="X712" s="10">
        <f>V712</f>
        <v>89918</v>
      </c>
      <c r="Y712" s="10"/>
      <c r="Z712" s="10" t="s">
        <v>69</v>
      </c>
      <c r="AA712" s="61"/>
      <c r="AB712" s="19">
        <v>1200000</v>
      </c>
      <c r="AC712" s="14" t="s">
        <v>40</v>
      </c>
      <c r="AD712" s="4" t="s">
        <v>429</v>
      </c>
      <c r="AG712" s="300"/>
    </row>
    <row r="713" spans="1:34" ht="14.25" customHeight="1">
      <c r="B713" s="2"/>
      <c r="C713" s="11"/>
      <c r="D713" s="11"/>
      <c r="E713" s="2"/>
      <c r="G713" s="92" t="s">
        <v>426</v>
      </c>
      <c r="I713" s="33"/>
      <c r="J713" s="18"/>
      <c r="K713" s="18"/>
      <c r="L713" s="34"/>
      <c r="M713" s="35"/>
      <c r="N713" s="36"/>
      <c r="O713" s="36"/>
      <c r="P713" s="36"/>
      <c r="R713" s="18"/>
      <c r="S713" s="33"/>
      <c r="T713" s="33"/>
      <c r="U713" s="33">
        <f>SUM(T712:T712)</f>
        <v>89918</v>
      </c>
      <c r="V713" s="33"/>
      <c r="W713" s="33">
        <f>SUM(V712:V712)</f>
        <v>89918</v>
      </c>
      <c r="X713" s="33"/>
      <c r="Y713" s="33"/>
      <c r="Z713" s="33"/>
      <c r="AA713" s="63"/>
      <c r="AB713" s="19"/>
      <c r="AC713" s="14"/>
      <c r="AG713" s="300"/>
    </row>
    <row r="714" spans="1:34" ht="14.25" customHeight="1">
      <c r="I714" s="18"/>
      <c r="J714" s="18"/>
      <c r="K714" s="18"/>
      <c r="R714" s="19"/>
      <c r="S714" s="19"/>
      <c r="T714" s="19"/>
      <c r="U714" s="19"/>
      <c r="V714" s="19"/>
      <c r="W714" s="19"/>
      <c r="X714" s="19"/>
      <c r="Y714" s="19"/>
      <c r="Z714" s="19"/>
      <c r="AA714" s="62"/>
      <c r="AB714" s="54"/>
      <c r="AC714" s="54"/>
      <c r="AG714" s="300"/>
    </row>
    <row r="715" spans="1:34" ht="14.25" customHeight="1" thickBot="1">
      <c r="G715" s="192" t="s">
        <v>430</v>
      </c>
      <c r="H715" s="193"/>
      <c r="I715" s="194" t="str">
        <f ca="1">I715</f>
        <v/>
      </c>
      <c r="J715" s="194">
        <f>SUM(I5:I714)</f>
        <v>805024</v>
      </c>
      <c r="K715" s="194"/>
      <c r="L715" s="195"/>
      <c r="M715" s="196"/>
      <c r="N715" s="197"/>
      <c r="O715" s="197"/>
      <c r="P715" s="197"/>
      <c r="Q715" s="197"/>
      <c r="R715" s="367">
        <f>SUM(R7:R712)</f>
        <v>39450744</v>
      </c>
      <c r="S715" s="198"/>
      <c r="T715" s="198"/>
      <c r="U715" s="194">
        <f>SUM(U7:U712)</f>
        <v>50721463</v>
      </c>
      <c r="V715" s="198"/>
      <c r="W715" s="194">
        <f>SUM(W7:W712)</f>
        <v>52697011</v>
      </c>
      <c r="X715" s="198"/>
      <c r="Y715" s="198"/>
      <c r="Z715" s="198"/>
      <c r="AA715" s="199"/>
      <c r="AB715" s="194">
        <f>SUM(AA7:AA712)</f>
        <v>0</v>
      </c>
      <c r="AC715" s="200"/>
      <c r="AD715" s="195"/>
      <c r="AE715" s="330"/>
      <c r="AF715" s="236"/>
      <c r="AG715" s="309"/>
      <c r="AH715" s="236"/>
    </row>
    <row r="716" spans="1:34" ht="14.25" customHeight="1" thickTop="1">
      <c r="U716" s="10"/>
      <c r="V716" s="10"/>
      <c r="W716" s="10"/>
      <c r="X716" s="10"/>
      <c r="Y716" s="10"/>
      <c r="Z716" s="10"/>
      <c r="AA716" s="61"/>
      <c r="AC716" s="55"/>
      <c r="AG716" s="300"/>
    </row>
    <row r="717" spans="1:34" ht="13" customHeight="1">
      <c r="G717" s="146"/>
      <c r="H717" s="147"/>
      <c r="I717" s="148"/>
      <c r="J717" s="148"/>
      <c r="K717" s="148"/>
      <c r="L717" s="146"/>
      <c r="M717" s="149"/>
      <c r="N717" s="149"/>
      <c r="O717" s="149"/>
      <c r="P717" s="149"/>
      <c r="Q717" s="149"/>
      <c r="R717" s="150"/>
      <c r="S717" s="150"/>
      <c r="U717" s="150"/>
      <c r="V717" s="150"/>
      <c r="W717" s="150"/>
      <c r="X717" s="150"/>
      <c r="Y717" s="150"/>
      <c r="Z717" s="150"/>
      <c r="AA717" s="147"/>
      <c r="AB717" s="147"/>
      <c r="AC717" s="147"/>
      <c r="AD717" s="146"/>
      <c r="AE717" s="331"/>
      <c r="AF717" s="146"/>
      <c r="AG717" s="310"/>
      <c r="AH717" s="146"/>
    </row>
    <row r="718" spans="1:34" ht="13" customHeight="1">
      <c r="A718" t="s">
        <v>928</v>
      </c>
      <c r="G718" s="146"/>
      <c r="H718" s="151" t="s">
        <v>431</v>
      </c>
      <c r="I718" s="148"/>
      <c r="J718" s="148"/>
      <c r="K718" s="148"/>
      <c r="L718" s="146"/>
      <c r="M718" s="149"/>
      <c r="N718" s="149"/>
      <c r="O718" s="149"/>
      <c r="P718" s="149"/>
      <c r="Q718" s="149"/>
      <c r="R718" s="150"/>
      <c r="S718" s="150"/>
      <c r="U718" s="150"/>
      <c r="V718" s="150"/>
      <c r="W718" s="150"/>
      <c r="X718" s="150"/>
      <c r="Y718" s="150"/>
      <c r="Z718" s="150"/>
      <c r="AA718" s="147"/>
      <c r="AB718" s="147"/>
      <c r="AC718" s="147"/>
      <c r="AD718" s="146"/>
      <c r="AE718" s="331"/>
      <c r="AF718" s="146"/>
      <c r="AG718" s="310"/>
      <c r="AH718" s="146"/>
    </row>
    <row r="719" spans="1:34" ht="13" customHeight="1">
      <c r="G719" s="146"/>
      <c r="H719" s="147"/>
      <c r="I719" s="148"/>
      <c r="J719" s="148"/>
      <c r="K719" s="148"/>
      <c r="L719" s="146"/>
      <c r="M719" s="149"/>
      <c r="N719" s="149"/>
      <c r="O719" s="149"/>
      <c r="P719" s="149"/>
      <c r="Q719" s="149"/>
      <c r="R719" s="150"/>
      <c r="S719" s="150"/>
      <c r="U719" s="150"/>
      <c r="V719" s="150"/>
      <c r="W719" s="150"/>
      <c r="X719" s="150"/>
      <c r="Y719" s="150"/>
      <c r="Z719" s="150"/>
      <c r="AA719" s="147"/>
      <c r="AB719" s="147"/>
      <c r="AC719" s="147"/>
      <c r="AD719" s="146"/>
      <c r="AE719" s="331"/>
      <c r="AF719" s="146"/>
      <c r="AG719" s="310"/>
      <c r="AH719" s="146"/>
    </row>
    <row r="720" spans="1:34" s="1" customFormat="1" ht="16.5" customHeight="1">
      <c r="A720" s="1" t="s">
        <v>471</v>
      </c>
      <c r="C720" s="11" t="s">
        <v>97</v>
      </c>
      <c r="D720" s="11" t="s">
        <v>432</v>
      </c>
      <c r="E720" s="170">
        <v>800200</v>
      </c>
      <c r="F720" s="170" t="s">
        <v>431</v>
      </c>
      <c r="G720" s="170" t="s">
        <v>36</v>
      </c>
      <c r="H720" s="171" t="s">
        <v>433</v>
      </c>
      <c r="I720" s="172">
        <v>3122</v>
      </c>
      <c r="J720" s="173" t="str">
        <f>H720</f>
        <v>Retail &amp; Office</v>
      </c>
      <c r="K720" s="173">
        <v>3000</v>
      </c>
      <c r="L720" s="170" t="s">
        <v>434</v>
      </c>
      <c r="M720" s="174">
        <v>42580</v>
      </c>
      <c r="N720" s="174">
        <v>46231</v>
      </c>
      <c r="O720" s="174"/>
      <c r="P720" s="174">
        <v>44406</v>
      </c>
      <c r="Q720" s="174"/>
      <c r="R720" s="175">
        <v>170000</v>
      </c>
      <c r="S720" s="172">
        <f>Q720</f>
        <v>0</v>
      </c>
      <c r="T720" s="10"/>
      <c r="U720" s="175">
        <v>124100</v>
      </c>
      <c r="V720" s="173">
        <f>T720</f>
        <v>0</v>
      </c>
      <c r="W720" s="175">
        <v>124100</v>
      </c>
      <c r="X720" s="173">
        <f>V720</f>
        <v>0</v>
      </c>
      <c r="Y720" s="299" t="e">
        <f>T720/H720</f>
        <v>#VALUE!</v>
      </c>
      <c r="Z720" s="173" t="s">
        <v>76</v>
      </c>
      <c r="AA720" s="171"/>
      <c r="AB720" s="172">
        <v>1325000</v>
      </c>
      <c r="AC720" s="176" t="s">
        <v>40</v>
      </c>
      <c r="AD720" s="170"/>
      <c r="AE720" s="332"/>
      <c r="AF720" s="170"/>
      <c r="AG720" s="311"/>
      <c r="AH720" s="170"/>
    </row>
    <row r="721" spans="1:34" ht="13" customHeight="1">
      <c r="E721" s="152"/>
      <c r="F721" s="152"/>
      <c r="G721" s="146"/>
      <c r="H721" s="147"/>
      <c r="I721" s="148"/>
      <c r="J721" s="148"/>
      <c r="K721" s="148"/>
      <c r="L721" s="146"/>
      <c r="M721" s="149"/>
      <c r="N721" s="149"/>
      <c r="O721" s="149"/>
      <c r="P721" s="149"/>
      <c r="Q721" s="149"/>
      <c r="R721" s="150"/>
      <c r="S721" s="148"/>
      <c r="U721" s="150"/>
      <c r="V721" s="148"/>
      <c r="W721" s="150"/>
      <c r="X721" s="148"/>
      <c r="Y721" s="148"/>
      <c r="Z721" s="148"/>
      <c r="AA721" s="153"/>
      <c r="AB721" s="147"/>
      <c r="AC721" s="153"/>
      <c r="AD721" s="146"/>
      <c r="AE721" s="331"/>
      <c r="AF721" s="146"/>
      <c r="AG721" s="310"/>
      <c r="AH721" s="146"/>
    </row>
    <row r="722" spans="1:34" ht="13" customHeight="1">
      <c r="E722" s="152"/>
      <c r="F722" s="152"/>
      <c r="G722" s="146"/>
      <c r="H722" s="147"/>
      <c r="I722" s="148"/>
      <c r="J722" s="148"/>
      <c r="K722" s="148"/>
      <c r="L722" s="146"/>
      <c r="M722" s="149"/>
      <c r="N722" s="149"/>
      <c r="O722" s="149"/>
      <c r="P722" s="149"/>
      <c r="Q722" s="149"/>
      <c r="R722" s="150"/>
      <c r="S722" s="148"/>
      <c r="U722" s="150"/>
      <c r="V722" s="148"/>
      <c r="W722" s="150"/>
      <c r="X722" s="148"/>
      <c r="Y722" s="148"/>
      <c r="Z722" s="148"/>
      <c r="AA722" s="147"/>
      <c r="AB722" s="147"/>
      <c r="AC722" s="147"/>
      <c r="AD722" s="146"/>
      <c r="AE722" s="331"/>
      <c r="AF722" s="146"/>
      <c r="AG722" s="310"/>
      <c r="AH722" s="146"/>
    </row>
    <row r="723" spans="1:34" ht="13" customHeight="1">
      <c r="A723" t="s">
        <v>928</v>
      </c>
      <c r="E723" s="152"/>
      <c r="F723" s="152"/>
      <c r="G723" s="146"/>
      <c r="H723" s="151" t="s">
        <v>435</v>
      </c>
      <c r="I723" s="148"/>
      <c r="J723" s="148"/>
      <c r="K723" s="148"/>
      <c r="L723" s="146"/>
      <c r="M723" s="149"/>
      <c r="N723" s="149"/>
      <c r="O723" s="149"/>
      <c r="P723" s="149"/>
      <c r="Q723" s="149"/>
      <c r="R723" s="150"/>
      <c r="S723" s="148"/>
      <c r="U723" s="150"/>
      <c r="V723" s="148"/>
      <c r="W723" s="150"/>
      <c r="X723" s="148"/>
      <c r="Y723" s="148"/>
      <c r="Z723" s="148"/>
      <c r="AA723" s="147"/>
      <c r="AB723" s="147"/>
      <c r="AC723" s="147"/>
      <c r="AD723" s="146"/>
      <c r="AE723" s="331"/>
      <c r="AF723" s="146"/>
      <c r="AG723" s="310"/>
      <c r="AH723" s="146"/>
    </row>
    <row r="724" spans="1:34" ht="13" customHeight="1">
      <c r="E724" s="152"/>
      <c r="F724" s="152"/>
      <c r="G724" s="146"/>
      <c r="H724" s="147"/>
      <c r="I724" s="148"/>
      <c r="J724" s="148"/>
      <c r="K724" s="148"/>
      <c r="L724" s="146"/>
      <c r="M724" s="149"/>
      <c r="N724" s="149"/>
      <c r="O724" s="149"/>
      <c r="P724" s="149"/>
      <c r="Q724" s="149"/>
      <c r="R724" s="150"/>
      <c r="S724" s="148"/>
      <c r="U724" s="150"/>
      <c r="V724" s="148"/>
      <c r="W724" s="150"/>
      <c r="X724" s="148"/>
      <c r="Y724" s="148"/>
      <c r="Z724" s="148"/>
      <c r="AA724" s="147"/>
      <c r="AB724" s="147"/>
      <c r="AC724" s="147"/>
      <c r="AD724" s="146"/>
      <c r="AE724" s="331"/>
      <c r="AF724" s="146"/>
      <c r="AG724" s="310"/>
      <c r="AH724" s="146"/>
    </row>
    <row r="725" spans="1:34" s="1" customFormat="1" ht="12" customHeight="1">
      <c r="A725" s="370" t="s">
        <v>471</v>
      </c>
      <c r="B725" s="378"/>
      <c r="C725" s="372" t="s">
        <v>97</v>
      </c>
      <c r="D725" s="372" t="s">
        <v>432</v>
      </c>
      <c r="E725" s="431">
        <v>800100</v>
      </c>
      <c r="F725" s="431" t="s">
        <v>435</v>
      </c>
      <c r="G725" s="431" t="s">
        <v>139</v>
      </c>
      <c r="H725" s="432" t="s">
        <v>83</v>
      </c>
      <c r="I725" s="433">
        <v>4332</v>
      </c>
      <c r="J725" s="433" t="str">
        <f t="shared" ref="J725:J732" si="138">H725</f>
        <v>Restaurant</v>
      </c>
      <c r="K725" s="433">
        <v>4250</v>
      </c>
      <c r="L725" s="408" t="s">
        <v>436</v>
      </c>
      <c r="M725" s="434">
        <v>41789</v>
      </c>
      <c r="N725" s="434">
        <v>47267</v>
      </c>
      <c r="O725" s="434"/>
      <c r="P725" s="434"/>
      <c r="Q725" s="434"/>
      <c r="R725" s="435">
        <v>255000</v>
      </c>
      <c r="S725" s="433">
        <f t="shared" ref="S725:S732" si="139">Q725</f>
        <v>0</v>
      </c>
      <c r="T725" s="376"/>
      <c r="U725" s="435">
        <v>290500</v>
      </c>
      <c r="V725" s="433">
        <f t="shared" ref="V725:V732" si="140">T725</f>
        <v>0</v>
      </c>
      <c r="W725" s="435">
        <v>290500</v>
      </c>
      <c r="X725" s="433">
        <f t="shared" ref="X725:X732" si="141">V725</f>
        <v>0</v>
      </c>
      <c r="Y725" s="379" t="e">
        <f t="shared" ref="Y725:Y731" si="142">T725/H725</f>
        <v>#VALUE!</v>
      </c>
      <c r="Z725" s="433" t="s">
        <v>69</v>
      </c>
      <c r="AA725" s="436" t="s">
        <v>25</v>
      </c>
      <c r="AB725" s="436"/>
      <c r="AC725" s="435" t="s">
        <v>40</v>
      </c>
      <c r="AD725" s="431" t="s">
        <v>437</v>
      </c>
      <c r="AE725" s="437"/>
      <c r="AF725" s="431"/>
      <c r="AG725" s="438"/>
      <c r="AH725" s="431"/>
    </row>
    <row r="726" spans="1:34" s="1" customFormat="1" ht="12" customHeight="1">
      <c r="A726" s="378" t="s">
        <v>471</v>
      </c>
      <c r="B726" s="378"/>
      <c r="C726" s="372" t="s">
        <v>97</v>
      </c>
      <c r="D726" s="372" t="s">
        <v>432</v>
      </c>
      <c r="E726" s="431">
        <v>800100</v>
      </c>
      <c r="F726" s="431" t="s">
        <v>435</v>
      </c>
      <c r="G726" s="431" t="s">
        <v>494</v>
      </c>
      <c r="H726" s="432" t="s">
        <v>124</v>
      </c>
      <c r="I726" s="433">
        <v>1818</v>
      </c>
      <c r="J726" s="433" t="str">
        <f t="shared" si="138"/>
        <v>Offices</v>
      </c>
      <c r="K726" s="433">
        <v>2000</v>
      </c>
      <c r="L726" s="408" t="s">
        <v>836</v>
      </c>
      <c r="M726" s="434">
        <v>44280</v>
      </c>
      <c r="N726" s="434">
        <v>46105</v>
      </c>
      <c r="O726" s="434"/>
      <c r="P726" s="434"/>
      <c r="Q726" s="434"/>
      <c r="R726" s="435">
        <v>83000</v>
      </c>
      <c r="S726" s="433">
        <f t="shared" si="139"/>
        <v>0</v>
      </c>
      <c r="T726" s="376"/>
      <c r="U726" s="435">
        <v>111800</v>
      </c>
      <c r="V726" s="433">
        <f t="shared" si="140"/>
        <v>0</v>
      </c>
      <c r="W726" s="435">
        <v>118200</v>
      </c>
      <c r="X726" s="433">
        <f t="shared" si="141"/>
        <v>0</v>
      </c>
      <c r="Y726" s="379" t="e">
        <f t="shared" si="142"/>
        <v>#VALUE!</v>
      </c>
      <c r="Z726" s="433" t="s">
        <v>69</v>
      </c>
      <c r="AA726" s="436"/>
      <c r="AB726" s="436"/>
      <c r="AC726" s="435" t="s">
        <v>94</v>
      </c>
      <c r="AD726" s="431"/>
      <c r="AE726" s="437"/>
      <c r="AF726" s="431"/>
      <c r="AG726" s="438"/>
      <c r="AH726" s="431"/>
    </row>
    <row r="727" spans="1:34" s="1" customFormat="1" ht="12" customHeight="1">
      <c r="A727" s="378" t="s">
        <v>471</v>
      </c>
      <c r="B727" s="378"/>
      <c r="C727" s="372" t="s">
        <v>97</v>
      </c>
      <c r="D727" s="372" t="s">
        <v>432</v>
      </c>
      <c r="E727" s="431">
        <v>800100</v>
      </c>
      <c r="F727" s="431" t="s">
        <v>435</v>
      </c>
      <c r="G727" s="431" t="s">
        <v>497</v>
      </c>
      <c r="H727" s="432" t="s">
        <v>124</v>
      </c>
      <c r="I727" s="433">
        <v>1829</v>
      </c>
      <c r="J727" s="433" t="str">
        <f t="shared" si="138"/>
        <v>Offices</v>
      </c>
      <c r="K727" s="433">
        <v>2000</v>
      </c>
      <c r="L727" s="408" t="s">
        <v>837</v>
      </c>
      <c r="M727" s="434">
        <v>45715</v>
      </c>
      <c r="N727" s="434">
        <v>47540</v>
      </c>
      <c r="O727" s="434"/>
      <c r="P727" s="434"/>
      <c r="Q727" s="434">
        <v>46809</v>
      </c>
      <c r="R727" s="439">
        <v>120700</v>
      </c>
      <c r="S727" s="433">
        <f t="shared" si="139"/>
        <v>46809</v>
      </c>
      <c r="T727" s="376"/>
      <c r="U727" s="435">
        <v>112500</v>
      </c>
      <c r="V727" s="433">
        <f t="shared" si="140"/>
        <v>0</v>
      </c>
      <c r="W727" s="435">
        <v>118900</v>
      </c>
      <c r="X727" s="433">
        <f t="shared" si="141"/>
        <v>0</v>
      </c>
      <c r="Y727" s="379" t="e">
        <f t="shared" si="142"/>
        <v>#VALUE!</v>
      </c>
      <c r="Z727" s="433" t="s">
        <v>69</v>
      </c>
      <c r="AA727" s="436"/>
      <c r="AB727" s="436"/>
      <c r="AC727" s="435" t="s">
        <v>40</v>
      </c>
      <c r="AD727" s="431" t="s">
        <v>725</v>
      </c>
      <c r="AE727" s="437"/>
      <c r="AF727" s="431"/>
      <c r="AG727" s="438"/>
      <c r="AH727" s="431"/>
    </row>
    <row r="728" spans="1:34" s="1" customFormat="1" ht="12" customHeight="1">
      <c r="A728" s="378" t="s">
        <v>471</v>
      </c>
      <c r="B728" s="378"/>
      <c r="C728" s="372" t="s">
        <v>97</v>
      </c>
      <c r="D728" s="372" t="s">
        <v>432</v>
      </c>
      <c r="E728" s="431">
        <v>800100</v>
      </c>
      <c r="F728" s="431" t="s">
        <v>435</v>
      </c>
      <c r="G728" s="431" t="s">
        <v>498</v>
      </c>
      <c r="H728" s="432" t="s">
        <v>124</v>
      </c>
      <c r="I728" s="433">
        <v>1837</v>
      </c>
      <c r="J728" s="433" t="str">
        <f t="shared" si="138"/>
        <v>Offices</v>
      </c>
      <c r="K728" s="433">
        <v>2000</v>
      </c>
      <c r="L728" s="408" t="s">
        <v>838</v>
      </c>
      <c r="M728" s="434">
        <v>44900</v>
      </c>
      <c r="N728" s="434">
        <v>46725</v>
      </c>
      <c r="O728" s="434"/>
      <c r="P728" s="434"/>
      <c r="Q728" s="434">
        <v>45995</v>
      </c>
      <c r="R728" s="435">
        <v>115731</v>
      </c>
      <c r="S728" s="433">
        <f t="shared" si="139"/>
        <v>45995</v>
      </c>
      <c r="T728" s="376"/>
      <c r="U728" s="435">
        <v>116600</v>
      </c>
      <c r="V728" s="433">
        <f t="shared" si="140"/>
        <v>0</v>
      </c>
      <c r="W728" s="435">
        <v>123100</v>
      </c>
      <c r="X728" s="433">
        <f t="shared" si="141"/>
        <v>0</v>
      </c>
      <c r="Y728" s="379" t="e">
        <f t="shared" si="142"/>
        <v>#VALUE!</v>
      </c>
      <c r="Z728" s="433" t="s">
        <v>39</v>
      </c>
      <c r="AA728" s="436"/>
      <c r="AB728" s="436"/>
      <c r="AC728" s="435" t="s">
        <v>40</v>
      </c>
      <c r="AD728" s="431" t="s">
        <v>839</v>
      </c>
      <c r="AE728" s="437"/>
      <c r="AF728" s="431"/>
      <c r="AG728" s="438"/>
      <c r="AH728" s="431"/>
    </row>
    <row r="729" spans="1:34" s="1" customFormat="1" ht="12" customHeight="1">
      <c r="A729" s="378" t="s">
        <v>471</v>
      </c>
      <c r="B729" s="378"/>
      <c r="C729" s="372" t="s">
        <v>97</v>
      </c>
      <c r="D729" s="372" t="s">
        <v>432</v>
      </c>
      <c r="E729" s="431">
        <v>800100</v>
      </c>
      <c r="F729" s="431" t="s">
        <v>435</v>
      </c>
      <c r="G729" s="431" t="s">
        <v>509</v>
      </c>
      <c r="H729" s="432" t="s">
        <v>124</v>
      </c>
      <c r="I729" s="433">
        <v>1815</v>
      </c>
      <c r="J729" s="433" t="str">
        <f t="shared" si="138"/>
        <v>Offices</v>
      </c>
      <c r="K729" s="433">
        <v>2000</v>
      </c>
      <c r="L729" s="408" t="s">
        <v>840</v>
      </c>
      <c r="M729" s="434">
        <v>44627</v>
      </c>
      <c r="N729" s="434">
        <v>46452</v>
      </c>
      <c r="O729" s="434"/>
      <c r="P729" s="434"/>
      <c r="Q729" s="434"/>
      <c r="R729" s="435">
        <v>149742</v>
      </c>
      <c r="S729" s="433">
        <f t="shared" si="139"/>
        <v>0</v>
      </c>
      <c r="T729" s="376"/>
      <c r="U729" s="435">
        <v>115300</v>
      </c>
      <c r="V729" s="433">
        <f t="shared" si="140"/>
        <v>0</v>
      </c>
      <c r="W729" s="435">
        <v>121600</v>
      </c>
      <c r="X729" s="433">
        <f t="shared" si="141"/>
        <v>0</v>
      </c>
      <c r="Y729" s="379" t="e">
        <f t="shared" si="142"/>
        <v>#VALUE!</v>
      </c>
      <c r="Z729" s="433" t="s">
        <v>39</v>
      </c>
      <c r="AA729" s="436"/>
      <c r="AB729" s="436"/>
      <c r="AC729" s="435" t="s">
        <v>40</v>
      </c>
      <c r="AD729" s="431" t="s">
        <v>841</v>
      </c>
      <c r="AE729" s="437"/>
      <c r="AF729" s="431"/>
      <c r="AG729" s="438"/>
      <c r="AH729" s="431"/>
    </row>
    <row r="730" spans="1:34" s="1" customFormat="1" ht="12" customHeight="1">
      <c r="A730" s="378" t="s">
        <v>471</v>
      </c>
      <c r="B730" s="378"/>
      <c r="C730" s="372" t="s">
        <v>97</v>
      </c>
      <c r="D730" s="372" t="s">
        <v>432</v>
      </c>
      <c r="E730" s="431">
        <v>800100</v>
      </c>
      <c r="F730" s="431" t="s">
        <v>435</v>
      </c>
      <c r="G730" s="431" t="s">
        <v>546</v>
      </c>
      <c r="H730" s="432" t="s">
        <v>124</v>
      </c>
      <c r="I730" s="433">
        <v>1815</v>
      </c>
      <c r="J730" s="433" t="str">
        <f t="shared" si="138"/>
        <v>Offices</v>
      </c>
      <c r="K730" s="433">
        <v>2000</v>
      </c>
      <c r="L730" s="408" t="s">
        <v>842</v>
      </c>
      <c r="M730" s="434">
        <v>45408</v>
      </c>
      <c r="N730" s="434">
        <v>47233</v>
      </c>
      <c r="O730" s="434"/>
      <c r="P730" s="434"/>
      <c r="Q730" s="434"/>
      <c r="R730" s="435">
        <v>122513</v>
      </c>
      <c r="S730" s="433">
        <f t="shared" si="139"/>
        <v>0</v>
      </c>
      <c r="T730" s="376"/>
      <c r="U730" s="435">
        <v>115300</v>
      </c>
      <c r="V730" s="433">
        <f t="shared" si="140"/>
        <v>0</v>
      </c>
      <c r="W730" s="435">
        <v>121600</v>
      </c>
      <c r="X730" s="433">
        <f t="shared" si="141"/>
        <v>0</v>
      </c>
      <c r="Y730" s="379" t="e">
        <f t="shared" si="142"/>
        <v>#VALUE!</v>
      </c>
      <c r="Z730" s="433" t="s">
        <v>69</v>
      </c>
      <c r="AA730" s="436"/>
      <c r="AB730" s="435"/>
      <c r="AC730" s="435" t="s">
        <v>40</v>
      </c>
      <c r="AD730" s="431"/>
      <c r="AE730" s="437"/>
      <c r="AF730" s="431"/>
      <c r="AG730" s="438"/>
      <c r="AH730" s="431"/>
    </row>
    <row r="731" spans="1:34" s="1" customFormat="1" ht="12" customHeight="1">
      <c r="A731" s="378" t="s">
        <v>471</v>
      </c>
      <c r="B731" s="378"/>
      <c r="C731" s="372" t="s">
        <v>97</v>
      </c>
      <c r="D731" s="372" t="s">
        <v>432</v>
      </c>
      <c r="E731" s="431">
        <v>800100</v>
      </c>
      <c r="F731" s="431" t="s">
        <v>435</v>
      </c>
      <c r="G731" s="431" t="s">
        <v>652</v>
      </c>
      <c r="H731" s="432" t="s">
        <v>124</v>
      </c>
      <c r="I731" s="433">
        <v>790</v>
      </c>
      <c r="J731" s="433" t="str">
        <f t="shared" si="138"/>
        <v>Offices</v>
      </c>
      <c r="K731" s="433">
        <v>750</v>
      </c>
      <c r="L731" s="408" t="s">
        <v>843</v>
      </c>
      <c r="M731" s="434">
        <v>44442</v>
      </c>
      <c r="N731" s="434">
        <v>46267</v>
      </c>
      <c r="O731" s="434"/>
      <c r="P731" s="434"/>
      <c r="Q731" s="434"/>
      <c r="R731" s="435">
        <v>41080</v>
      </c>
      <c r="S731" s="433">
        <f t="shared" si="139"/>
        <v>0</v>
      </c>
      <c r="T731" s="376"/>
      <c r="U731" s="435">
        <v>46200</v>
      </c>
      <c r="V731" s="433">
        <f t="shared" si="140"/>
        <v>0</v>
      </c>
      <c r="W731" s="435">
        <v>48600</v>
      </c>
      <c r="X731" s="433">
        <f t="shared" si="141"/>
        <v>0</v>
      </c>
      <c r="Y731" s="379" t="e">
        <f t="shared" si="142"/>
        <v>#VALUE!</v>
      </c>
      <c r="Z731" s="433" t="s">
        <v>76</v>
      </c>
      <c r="AA731" s="436"/>
      <c r="AB731" s="436"/>
      <c r="AC731" s="435" t="s">
        <v>40</v>
      </c>
      <c r="AD731" s="431"/>
      <c r="AE731" s="437"/>
      <c r="AF731" s="431"/>
      <c r="AG731" s="438"/>
      <c r="AH731" s="431"/>
    </row>
    <row r="732" spans="1:34" s="1" customFormat="1" ht="24" customHeight="1">
      <c r="A732" s="378" t="s">
        <v>471</v>
      </c>
      <c r="B732" s="378"/>
      <c r="C732" s="372" t="s">
        <v>97</v>
      </c>
      <c r="D732" s="372" t="s">
        <v>432</v>
      </c>
      <c r="E732" s="431">
        <v>800100</v>
      </c>
      <c r="F732" s="431" t="s">
        <v>435</v>
      </c>
      <c r="G732" s="431" t="s">
        <v>844</v>
      </c>
      <c r="H732" s="440" t="s">
        <v>664</v>
      </c>
      <c r="I732" s="433">
        <v>0</v>
      </c>
      <c r="J732" s="433" t="str">
        <f t="shared" si="138"/>
        <v>Electricity Sub-Station</v>
      </c>
      <c r="K732" s="433"/>
      <c r="L732" s="408" t="s">
        <v>448</v>
      </c>
      <c r="M732" s="434">
        <v>42552</v>
      </c>
      <c r="N732" s="434">
        <v>47267</v>
      </c>
      <c r="O732" s="434"/>
      <c r="P732" s="434">
        <v>46204</v>
      </c>
      <c r="Q732" s="434"/>
      <c r="R732" s="435">
        <v>1160</v>
      </c>
      <c r="S732" s="433">
        <f t="shared" si="139"/>
        <v>0</v>
      </c>
      <c r="T732" s="376"/>
      <c r="U732" s="435">
        <v>1160</v>
      </c>
      <c r="V732" s="433">
        <f t="shared" si="140"/>
        <v>0</v>
      </c>
      <c r="W732" s="435">
        <v>1160</v>
      </c>
      <c r="X732" s="433">
        <f t="shared" si="141"/>
        <v>0</v>
      </c>
      <c r="Y732" s="379"/>
      <c r="Z732" s="433"/>
      <c r="AA732" s="436"/>
      <c r="AB732" s="436"/>
      <c r="AC732" s="435" t="s">
        <v>94</v>
      </c>
      <c r="AD732" s="441" t="s">
        <v>845</v>
      </c>
      <c r="AE732" s="442"/>
      <c r="AF732" s="441"/>
      <c r="AG732" s="443"/>
      <c r="AH732" s="441"/>
    </row>
    <row r="733" spans="1:34" ht="13" customHeight="1">
      <c r="E733" s="152"/>
      <c r="F733" s="152"/>
      <c r="G733" s="146"/>
      <c r="H733" s="147"/>
      <c r="I733" s="148"/>
      <c r="J733" s="159"/>
      <c r="K733" s="159"/>
      <c r="L733" s="157"/>
      <c r="M733" s="160"/>
      <c r="N733" s="160"/>
      <c r="O733" s="160"/>
      <c r="P733" s="160"/>
      <c r="Q733" s="160"/>
      <c r="R733" s="161"/>
      <c r="S733" s="161"/>
      <c r="U733" s="161"/>
      <c r="V733" s="155"/>
      <c r="W733" s="161"/>
      <c r="X733" s="155"/>
      <c r="Y733" s="155"/>
      <c r="Z733" s="155"/>
      <c r="AA733" s="147"/>
      <c r="AB733" s="147"/>
      <c r="AC733" s="147"/>
      <c r="AD733" s="152"/>
      <c r="AE733" s="333"/>
      <c r="AF733" s="152"/>
      <c r="AG733" s="312"/>
      <c r="AH733" s="152"/>
    </row>
    <row r="734" spans="1:34" s="180" customFormat="1" ht="11" customHeight="1">
      <c r="E734" s="170"/>
      <c r="F734" s="170"/>
      <c r="G734" s="183"/>
      <c r="H734" s="184"/>
      <c r="I734" s="172">
        <f>SUM(H725:H732)</f>
        <v>0</v>
      </c>
      <c r="J734" s="172"/>
      <c r="K734" s="172"/>
      <c r="L734" s="185"/>
      <c r="M734" s="186"/>
      <c r="N734" s="186"/>
      <c r="O734" s="186"/>
      <c r="P734" s="186"/>
      <c r="Q734" s="186"/>
      <c r="R734" s="366">
        <f>SUM(Q725:Q732)</f>
        <v>92804</v>
      </c>
      <c r="S734" s="172"/>
      <c r="U734" s="172">
        <f>SUM(T725:T732)</f>
        <v>0</v>
      </c>
      <c r="V734" s="173"/>
      <c r="W734" s="172">
        <f>SUM(V725:V732)</f>
        <v>0</v>
      </c>
      <c r="X734" s="173"/>
      <c r="Y734" s="173"/>
      <c r="Z734" s="173"/>
      <c r="AA734" s="187"/>
      <c r="AB734" s="172">
        <v>14700000</v>
      </c>
      <c r="AC734" s="187"/>
      <c r="AD734" s="4"/>
      <c r="AE734" s="322"/>
      <c r="AF734" s="29"/>
      <c r="AG734" s="301"/>
      <c r="AH734" s="29"/>
    </row>
    <row r="735" spans="1:34" ht="13" customHeight="1">
      <c r="E735" s="152"/>
      <c r="F735" s="152"/>
      <c r="G735" s="146"/>
      <c r="H735" s="147"/>
      <c r="I735" s="148"/>
      <c r="J735" s="159"/>
      <c r="K735" s="159"/>
      <c r="L735" s="157"/>
      <c r="M735" s="149"/>
      <c r="N735" s="149"/>
      <c r="O735" s="149"/>
      <c r="P735" s="149"/>
      <c r="Q735" s="149"/>
      <c r="R735" s="150"/>
      <c r="S735" s="150"/>
      <c r="U735" s="150"/>
      <c r="V735" s="155"/>
      <c r="W735" s="150"/>
      <c r="X735" s="155"/>
      <c r="Y735" s="155"/>
      <c r="Z735" s="155"/>
      <c r="AA735" s="147"/>
      <c r="AB735" s="147"/>
      <c r="AC735" s="147"/>
      <c r="AD735" s="152"/>
      <c r="AE735" s="333"/>
      <c r="AF735" s="152"/>
      <c r="AG735" s="312"/>
      <c r="AH735" s="152"/>
    </row>
    <row r="736" spans="1:34" ht="13" customHeight="1">
      <c r="E736" s="152"/>
      <c r="F736" s="152"/>
      <c r="G736" s="146"/>
      <c r="H736" s="147"/>
      <c r="I736" s="148"/>
      <c r="J736" s="159"/>
      <c r="K736" s="159"/>
      <c r="L736" s="157"/>
      <c r="M736" s="149"/>
      <c r="N736" s="149"/>
      <c r="O736" s="149"/>
      <c r="P736" s="149"/>
      <c r="Q736" s="149"/>
      <c r="R736" s="150"/>
      <c r="S736" s="150"/>
      <c r="U736" s="150"/>
      <c r="V736" s="155"/>
      <c r="W736" s="150"/>
      <c r="X736" s="155"/>
      <c r="Y736" s="155"/>
      <c r="Z736" s="155"/>
      <c r="AA736" s="147"/>
      <c r="AB736" s="147"/>
      <c r="AC736" s="147"/>
      <c r="AD736" s="152"/>
      <c r="AE736" s="333"/>
      <c r="AF736" s="152"/>
      <c r="AG736" s="312"/>
      <c r="AH736" s="152"/>
    </row>
    <row r="737" spans="1:34" ht="13" customHeight="1">
      <c r="A737" t="s">
        <v>928</v>
      </c>
      <c r="E737" s="152"/>
      <c r="F737" s="152"/>
      <c r="G737" s="146"/>
      <c r="H737" s="151" t="s">
        <v>438</v>
      </c>
      <c r="I737" s="148"/>
      <c r="J737" s="159"/>
      <c r="K737" s="159"/>
      <c r="L737" s="157"/>
      <c r="M737" s="149"/>
      <c r="N737" s="149"/>
      <c r="O737" s="149"/>
      <c r="P737" s="149"/>
      <c r="Q737" s="149"/>
      <c r="R737" s="150"/>
      <c r="S737" s="150"/>
      <c r="U737" s="150"/>
      <c r="V737" s="155"/>
      <c r="W737" s="150"/>
      <c r="X737" s="155"/>
      <c r="Y737" s="155"/>
      <c r="Z737" s="155"/>
      <c r="AA737" s="147"/>
      <c r="AB737" s="147"/>
      <c r="AC737" s="147"/>
      <c r="AD737" s="152"/>
      <c r="AE737" s="333"/>
      <c r="AF737" s="152"/>
      <c r="AG737" s="312"/>
      <c r="AH737" s="152"/>
    </row>
    <row r="738" spans="1:34" ht="13" customHeight="1">
      <c r="E738" s="152"/>
      <c r="F738" s="152"/>
      <c r="G738" s="146"/>
      <c r="H738" s="147"/>
      <c r="I738" s="148"/>
      <c r="J738" s="159"/>
      <c r="K738" s="159"/>
      <c r="L738" s="157"/>
      <c r="M738" s="149"/>
      <c r="N738" s="149"/>
      <c r="O738" s="149"/>
      <c r="P738" s="149"/>
      <c r="Q738" s="149"/>
      <c r="R738" s="150"/>
      <c r="S738" s="150"/>
      <c r="U738" s="150"/>
      <c r="V738" s="155"/>
      <c r="W738" s="150"/>
      <c r="X738" s="155"/>
      <c r="Y738" s="155"/>
      <c r="Z738" s="155"/>
      <c r="AA738" s="147"/>
      <c r="AB738" s="147"/>
      <c r="AC738" s="147"/>
      <c r="AD738" s="152"/>
      <c r="AE738" s="333"/>
      <c r="AF738" s="152"/>
      <c r="AG738" s="312"/>
      <c r="AH738" s="152"/>
    </row>
    <row r="739" spans="1:34" s="1" customFormat="1" ht="12" customHeight="1">
      <c r="A739" s="1" t="s">
        <v>471</v>
      </c>
      <c r="C739" s="11" t="s">
        <v>97</v>
      </c>
      <c r="D739" s="11" t="s">
        <v>432</v>
      </c>
      <c r="E739" s="170">
        <v>800400</v>
      </c>
      <c r="F739" s="170" t="s">
        <v>438</v>
      </c>
      <c r="G739" s="170" t="s">
        <v>36</v>
      </c>
      <c r="H739" s="171" t="s">
        <v>433</v>
      </c>
      <c r="I739" s="172">
        <v>2598</v>
      </c>
      <c r="J739" s="173" t="str">
        <f>H739</f>
        <v>Retail &amp; Office</v>
      </c>
      <c r="K739" s="173">
        <v>2500</v>
      </c>
      <c r="L739" s="116" t="s">
        <v>439</v>
      </c>
      <c r="M739" s="174">
        <v>43070</v>
      </c>
      <c r="N739" s="174">
        <v>46721</v>
      </c>
      <c r="O739" s="174"/>
      <c r="P739" s="174">
        <v>44896</v>
      </c>
      <c r="Q739" s="174"/>
      <c r="R739" s="172">
        <v>155000</v>
      </c>
      <c r="S739" s="172">
        <f>Q739</f>
        <v>0</v>
      </c>
      <c r="T739" s="10"/>
      <c r="U739" s="172">
        <v>118500</v>
      </c>
      <c r="V739" s="173">
        <f>T739</f>
        <v>0</v>
      </c>
      <c r="W739" s="172">
        <v>121500</v>
      </c>
      <c r="X739" s="173">
        <f>V739</f>
        <v>0</v>
      </c>
      <c r="Y739" s="173"/>
      <c r="Z739" s="173" t="s">
        <v>243</v>
      </c>
      <c r="AA739" s="179"/>
      <c r="AB739" s="172">
        <v>2200000</v>
      </c>
      <c r="AC739" s="176" t="s">
        <v>40</v>
      </c>
      <c r="AD739" s="4"/>
      <c r="AE739" s="322"/>
      <c r="AF739" s="29"/>
      <c r="AG739" s="301"/>
      <c r="AH739" s="29"/>
    </row>
    <row r="740" spans="1:34" ht="13" customHeight="1">
      <c r="G740" s="152"/>
      <c r="H740" s="147"/>
      <c r="I740" s="154"/>
      <c r="J740" s="164"/>
      <c r="K740" s="164"/>
      <c r="L740" s="157"/>
      <c r="M740" s="149"/>
      <c r="N740" s="149"/>
      <c r="O740" s="149"/>
      <c r="P740" s="149"/>
      <c r="Q740" s="149"/>
      <c r="R740" s="150"/>
      <c r="S740" s="150"/>
      <c r="U740" s="150"/>
      <c r="V740" s="150"/>
      <c r="W740" s="150"/>
      <c r="X740" s="150"/>
      <c r="Y740" s="150"/>
      <c r="Z740" s="150"/>
      <c r="AA740" s="147"/>
      <c r="AB740" s="154"/>
      <c r="AC740" s="147"/>
      <c r="AD740" s="152"/>
      <c r="AE740" s="333"/>
      <c r="AF740" s="152"/>
      <c r="AG740" s="312"/>
      <c r="AH740" s="152"/>
    </row>
    <row r="741" spans="1:34" ht="13" customHeight="1">
      <c r="G741" s="146"/>
      <c r="H741" s="147"/>
      <c r="I741" s="148"/>
      <c r="J741" s="148"/>
      <c r="K741" s="148"/>
      <c r="L741" s="157"/>
      <c r="M741" s="149"/>
      <c r="N741" s="149"/>
      <c r="O741" s="149"/>
      <c r="P741" s="149"/>
      <c r="Q741" s="149"/>
      <c r="R741" s="150"/>
      <c r="S741" s="150"/>
      <c r="U741" s="150"/>
      <c r="V741" s="150"/>
      <c r="W741" s="150"/>
      <c r="X741" s="150"/>
      <c r="Y741" s="150"/>
      <c r="Z741" s="150"/>
      <c r="AA741" s="147"/>
      <c r="AB741" s="147"/>
      <c r="AC741" s="147"/>
      <c r="AD741" s="152"/>
      <c r="AE741" s="333"/>
      <c r="AF741" s="152"/>
      <c r="AG741" s="312"/>
      <c r="AH741" s="152"/>
    </row>
    <row r="742" spans="1:34" ht="13" customHeight="1">
      <c r="A742" t="s">
        <v>928</v>
      </c>
      <c r="G742" s="146"/>
      <c r="H742" s="151" t="s">
        <v>440</v>
      </c>
      <c r="I742" s="148"/>
      <c r="J742" s="148"/>
      <c r="K742" s="148"/>
      <c r="L742" s="157"/>
      <c r="M742" s="149"/>
      <c r="N742" s="149"/>
      <c r="O742" s="149"/>
      <c r="P742" s="149"/>
      <c r="Q742" s="149"/>
      <c r="R742" s="150"/>
      <c r="S742" s="150"/>
      <c r="U742" s="150"/>
      <c r="V742" s="150"/>
      <c r="W742" s="150"/>
      <c r="X742" s="150"/>
      <c r="Y742" s="150"/>
      <c r="Z742" s="150"/>
      <c r="AA742" s="147"/>
      <c r="AB742" s="147"/>
      <c r="AC742" s="147"/>
      <c r="AD742" s="152"/>
      <c r="AE742" s="333"/>
      <c r="AF742" s="152"/>
      <c r="AG742" s="312"/>
      <c r="AH742" s="152"/>
    </row>
    <row r="743" spans="1:34" ht="13" customHeight="1">
      <c r="G743" s="146"/>
      <c r="H743" s="147"/>
      <c r="I743" s="148"/>
      <c r="J743" s="164"/>
      <c r="K743" s="164"/>
      <c r="L743" s="157"/>
      <c r="M743" s="149"/>
      <c r="N743" s="149"/>
      <c r="O743" s="149"/>
      <c r="P743" s="149"/>
      <c r="Q743" s="149"/>
      <c r="R743" s="150"/>
      <c r="S743" s="150"/>
      <c r="U743" s="150"/>
      <c r="V743" s="150"/>
      <c r="W743" s="150"/>
      <c r="X743" s="150"/>
      <c r="Y743" s="150"/>
      <c r="Z743" s="150"/>
      <c r="AA743" s="147"/>
      <c r="AB743" s="147"/>
      <c r="AC743" s="147"/>
      <c r="AD743" s="152"/>
      <c r="AE743" s="333"/>
      <c r="AF743" s="152"/>
      <c r="AG743" s="312"/>
      <c r="AH743" s="152"/>
    </row>
    <row r="744" spans="1:34" s="180" customFormat="1" ht="12" customHeight="1">
      <c r="A744" s="180" t="s">
        <v>471</v>
      </c>
      <c r="C744" s="11" t="s">
        <v>119</v>
      </c>
      <c r="D744" s="11" t="s">
        <v>432</v>
      </c>
      <c r="E744" s="170">
        <v>800300</v>
      </c>
      <c r="F744" s="170" t="s">
        <v>440</v>
      </c>
      <c r="G744" s="170" t="s">
        <v>36</v>
      </c>
      <c r="H744" s="225" t="s">
        <v>124</v>
      </c>
      <c r="I744" s="172">
        <v>19812</v>
      </c>
      <c r="J744" s="181" t="str">
        <f>H744</f>
        <v>Offices</v>
      </c>
      <c r="K744" s="181">
        <v>20000</v>
      </c>
      <c r="L744" s="116" t="s">
        <v>441</v>
      </c>
      <c r="M744" s="174">
        <v>44986</v>
      </c>
      <c r="N744" s="174">
        <v>50464</v>
      </c>
      <c r="O744" s="174"/>
      <c r="P744" s="174">
        <v>46813</v>
      </c>
      <c r="Q744" s="174"/>
      <c r="R744" s="175">
        <v>729167</v>
      </c>
      <c r="S744" s="173">
        <f>Q744</f>
        <v>0</v>
      </c>
      <c r="U744" s="175">
        <v>1250000</v>
      </c>
      <c r="V744" s="173">
        <f>T744</f>
        <v>0</v>
      </c>
      <c r="W744" s="175">
        <v>1250000</v>
      </c>
      <c r="X744" s="173">
        <f>V744</f>
        <v>0</v>
      </c>
      <c r="Y744" s="173"/>
      <c r="Z744" s="173" t="s">
        <v>58</v>
      </c>
      <c r="AA744" s="182"/>
      <c r="AB744" s="172">
        <v>22175000</v>
      </c>
      <c r="AC744" s="176" t="s">
        <v>40</v>
      </c>
      <c r="AD744" s="170" t="s">
        <v>442</v>
      </c>
      <c r="AE744" s="332"/>
      <c r="AF744" s="170"/>
      <c r="AG744" s="311"/>
      <c r="AH744" s="170"/>
    </row>
    <row r="745" spans="1:34" ht="13" customHeight="1">
      <c r="G745" s="152"/>
      <c r="H745" s="153"/>
      <c r="I745" s="155"/>
      <c r="J745" s="165"/>
      <c r="K745" s="165"/>
      <c r="L745" s="157"/>
      <c r="M745" s="166"/>
      <c r="N745" s="166"/>
      <c r="O745" s="166"/>
      <c r="P745" s="166"/>
      <c r="Q745" s="166"/>
      <c r="R745" s="167"/>
      <c r="S745" s="167"/>
      <c r="U745" s="167"/>
      <c r="V745" s="167"/>
      <c r="W745" s="167"/>
      <c r="X745" s="167"/>
      <c r="Y745" s="167"/>
      <c r="Z745" s="167"/>
      <c r="AA745" s="158"/>
      <c r="AB745" s="158"/>
      <c r="AC745" s="158"/>
      <c r="AD745" s="152"/>
      <c r="AE745" s="333"/>
      <c r="AF745" s="152"/>
      <c r="AG745" s="312"/>
      <c r="AH745" s="152"/>
    </row>
    <row r="746" spans="1:34" ht="13" customHeight="1">
      <c r="G746" s="152"/>
      <c r="H746" s="153"/>
      <c r="I746" s="155"/>
      <c r="J746" s="165"/>
      <c r="K746" s="165"/>
      <c r="L746" s="157"/>
      <c r="M746" s="166"/>
      <c r="N746" s="166"/>
      <c r="O746" s="166"/>
      <c r="P746" s="166"/>
      <c r="Q746" s="166"/>
      <c r="R746" s="167"/>
      <c r="S746" s="167"/>
      <c r="U746" s="167"/>
      <c r="V746" s="167"/>
      <c r="W746" s="167"/>
      <c r="X746" s="167"/>
      <c r="Y746" s="167"/>
      <c r="Z746" s="167"/>
      <c r="AA746" s="158"/>
      <c r="AB746" s="158"/>
      <c r="AC746" s="158"/>
      <c r="AD746" s="152"/>
      <c r="AE746" s="333"/>
      <c r="AF746" s="152"/>
      <c r="AG746" s="312"/>
      <c r="AH746" s="152"/>
    </row>
    <row r="747" spans="1:34" ht="13" customHeight="1">
      <c r="A747" t="s">
        <v>928</v>
      </c>
      <c r="G747" s="152"/>
      <c r="H747" s="151" t="s">
        <v>443</v>
      </c>
      <c r="I747" s="155"/>
      <c r="J747" s="165"/>
      <c r="K747" s="165"/>
      <c r="L747" s="157"/>
      <c r="M747" s="166"/>
      <c r="N747" s="166"/>
      <c r="O747" s="166"/>
      <c r="P747" s="166"/>
      <c r="Q747" s="166"/>
      <c r="R747" s="167"/>
      <c r="S747" s="167"/>
      <c r="U747" s="167"/>
      <c r="V747" s="167"/>
      <c r="W747" s="167"/>
      <c r="X747" s="167"/>
      <c r="Y747" s="167"/>
      <c r="Z747" s="167"/>
      <c r="AA747" s="158"/>
      <c r="AB747" s="158"/>
      <c r="AC747" s="158"/>
      <c r="AD747" s="152"/>
      <c r="AE747" s="333"/>
      <c r="AF747" s="152"/>
      <c r="AG747" s="312"/>
      <c r="AH747" s="152"/>
    </row>
    <row r="748" spans="1:34" ht="13" customHeight="1">
      <c r="G748" s="152"/>
      <c r="H748" s="153"/>
      <c r="I748" s="155"/>
      <c r="J748" s="165"/>
      <c r="K748" s="165"/>
      <c r="L748" s="157"/>
      <c r="M748" s="166"/>
      <c r="N748" s="166"/>
      <c r="O748" s="166"/>
      <c r="P748" s="166"/>
      <c r="Q748" s="166"/>
      <c r="R748" s="167"/>
      <c r="S748" s="167"/>
      <c r="U748" s="167"/>
      <c r="V748" s="167"/>
      <c r="W748" s="167"/>
      <c r="X748" s="167"/>
      <c r="Y748" s="167"/>
      <c r="Z748" s="167"/>
      <c r="AA748" s="158"/>
      <c r="AB748" s="158"/>
      <c r="AC748" s="158"/>
      <c r="AD748" s="152"/>
      <c r="AE748" s="333"/>
      <c r="AF748" s="152"/>
      <c r="AG748" s="312"/>
      <c r="AH748" s="152"/>
    </row>
    <row r="749" spans="1:34" s="1" customFormat="1" ht="23.25" customHeight="1">
      <c r="A749" s="370" t="s">
        <v>471</v>
      </c>
      <c r="B749" s="378"/>
      <c r="C749" s="372" t="s">
        <v>60</v>
      </c>
      <c r="D749" s="372" t="s">
        <v>432</v>
      </c>
      <c r="E749" s="431">
        <v>800500</v>
      </c>
      <c r="F749" s="431" t="s">
        <v>443</v>
      </c>
      <c r="G749" s="431" t="s">
        <v>87</v>
      </c>
      <c r="H749" s="432" t="s">
        <v>120</v>
      </c>
      <c r="I749" s="433">
        <v>1582</v>
      </c>
      <c r="J749" s="444" t="str">
        <f>H749</f>
        <v>Showroom</v>
      </c>
      <c r="K749" s="444">
        <v>1500</v>
      </c>
      <c r="L749" s="408" t="s">
        <v>444</v>
      </c>
      <c r="M749" s="434">
        <v>43514</v>
      </c>
      <c r="N749" s="434">
        <v>46982</v>
      </c>
      <c r="O749" s="434"/>
      <c r="P749" s="434">
        <v>45340</v>
      </c>
      <c r="Q749" s="434"/>
      <c r="R749" s="435">
        <v>70000</v>
      </c>
      <c r="S749" s="433">
        <f>Q749</f>
        <v>0</v>
      </c>
      <c r="T749" s="376"/>
      <c r="U749" s="435">
        <v>63300</v>
      </c>
      <c r="V749" s="433">
        <f>T749</f>
        <v>0</v>
      </c>
      <c r="W749" s="435">
        <v>63300</v>
      </c>
      <c r="X749" s="433">
        <f>V749</f>
        <v>0</v>
      </c>
      <c r="Y749" s="379" t="e">
        <f>T749/H749</f>
        <v>#VALUE!</v>
      </c>
      <c r="Z749" s="433" t="s">
        <v>39</v>
      </c>
      <c r="AA749" s="445"/>
      <c r="AB749" s="446"/>
      <c r="AC749" s="435" t="s">
        <v>40</v>
      </c>
      <c r="AD749" s="431"/>
      <c r="AE749" s="437"/>
      <c r="AF749" s="431"/>
      <c r="AG749" s="438"/>
      <c r="AH749" s="431"/>
    </row>
    <row r="750" spans="1:34" s="1" customFormat="1" ht="24" customHeight="1">
      <c r="A750" s="378" t="s">
        <v>471</v>
      </c>
      <c r="B750" s="378"/>
      <c r="C750" s="372" t="s">
        <v>60</v>
      </c>
      <c r="D750" s="372" t="s">
        <v>432</v>
      </c>
      <c r="E750" s="431">
        <v>800500</v>
      </c>
      <c r="F750" s="431" t="s">
        <v>443</v>
      </c>
      <c r="G750" s="431" t="s">
        <v>667</v>
      </c>
      <c r="H750" s="432" t="s">
        <v>124</v>
      </c>
      <c r="I750" s="433">
        <v>1248</v>
      </c>
      <c r="J750" s="444" t="str">
        <f>H750</f>
        <v>Offices</v>
      </c>
      <c r="K750" s="444">
        <v>1250</v>
      </c>
      <c r="L750" s="408" t="s">
        <v>68</v>
      </c>
      <c r="M750" s="434"/>
      <c r="N750" s="434"/>
      <c r="O750" s="434">
        <v>44550</v>
      </c>
      <c r="P750" s="434"/>
      <c r="Q750" s="434"/>
      <c r="R750" s="435">
        <v>0</v>
      </c>
      <c r="S750" s="433">
        <f>Q750</f>
        <v>0</v>
      </c>
      <c r="T750" s="376"/>
      <c r="U750" s="435">
        <v>66800</v>
      </c>
      <c r="V750" s="433">
        <f>T750</f>
        <v>0</v>
      </c>
      <c r="W750" s="435">
        <v>66800</v>
      </c>
      <c r="X750" s="433">
        <f>V750</f>
        <v>0</v>
      </c>
      <c r="Y750" s="379" t="e">
        <f>T750/H750</f>
        <v>#VALUE!</v>
      </c>
      <c r="Z750" s="433" t="s">
        <v>58</v>
      </c>
      <c r="AA750" s="445"/>
      <c r="AB750" s="446"/>
      <c r="AC750" s="435" t="s">
        <v>40</v>
      </c>
      <c r="AD750" s="431" t="s">
        <v>510</v>
      </c>
      <c r="AE750" s="437">
        <v>58</v>
      </c>
      <c r="AF750" s="431"/>
      <c r="AG750" s="438"/>
      <c r="AH750" s="431"/>
    </row>
    <row r="751" spans="1:34" ht="13" customHeight="1">
      <c r="G751" s="152"/>
      <c r="H751" s="153"/>
      <c r="I751" s="155"/>
      <c r="J751" s="165"/>
      <c r="K751" s="165"/>
      <c r="L751" s="157"/>
      <c r="M751" s="166"/>
      <c r="N751" s="166"/>
      <c r="O751" s="166"/>
      <c r="P751" s="166"/>
      <c r="Q751" s="166"/>
      <c r="R751" s="167"/>
      <c r="S751" s="167"/>
      <c r="U751" s="167"/>
      <c r="V751" s="167"/>
      <c r="W751" s="167"/>
      <c r="X751" s="167"/>
      <c r="Y751" s="167"/>
      <c r="Z751" s="167"/>
      <c r="AA751" s="158"/>
      <c r="AB751" s="158"/>
      <c r="AC751" s="158"/>
      <c r="AD751" s="152"/>
      <c r="AE751" s="333"/>
      <c r="AF751" s="152"/>
      <c r="AG751" s="312"/>
      <c r="AH751" s="152"/>
    </row>
    <row r="752" spans="1:34" s="180" customFormat="1" ht="11" customHeight="1">
      <c r="E752" s="170"/>
      <c r="F752" s="170"/>
      <c r="G752" s="183"/>
      <c r="H752" s="184"/>
      <c r="I752" s="172">
        <f>SUM(H749:H750)</f>
        <v>0</v>
      </c>
      <c r="J752" s="172"/>
      <c r="K752" s="172"/>
      <c r="L752" s="185"/>
      <c r="M752" s="186"/>
      <c r="N752" s="186"/>
      <c r="O752" s="186"/>
      <c r="P752" s="186"/>
      <c r="Q752" s="186"/>
      <c r="R752" s="172">
        <f>SUM(Q749:Q750)</f>
        <v>0</v>
      </c>
      <c r="S752" s="172"/>
      <c r="U752" s="172">
        <f>SUM(T749:T750)</f>
        <v>0</v>
      </c>
      <c r="V752" s="173"/>
      <c r="W752" s="172">
        <f>SUM(V749:V750)</f>
        <v>0</v>
      </c>
      <c r="X752" s="173"/>
      <c r="Y752" s="173"/>
      <c r="Z752" s="173"/>
      <c r="AA752" s="187"/>
      <c r="AB752" s="172">
        <v>1865000</v>
      </c>
      <c r="AC752" s="187"/>
      <c r="AD752" s="188"/>
      <c r="AE752" s="334"/>
      <c r="AF752" s="188"/>
      <c r="AG752" s="313"/>
      <c r="AH752" s="188"/>
    </row>
    <row r="753" spans="1:34" ht="13" customHeight="1">
      <c r="G753" s="152"/>
      <c r="H753" s="153"/>
      <c r="I753" s="155"/>
      <c r="J753" s="165"/>
      <c r="K753" s="165"/>
      <c r="L753" s="157"/>
      <c r="M753" s="166"/>
      <c r="N753" s="166"/>
      <c r="O753" s="166"/>
      <c r="P753" s="166"/>
      <c r="Q753" s="166"/>
      <c r="R753" s="167"/>
      <c r="S753" s="167"/>
      <c r="U753" s="167"/>
      <c r="V753" s="167"/>
      <c r="W753" s="167"/>
      <c r="X753" s="167"/>
      <c r="Y753" s="167"/>
      <c r="Z753" s="167"/>
      <c r="AA753" s="158"/>
      <c r="AB753" s="158"/>
      <c r="AC753" s="158"/>
      <c r="AD753" s="152"/>
      <c r="AE753" s="333"/>
      <c r="AF753" s="152"/>
      <c r="AG753" s="312"/>
      <c r="AH753" s="152"/>
    </row>
    <row r="754" spans="1:34" ht="13" customHeight="1">
      <c r="G754" s="152"/>
      <c r="H754" s="153"/>
      <c r="I754" s="155"/>
      <c r="J754" s="165"/>
      <c r="K754" s="165"/>
      <c r="L754" s="157"/>
      <c r="M754" s="166"/>
      <c r="N754" s="166"/>
      <c r="O754" s="166"/>
      <c r="P754" s="166"/>
      <c r="Q754" s="166"/>
      <c r="R754" s="167"/>
      <c r="S754" s="167"/>
      <c r="U754" s="167"/>
      <c r="V754" s="167"/>
      <c r="W754" s="167"/>
      <c r="X754" s="167"/>
      <c r="Y754" s="167"/>
      <c r="Z754" s="167"/>
      <c r="AA754" s="158"/>
      <c r="AB754" s="158"/>
      <c r="AC754" s="158"/>
      <c r="AD754" s="152"/>
      <c r="AE754" s="333"/>
      <c r="AF754" s="152"/>
      <c r="AG754" s="312"/>
      <c r="AH754" s="152"/>
    </row>
    <row r="755" spans="1:34" ht="13" customHeight="1">
      <c r="A755" t="s">
        <v>928</v>
      </c>
      <c r="G755" s="152"/>
      <c r="H755" s="151" t="s">
        <v>445</v>
      </c>
      <c r="I755" s="155"/>
      <c r="J755" s="165"/>
      <c r="K755" s="165"/>
      <c r="L755" s="157"/>
      <c r="M755" s="166"/>
      <c r="N755" s="166"/>
      <c r="O755" s="166"/>
      <c r="P755" s="166"/>
      <c r="Q755" s="166"/>
      <c r="R755" s="167"/>
      <c r="S755" s="167"/>
      <c r="U755" s="167"/>
      <c r="V755" s="167"/>
      <c r="W755" s="167"/>
      <c r="X755" s="167"/>
      <c r="Y755" s="167"/>
      <c r="Z755" s="167"/>
      <c r="AA755" s="158"/>
      <c r="AB755" s="158"/>
      <c r="AC755" s="158"/>
      <c r="AD755" s="152"/>
      <c r="AE755" s="333"/>
      <c r="AF755" s="152"/>
      <c r="AG755" s="312"/>
      <c r="AH755" s="152"/>
    </row>
    <row r="756" spans="1:34" ht="13" customHeight="1">
      <c r="G756" s="152"/>
      <c r="H756" s="153"/>
      <c r="I756" s="155"/>
      <c r="J756" s="165"/>
      <c r="K756" s="165"/>
      <c r="L756" s="157"/>
      <c r="M756" s="166"/>
      <c r="N756" s="166"/>
      <c r="O756" s="166"/>
      <c r="P756" s="166"/>
      <c r="Q756" s="166"/>
      <c r="R756" s="167"/>
      <c r="S756" s="167"/>
      <c r="U756" s="167"/>
      <c r="V756" s="167"/>
      <c r="W756" s="167"/>
      <c r="X756" s="167"/>
      <c r="Y756" s="167"/>
      <c r="Z756" s="167"/>
      <c r="AA756" s="158"/>
      <c r="AB756" s="158"/>
      <c r="AC756" s="158"/>
      <c r="AD756" s="152"/>
      <c r="AE756" s="333"/>
      <c r="AF756" s="152"/>
      <c r="AG756" s="312"/>
      <c r="AH756" s="152"/>
    </row>
    <row r="757" spans="1:34" s="1" customFormat="1" ht="23.25" customHeight="1">
      <c r="A757" s="370" t="s">
        <v>471</v>
      </c>
      <c r="B757" s="378"/>
      <c r="C757" s="372" t="s">
        <v>60</v>
      </c>
      <c r="D757" s="372" t="s">
        <v>432</v>
      </c>
      <c r="E757" s="431">
        <v>800600</v>
      </c>
      <c r="F757" s="431" t="s">
        <v>445</v>
      </c>
      <c r="G757" s="431" t="s">
        <v>446</v>
      </c>
      <c r="H757" s="440" t="s">
        <v>447</v>
      </c>
      <c r="I757" s="433">
        <v>0</v>
      </c>
      <c r="J757" s="444" t="str">
        <f t="shared" ref="J757:J765" si="143">H757</f>
        <v>Electricity / Substation</v>
      </c>
      <c r="K757" s="444"/>
      <c r="L757" s="408" t="s">
        <v>448</v>
      </c>
      <c r="M757" s="434">
        <v>18170</v>
      </c>
      <c r="N757" s="434">
        <v>54329</v>
      </c>
      <c r="O757" s="434"/>
      <c r="P757" s="434"/>
      <c r="Q757" s="434"/>
      <c r="R757" s="435">
        <v>0</v>
      </c>
      <c r="S757" s="433">
        <f t="shared" ref="S757:S765" si="144">Q757</f>
        <v>0</v>
      </c>
      <c r="T757" s="376"/>
      <c r="U757" s="435">
        <v>0</v>
      </c>
      <c r="V757" s="433">
        <f t="shared" ref="V757:V765" si="145">T757</f>
        <v>0</v>
      </c>
      <c r="W757" s="435">
        <v>0</v>
      </c>
      <c r="X757" s="433">
        <f t="shared" ref="X757:X765" si="146">V757</f>
        <v>0</v>
      </c>
      <c r="Y757" s="379"/>
      <c r="Z757" s="433"/>
      <c r="AA757" s="445"/>
      <c r="AB757" s="446"/>
      <c r="AC757" s="435" t="s">
        <v>94</v>
      </c>
      <c r="AD757" s="431" t="s">
        <v>449</v>
      </c>
      <c r="AE757" s="437"/>
      <c r="AF757" s="431"/>
      <c r="AG757" s="438"/>
      <c r="AH757" s="431"/>
    </row>
    <row r="758" spans="1:34" s="1" customFormat="1" ht="31.5" customHeight="1">
      <c r="A758" s="378" t="s">
        <v>471</v>
      </c>
      <c r="B758" s="378"/>
      <c r="C758" s="372" t="s">
        <v>60</v>
      </c>
      <c r="D758" s="372" t="s">
        <v>432</v>
      </c>
      <c r="E758" s="431">
        <v>800600</v>
      </c>
      <c r="F758" s="431" t="s">
        <v>445</v>
      </c>
      <c r="G758" s="431" t="s">
        <v>450</v>
      </c>
      <c r="H758" s="432" t="s">
        <v>451</v>
      </c>
      <c r="I758" s="433">
        <v>3356</v>
      </c>
      <c r="J758" s="444" t="str">
        <f t="shared" si="143"/>
        <v>Retail / Offices</v>
      </c>
      <c r="K758" s="444">
        <v>3500</v>
      </c>
      <c r="L758" s="408" t="s">
        <v>68</v>
      </c>
      <c r="M758" s="434"/>
      <c r="N758" s="434"/>
      <c r="O758" s="434">
        <v>45457</v>
      </c>
      <c r="P758" s="434"/>
      <c r="Q758" s="434"/>
      <c r="R758" s="435">
        <v>0</v>
      </c>
      <c r="S758" s="433">
        <f t="shared" si="144"/>
        <v>0</v>
      </c>
      <c r="T758" s="376"/>
      <c r="U758" s="435">
        <v>174600</v>
      </c>
      <c r="V758" s="433">
        <f t="shared" si="145"/>
        <v>0</v>
      </c>
      <c r="W758" s="435">
        <v>174600</v>
      </c>
      <c r="X758" s="433">
        <f t="shared" si="146"/>
        <v>0</v>
      </c>
      <c r="Y758" s="379" t="e">
        <f t="shared" ref="Y758:Y765" si="147">T758/H758</f>
        <v>#VALUE!</v>
      </c>
      <c r="Z758" s="433" t="s">
        <v>58</v>
      </c>
      <c r="AA758" s="445"/>
      <c r="AB758" s="446"/>
      <c r="AC758" s="435" t="s">
        <v>40</v>
      </c>
      <c r="AD758" s="431" t="s">
        <v>326</v>
      </c>
      <c r="AE758" s="437">
        <v>45</v>
      </c>
      <c r="AF758" s="431">
        <v>2</v>
      </c>
      <c r="AG758" s="438">
        <v>2</v>
      </c>
      <c r="AH758" s="431" t="s">
        <v>160</v>
      </c>
    </row>
    <row r="759" spans="1:34" s="1" customFormat="1" ht="24" customHeight="1">
      <c r="A759" s="378" t="s">
        <v>471</v>
      </c>
      <c r="B759" s="378"/>
      <c r="C759" s="372" t="s">
        <v>60</v>
      </c>
      <c r="D759" s="372" t="s">
        <v>432</v>
      </c>
      <c r="E759" s="431">
        <v>800600</v>
      </c>
      <c r="F759" s="431" t="s">
        <v>445</v>
      </c>
      <c r="G759" s="431" t="s">
        <v>452</v>
      </c>
      <c r="H759" s="432" t="s">
        <v>128</v>
      </c>
      <c r="I759" s="433">
        <v>1157</v>
      </c>
      <c r="J759" s="444" t="str">
        <f t="shared" si="143"/>
        <v>Shop</v>
      </c>
      <c r="K759" s="444">
        <v>1000</v>
      </c>
      <c r="L759" s="408" t="s">
        <v>453</v>
      </c>
      <c r="M759" s="434">
        <v>45230</v>
      </c>
      <c r="N759" s="434">
        <v>46325</v>
      </c>
      <c r="O759" s="434"/>
      <c r="P759" s="434"/>
      <c r="Q759" s="434"/>
      <c r="R759" s="435">
        <v>46000</v>
      </c>
      <c r="S759" s="433">
        <f t="shared" si="144"/>
        <v>0</v>
      </c>
      <c r="T759" s="376"/>
      <c r="U759" s="435">
        <v>52800</v>
      </c>
      <c r="V759" s="433">
        <f t="shared" si="145"/>
        <v>0</v>
      </c>
      <c r="W759" s="435">
        <v>52800</v>
      </c>
      <c r="X759" s="433">
        <f t="shared" si="146"/>
        <v>0</v>
      </c>
      <c r="Y759" s="379" t="e">
        <f t="shared" si="147"/>
        <v>#VALUE!</v>
      </c>
      <c r="Z759" s="433" t="s">
        <v>69</v>
      </c>
      <c r="AA759" s="445"/>
      <c r="AB759" s="446"/>
      <c r="AC759" s="435" t="s">
        <v>40</v>
      </c>
      <c r="AD759" s="431" t="s">
        <v>454</v>
      </c>
      <c r="AE759" s="437"/>
      <c r="AF759" s="431"/>
      <c r="AG759" s="438"/>
      <c r="AH759" s="431"/>
    </row>
    <row r="760" spans="1:34" s="1" customFormat="1" ht="23.25" customHeight="1">
      <c r="A760" s="378" t="s">
        <v>471</v>
      </c>
      <c r="B760" s="378"/>
      <c r="C760" s="372" t="s">
        <v>60</v>
      </c>
      <c r="D760" s="372" t="s">
        <v>432</v>
      </c>
      <c r="E760" s="431">
        <v>800600</v>
      </c>
      <c r="F760" s="431" t="s">
        <v>445</v>
      </c>
      <c r="G760" s="431" t="s">
        <v>611</v>
      </c>
      <c r="H760" s="432" t="s">
        <v>124</v>
      </c>
      <c r="I760" s="433">
        <v>1015</v>
      </c>
      <c r="J760" s="444" t="str">
        <f t="shared" si="143"/>
        <v>Offices</v>
      </c>
      <c r="K760" s="444">
        <v>1000</v>
      </c>
      <c r="L760" s="408" t="s">
        <v>68</v>
      </c>
      <c r="M760" s="434"/>
      <c r="N760" s="434"/>
      <c r="O760" s="434">
        <v>43840</v>
      </c>
      <c r="P760" s="434"/>
      <c r="Q760" s="434"/>
      <c r="R760" s="435">
        <v>0</v>
      </c>
      <c r="S760" s="433">
        <f t="shared" si="144"/>
        <v>0</v>
      </c>
      <c r="T760" s="376"/>
      <c r="U760" s="435">
        <v>53300</v>
      </c>
      <c r="V760" s="433">
        <f t="shared" si="145"/>
        <v>0</v>
      </c>
      <c r="W760" s="435">
        <v>53300</v>
      </c>
      <c r="X760" s="433">
        <f t="shared" si="146"/>
        <v>0</v>
      </c>
      <c r="Y760" s="379" t="e">
        <f t="shared" si="147"/>
        <v>#VALUE!</v>
      </c>
      <c r="Z760" s="433" t="s">
        <v>69</v>
      </c>
      <c r="AA760" s="445"/>
      <c r="AB760" s="446"/>
      <c r="AC760" s="435" t="s">
        <v>40</v>
      </c>
      <c r="AD760" s="373" t="s">
        <v>202</v>
      </c>
      <c r="AE760" s="388"/>
      <c r="AF760" s="385"/>
      <c r="AG760" s="386"/>
      <c r="AH760" s="385"/>
    </row>
    <row r="761" spans="1:34" s="1" customFormat="1" ht="23.25" customHeight="1">
      <c r="A761" s="378" t="s">
        <v>471</v>
      </c>
      <c r="B761" s="378"/>
      <c r="C761" s="372" t="s">
        <v>60</v>
      </c>
      <c r="D761" s="372" t="s">
        <v>432</v>
      </c>
      <c r="E761" s="431">
        <v>800600</v>
      </c>
      <c r="F761" s="431" t="s">
        <v>445</v>
      </c>
      <c r="G761" s="431" t="s">
        <v>614</v>
      </c>
      <c r="H761" s="432" t="s">
        <v>124</v>
      </c>
      <c r="I761" s="433">
        <v>250</v>
      </c>
      <c r="J761" s="444" t="str">
        <f t="shared" si="143"/>
        <v>Offices</v>
      </c>
      <c r="K761" s="444">
        <v>250</v>
      </c>
      <c r="L761" s="408" t="s">
        <v>68</v>
      </c>
      <c r="M761" s="434"/>
      <c r="N761" s="434"/>
      <c r="O761" s="434">
        <v>45682</v>
      </c>
      <c r="P761" s="434"/>
      <c r="Q761" s="434"/>
      <c r="R761" s="435">
        <v>0</v>
      </c>
      <c r="S761" s="433">
        <f t="shared" si="144"/>
        <v>0</v>
      </c>
      <c r="T761" s="376"/>
      <c r="U761" s="435">
        <v>14500</v>
      </c>
      <c r="V761" s="433">
        <f t="shared" si="145"/>
        <v>0</v>
      </c>
      <c r="W761" s="435">
        <v>14500</v>
      </c>
      <c r="X761" s="433">
        <f t="shared" si="146"/>
        <v>0</v>
      </c>
      <c r="Y761" s="379" t="e">
        <f t="shared" si="147"/>
        <v>#VALUE!</v>
      </c>
      <c r="Z761" s="433" t="s">
        <v>69</v>
      </c>
      <c r="AA761" s="445"/>
      <c r="AB761" s="446"/>
      <c r="AC761" s="435" t="s">
        <v>40</v>
      </c>
      <c r="AD761" s="431" t="s">
        <v>482</v>
      </c>
      <c r="AE761" s="437"/>
      <c r="AF761" s="431"/>
      <c r="AG761" s="438"/>
      <c r="AH761" s="431"/>
    </row>
    <row r="762" spans="1:34" s="1" customFormat="1" ht="12" customHeight="1">
      <c r="A762" s="378" t="s">
        <v>471</v>
      </c>
      <c r="B762" s="378"/>
      <c r="C762" s="372" t="s">
        <v>60</v>
      </c>
      <c r="D762" s="372" t="s">
        <v>432</v>
      </c>
      <c r="E762" s="431">
        <v>800600</v>
      </c>
      <c r="F762" s="431" t="s">
        <v>445</v>
      </c>
      <c r="G762" s="431" t="s">
        <v>746</v>
      </c>
      <c r="H762" s="432" t="s">
        <v>124</v>
      </c>
      <c r="I762" s="433">
        <v>1026</v>
      </c>
      <c r="J762" s="444" t="str">
        <f t="shared" si="143"/>
        <v>Offices</v>
      </c>
      <c r="K762" s="444">
        <v>1000</v>
      </c>
      <c r="L762" s="408" t="s">
        <v>68</v>
      </c>
      <c r="M762" s="434"/>
      <c r="N762" s="434"/>
      <c r="O762" s="434">
        <v>44500</v>
      </c>
      <c r="P762" s="434"/>
      <c r="Q762" s="434"/>
      <c r="R762" s="435">
        <v>0</v>
      </c>
      <c r="S762" s="433">
        <f t="shared" si="144"/>
        <v>0</v>
      </c>
      <c r="T762" s="376"/>
      <c r="U762" s="435">
        <v>53900</v>
      </c>
      <c r="V762" s="433">
        <f t="shared" si="145"/>
        <v>0</v>
      </c>
      <c r="W762" s="435">
        <v>53900</v>
      </c>
      <c r="X762" s="433">
        <f t="shared" si="146"/>
        <v>0</v>
      </c>
      <c r="Y762" s="379" t="e">
        <f t="shared" si="147"/>
        <v>#VALUE!</v>
      </c>
      <c r="Z762" s="433" t="s">
        <v>39</v>
      </c>
      <c r="AA762" s="445"/>
      <c r="AB762" s="446"/>
      <c r="AC762" s="435" t="s">
        <v>40</v>
      </c>
      <c r="AD762" s="373" t="s">
        <v>202</v>
      </c>
      <c r="AE762" s="388"/>
      <c r="AF762" s="385"/>
      <c r="AG762" s="386"/>
      <c r="AH762" s="385"/>
    </row>
    <row r="763" spans="1:34" s="1" customFormat="1" ht="23.25" customHeight="1">
      <c r="A763" s="378" t="s">
        <v>471</v>
      </c>
      <c r="B763" s="378"/>
      <c r="C763" s="372" t="s">
        <v>60</v>
      </c>
      <c r="D763" s="372" t="s">
        <v>432</v>
      </c>
      <c r="E763" s="431">
        <v>800600</v>
      </c>
      <c r="F763" s="431" t="s">
        <v>445</v>
      </c>
      <c r="G763" s="431" t="s">
        <v>738</v>
      </c>
      <c r="H763" s="432" t="s">
        <v>124</v>
      </c>
      <c r="I763" s="433">
        <v>242</v>
      </c>
      <c r="J763" s="444" t="str">
        <f t="shared" si="143"/>
        <v>Offices</v>
      </c>
      <c r="K763" s="444">
        <v>250</v>
      </c>
      <c r="L763" s="408" t="s">
        <v>68</v>
      </c>
      <c r="M763" s="434"/>
      <c r="N763" s="434"/>
      <c r="O763" s="434">
        <v>44135</v>
      </c>
      <c r="P763" s="434"/>
      <c r="Q763" s="434"/>
      <c r="R763" s="435">
        <v>0</v>
      </c>
      <c r="S763" s="433">
        <f t="shared" si="144"/>
        <v>0</v>
      </c>
      <c r="T763" s="376"/>
      <c r="U763" s="435">
        <v>14000</v>
      </c>
      <c r="V763" s="433">
        <f t="shared" si="145"/>
        <v>0</v>
      </c>
      <c r="W763" s="435">
        <v>14000</v>
      </c>
      <c r="X763" s="433">
        <f t="shared" si="146"/>
        <v>0</v>
      </c>
      <c r="Y763" s="379" t="e">
        <f t="shared" si="147"/>
        <v>#VALUE!</v>
      </c>
      <c r="Z763" s="433" t="s">
        <v>76</v>
      </c>
      <c r="AA763" s="445"/>
      <c r="AB763" s="446"/>
      <c r="AC763" s="435" t="s">
        <v>40</v>
      </c>
      <c r="AD763" s="373" t="s">
        <v>202</v>
      </c>
      <c r="AE763" s="388"/>
      <c r="AF763" s="385"/>
      <c r="AG763" s="386"/>
      <c r="AH763" s="385"/>
    </row>
    <row r="764" spans="1:34" s="1" customFormat="1" ht="12" customHeight="1">
      <c r="A764" s="378" t="s">
        <v>471</v>
      </c>
      <c r="B764" s="378"/>
      <c r="C764" s="372" t="s">
        <v>60</v>
      </c>
      <c r="D764" s="372" t="s">
        <v>432</v>
      </c>
      <c r="E764" s="431">
        <v>800600</v>
      </c>
      <c r="F764" s="431" t="s">
        <v>445</v>
      </c>
      <c r="G764" s="431" t="s">
        <v>498</v>
      </c>
      <c r="H764" s="432" t="s">
        <v>124</v>
      </c>
      <c r="I764" s="433">
        <v>1028</v>
      </c>
      <c r="J764" s="444" t="str">
        <f t="shared" si="143"/>
        <v>Offices</v>
      </c>
      <c r="K764" s="444">
        <v>1000</v>
      </c>
      <c r="L764" s="408" t="s">
        <v>846</v>
      </c>
      <c r="M764" s="434">
        <v>44135</v>
      </c>
      <c r="N764" s="434">
        <v>45960</v>
      </c>
      <c r="O764" s="434"/>
      <c r="P764" s="434"/>
      <c r="Q764" s="434"/>
      <c r="R764" s="435">
        <v>52572</v>
      </c>
      <c r="S764" s="433">
        <f t="shared" si="144"/>
        <v>0</v>
      </c>
      <c r="T764" s="376"/>
      <c r="U764" s="435">
        <v>51400</v>
      </c>
      <c r="V764" s="433">
        <f t="shared" si="145"/>
        <v>0</v>
      </c>
      <c r="W764" s="435">
        <v>51400</v>
      </c>
      <c r="X764" s="433">
        <f t="shared" si="146"/>
        <v>0</v>
      </c>
      <c r="Y764" s="379" t="e">
        <f t="shared" si="147"/>
        <v>#VALUE!</v>
      </c>
      <c r="Z764" s="433" t="s">
        <v>69</v>
      </c>
      <c r="AA764" s="445"/>
      <c r="AB764" s="446"/>
      <c r="AC764" s="435" t="s">
        <v>40</v>
      </c>
      <c r="AD764" s="373" t="s">
        <v>202</v>
      </c>
      <c r="AE764" s="388"/>
      <c r="AF764" s="385"/>
      <c r="AG764" s="386"/>
      <c r="AH764" s="385"/>
    </row>
    <row r="765" spans="1:34" s="1" customFormat="1" ht="23.25" customHeight="1">
      <c r="A765" s="378" t="s">
        <v>471</v>
      </c>
      <c r="B765" s="378"/>
      <c r="C765" s="372" t="s">
        <v>60</v>
      </c>
      <c r="D765" s="372" t="s">
        <v>432</v>
      </c>
      <c r="E765" s="431">
        <v>800600</v>
      </c>
      <c r="F765" s="431" t="s">
        <v>445</v>
      </c>
      <c r="G765" s="431" t="s">
        <v>509</v>
      </c>
      <c r="H765" s="432" t="s">
        <v>124</v>
      </c>
      <c r="I765" s="433">
        <v>834</v>
      </c>
      <c r="J765" s="444" t="str">
        <f t="shared" si="143"/>
        <v>Offices</v>
      </c>
      <c r="K765" s="444">
        <v>1000</v>
      </c>
      <c r="L765" s="408" t="s">
        <v>68</v>
      </c>
      <c r="M765" s="434"/>
      <c r="N765" s="434"/>
      <c r="O765" s="434">
        <v>43840</v>
      </c>
      <c r="P765" s="434"/>
      <c r="Q765" s="434"/>
      <c r="R765" s="435">
        <v>0</v>
      </c>
      <c r="S765" s="433">
        <f t="shared" si="144"/>
        <v>0</v>
      </c>
      <c r="T765" s="376"/>
      <c r="U765" s="435">
        <v>43800</v>
      </c>
      <c r="V765" s="433">
        <f t="shared" si="145"/>
        <v>0</v>
      </c>
      <c r="W765" s="435">
        <v>43800</v>
      </c>
      <c r="X765" s="433">
        <f t="shared" si="146"/>
        <v>0</v>
      </c>
      <c r="Y765" s="379" t="e">
        <f t="shared" si="147"/>
        <v>#VALUE!</v>
      </c>
      <c r="Z765" s="433" t="s">
        <v>69</v>
      </c>
      <c r="AA765" s="445"/>
      <c r="AB765" s="446"/>
      <c r="AC765" s="435" t="s">
        <v>40</v>
      </c>
      <c r="AD765" s="373" t="s">
        <v>202</v>
      </c>
      <c r="AE765" s="388"/>
      <c r="AF765" s="385"/>
      <c r="AG765" s="386"/>
      <c r="AH765" s="385"/>
    </row>
    <row r="766" spans="1:34" s="1" customFormat="1" ht="11" customHeight="1">
      <c r="G766" s="170"/>
      <c r="H766" s="171"/>
      <c r="I766" s="173"/>
      <c r="J766" s="189"/>
      <c r="K766" s="189"/>
      <c r="L766" s="116"/>
      <c r="M766" s="190"/>
      <c r="N766" s="190"/>
      <c r="O766" s="190"/>
      <c r="P766" s="190"/>
      <c r="Q766" s="190"/>
      <c r="R766" s="191"/>
      <c r="S766" s="191"/>
      <c r="T766" s="10"/>
      <c r="U766" s="191"/>
      <c r="V766" s="191"/>
      <c r="W766" s="191"/>
      <c r="X766" s="191"/>
      <c r="Y766" s="191"/>
      <c r="Z766" s="191"/>
      <c r="AA766" s="177"/>
      <c r="AB766" s="177"/>
      <c r="AC766" s="177"/>
      <c r="AD766" s="170"/>
      <c r="AE766" s="332"/>
      <c r="AF766" s="170"/>
      <c r="AG766" s="311"/>
      <c r="AH766" s="170"/>
    </row>
    <row r="767" spans="1:34" s="1" customFormat="1" ht="11" customHeight="1">
      <c r="G767" s="170"/>
      <c r="H767" s="171"/>
      <c r="I767" s="172">
        <f>SUM(H757:H765)</f>
        <v>0</v>
      </c>
      <c r="J767" s="189"/>
      <c r="K767" s="189"/>
      <c r="L767" s="116"/>
      <c r="M767" s="190"/>
      <c r="N767" s="190"/>
      <c r="O767" s="190"/>
      <c r="P767" s="190"/>
      <c r="Q767" s="190"/>
      <c r="R767" s="172">
        <f>SUM(Q757:Q765)</f>
        <v>0</v>
      </c>
      <c r="S767" s="172"/>
      <c r="T767" s="10"/>
      <c r="U767" s="172">
        <f>SUM(T757:T765)</f>
        <v>0</v>
      </c>
      <c r="V767" s="191"/>
      <c r="W767" s="172">
        <f>SUM(V757:V765)</f>
        <v>0</v>
      </c>
      <c r="X767" s="191"/>
      <c r="Y767" s="191"/>
      <c r="Z767" s="191"/>
      <c r="AA767" s="177"/>
      <c r="AB767" s="172">
        <v>5130000</v>
      </c>
      <c r="AC767" s="177"/>
      <c r="AD767" s="4"/>
      <c r="AE767" s="322"/>
      <c r="AF767" s="29"/>
      <c r="AG767" s="301"/>
      <c r="AH767" s="29"/>
    </row>
    <row r="768" spans="1:34" ht="13" customHeight="1">
      <c r="G768" s="152"/>
      <c r="H768" s="153"/>
      <c r="I768" s="154"/>
      <c r="J768" s="165"/>
      <c r="K768" s="165"/>
      <c r="L768" s="157"/>
      <c r="M768" s="166"/>
      <c r="N768" s="166"/>
      <c r="O768" s="166"/>
      <c r="P768" s="166"/>
      <c r="Q768" s="166"/>
      <c r="R768" s="154"/>
      <c r="S768" s="154"/>
      <c r="U768" s="154"/>
      <c r="V768" s="167"/>
      <c r="W768" s="154"/>
      <c r="X768" s="167"/>
      <c r="Y768" s="167"/>
      <c r="Z768" s="167"/>
      <c r="AA768" s="158"/>
      <c r="AB768" s="154"/>
      <c r="AC768" s="158"/>
      <c r="AD768" s="152"/>
      <c r="AE768" s="333"/>
      <c r="AF768" s="152"/>
      <c r="AG768" s="312"/>
      <c r="AH768" s="152"/>
    </row>
    <row r="769" spans="1:34" ht="13" customHeight="1">
      <c r="G769" s="152"/>
      <c r="H769" s="153"/>
      <c r="I769" s="154"/>
      <c r="J769" s="165"/>
      <c r="K769" s="165"/>
      <c r="L769" s="157"/>
      <c r="M769" s="166"/>
      <c r="N769" s="166"/>
      <c r="O769" s="166"/>
      <c r="P769" s="166"/>
      <c r="Q769" s="166"/>
      <c r="R769" s="167"/>
      <c r="S769" s="167"/>
      <c r="U769" s="167"/>
      <c r="V769" s="167"/>
      <c r="W769" s="167"/>
      <c r="X769" s="167"/>
      <c r="Y769" s="167"/>
      <c r="Z769" s="167"/>
      <c r="AA769" s="158"/>
      <c r="AB769" s="158"/>
      <c r="AC769" s="158"/>
      <c r="AD769" s="152"/>
      <c r="AE769" s="333"/>
      <c r="AF769" s="152"/>
      <c r="AG769" s="312"/>
      <c r="AH769" s="152"/>
    </row>
    <row r="770" spans="1:34" ht="13" customHeight="1">
      <c r="A770" t="s">
        <v>928</v>
      </c>
      <c r="E770" s="152"/>
      <c r="F770" s="152"/>
      <c r="G770" s="146"/>
      <c r="H770" s="151" t="s">
        <v>455</v>
      </c>
      <c r="I770" s="162"/>
      <c r="J770" s="148"/>
      <c r="K770" s="148"/>
      <c r="L770" s="146"/>
      <c r="M770" s="149"/>
      <c r="N770" s="149"/>
      <c r="O770" s="149"/>
      <c r="P770" s="149"/>
      <c r="Q770" s="149"/>
      <c r="R770" s="150"/>
      <c r="S770" s="148"/>
      <c r="U770" s="150"/>
      <c r="V770" s="148"/>
      <c r="W770" s="150"/>
      <c r="X770" s="148"/>
      <c r="Y770" s="148"/>
      <c r="Z770" s="148"/>
      <c r="AA770" s="147"/>
      <c r="AB770" s="147"/>
      <c r="AC770" s="147"/>
      <c r="AD770" s="146"/>
      <c r="AE770" s="331"/>
      <c r="AF770" s="146"/>
      <c r="AG770" s="310"/>
      <c r="AH770" s="146"/>
    </row>
    <row r="771" spans="1:34" ht="13" customHeight="1">
      <c r="E771" s="152"/>
      <c r="F771" s="152"/>
      <c r="G771" s="146"/>
      <c r="H771" s="147"/>
      <c r="I771" s="148"/>
      <c r="J771" s="148"/>
      <c r="K771" s="148"/>
      <c r="L771" s="146"/>
      <c r="M771" s="149"/>
      <c r="N771" s="149"/>
      <c r="O771" s="149"/>
      <c r="P771" s="149"/>
      <c r="Q771" s="149"/>
      <c r="R771" s="150"/>
      <c r="S771" s="148"/>
      <c r="U771" s="150"/>
      <c r="V771" s="148"/>
      <c r="W771" s="150"/>
      <c r="X771" s="148"/>
      <c r="Y771" s="148"/>
      <c r="Z771" s="148"/>
      <c r="AA771" s="147"/>
      <c r="AB771" s="147"/>
      <c r="AC771" s="147"/>
      <c r="AD771" s="170"/>
      <c r="AE771" s="332"/>
      <c r="AF771" s="224"/>
      <c r="AG771" s="314"/>
      <c r="AH771" s="317"/>
    </row>
    <row r="772" spans="1:34" s="1" customFormat="1" ht="12" customHeight="1">
      <c r="A772" s="370" t="s">
        <v>471</v>
      </c>
      <c r="B772" s="378"/>
      <c r="C772" s="372" t="s">
        <v>60</v>
      </c>
      <c r="D772" s="372" t="s">
        <v>456</v>
      </c>
      <c r="E772" s="431">
        <v>111010</v>
      </c>
      <c r="F772" s="431" t="s">
        <v>455</v>
      </c>
      <c r="G772" s="431" t="s">
        <v>139</v>
      </c>
      <c r="H772" s="440" t="s">
        <v>318</v>
      </c>
      <c r="I772" s="433">
        <v>4289</v>
      </c>
      <c r="J772" s="433" t="str">
        <f t="shared" ref="J772:J777" si="148">H772</f>
        <v>Retail / Showroom</v>
      </c>
      <c r="K772" s="433">
        <v>4250</v>
      </c>
      <c r="L772" s="408" t="s">
        <v>457</v>
      </c>
      <c r="M772" s="434">
        <v>45510</v>
      </c>
      <c r="N772" s="434">
        <v>50987</v>
      </c>
      <c r="O772" s="434"/>
      <c r="P772" s="434">
        <v>47336</v>
      </c>
      <c r="Q772" s="434">
        <v>49162</v>
      </c>
      <c r="R772" s="435">
        <v>110000</v>
      </c>
      <c r="S772" s="433">
        <f t="shared" ref="S772:S777" si="149">Q772</f>
        <v>49162</v>
      </c>
      <c r="T772" s="376"/>
      <c r="U772" s="435">
        <v>220100</v>
      </c>
      <c r="V772" s="433">
        <f t="shared" ref="V772:V777" si="150">T772</f>
        <v>0</v>
      </c>
      <c r="W772" s="435">
        <v>220100</v>
      </c>
      <c r="X772" s="433">
        <f t="shared" ref="X772:X777" si="151">V772</f>
        <v>0</v>
      </c>
      <c r="Y772" s="379" t="e">
        <f t="shared" ref="Y772:Y777" si="152">T772/H772</f>
        <v>#VALUE!</v>
      </c>
      <c r="Z772" s="433" t="s">
        <v>39</v>
      </c>
      <c r="AA772" s="436" t="s">
        <v>25</v>
      </c>
      <c r="AB772" s="436"/>
      <c r="AC772" s="435" t="s">
        <v>40</v>
      </c>
      <c r="AD772" s="431" t="s">
        <v>458</v>
      </c>
      <c r="AE772" s="437"/>
      <c r="AF772" s="447"/>
      <c r="AG772" s="448"/>
      <c r="AH772" s="449"/>
    </row>
    <row r="773" spans="1:34" s="1" customFormat="1" ht="13" customHeight="1">
      <c r="A773" s="378" t="s">
        <v>471</v>
      </c>
      <c r="B773" s="378"/>
      <c r="C773" s="372" t="s">
        <v>60</v>
      </c>
      <c r="D773" s="372" t="s">
        <v>456</v>
      </c>
      <c r="E773" s="431">
        <v>111010</v>
      </c>
      <c r="F773" s="431" t="s">
        <v>455</v>
      </c>
      <c r="G773" s="431" t="s">
        <v>494</v>
      </c>
      <c r="H773" s="432" t="s">
        <v>124</v>
      </c>
      <c r="I773" s="433">
        <v>2279</v>
      </c>
      <c r="J773" s="433" t="str">
        <f t="shared" si="148"/>
        <v>Offices</v>
      </c>
      <c r="K773" s="433">
        <v>2250</v>
      </c>
      <c r="L773" s="408" t="s">
        <v>68</v>
      </c>
      <c r="M773" s="434"/>
      <c r="N773" s="434"/>
      <c r="O773" s="434">
        <v>44577</v>
      </c>
      <c r="P773" s="434"/>
      <c r="Q773" s="434"/>
      <c r="R773" s="435">
        <v>0</v>
      </c>
      <c r="S773" s="433">
        <f t="shared" si="149"/>
        <v>0</v>
      </c>
      <c r="T773" s="376"/>
      <c r="U773" s="435"/>
      <c r="V773" s="433">
        <f t="shared" si="150"/>
        <v>0</v>
      </c>
      <c r="W773" s="435">
        <v>159500</v>
      </c>
      <c r="X773" s="433">
        <f t="shared" si="151"/>
        <v>0</v>
      </c>
      <c r="Y773" s="379" t="e">
        <f t="shared" si="152"/>
        <v>#VALUE!</v>
      </c>
      <c r="Z773" s="433" t="s">
        <v>39</v>
      </c>
      <c r="AA773" s="436" t="s">
        <v>25</v>
      </c>
      <c r="AB773" s="436"/>
      <c r="AC773" s="435" t="s">
        <v>40</v>
      </c>
      <c r="AD773" s="431" t="s">
        <v>510</v>
      </c>
      <c r="AE773" s="437">
        <v>75</v>
      </c>
      <c r="AF773" s="431">
        <v>1</v>
      </c>
      <c r="AG773" s="438">
        <v>1</v>
      </c>
      <c r="AH773" s="450" t="s">
        <v>160</v>
      </c>
    </row>
    <row r="774" spans="1:34" s="1" customFormat="1" ht="12" customHeight="1">
      <c r="A774" s="378" t="s">
        <v>471</v>
      </c>
      <c r="B774" s="378"/>
      <c r="C774" s="372" t="s">
        <v>60</v>
      </c>
      <c r="D774" s="372" t="s">
        <v>456</v>
      </c>
      <c r="E774" s="431">
        <v>111010</v>
      </c>
      <c r="F774" s="431" t="s">
        <v>455</v>
      </c>
      <c r="G774" s="431" t="s">
        <v>497</v>
      </c>
      <c r="H774" s="432" t="s">
        <v>124</v>
      </c>
      <c r="I774" s="433">
        <v>1640</v>
      </c>
      <c r="J774" s="433" t="str">
        <f t="shared" si="148"/>
        <v>Offices</v>
      </c>
      <c r="K774" s="433">
        <v>1500</v>
      </c>
      <c r="L774" s="408" t="s">
        <v>847</v>
      </c>
      <c r="M774" s="434">
        <v>44710</v>
      </c>
      <c r="N774" s="434">
        <v>45805</v>
      </c>
      <c r="O774" s="434"/>
      <c r="P774" s="434"/>
      <c r="Q774" s="434"/>
      <c r="R774" s="435">
        <v>101000</v>
      </c>
      <c r="S774" s="433">
        <f t="shared" si="149"/>
        <v>0</v>
      </c>
      <c r="T774" s="376"/>
      <c r="U774" s="435">
        <v>104100</v>
      </c>
      <c r="V774" s="433">
        <f t="shared" si="150"/>
        <v>0</v>
      </c>
      <c r="W774" s="435">
        <v>114800</v>
      </c>
      <c r="X774" s="433">
        <f t="shared" si="151"/>
        <v>0</v>
      </c>
      <c r="Y774" s="379" t="e">
        <f t="shared" si="152"/>
        <v>#VALUE!</v>
      </c>
      <c r="Z774" s="433" t="s">
        <v>39</v>
      </c>
      <c r="AA774" s="436" t="s">
        <v>25</v>
      </c>
      <c r="AB774" s="436"/>
      <c r="AC774" s="435" t="s">
        <v>40</v>
      </c>
      <c r="AD774" s="431" t="s">
        <v>634</v>
      </c>
      <c r="AE774" s="378"/>
      <c r="AF774" s="431"/>
      <c r="AG774" s="438"/>
      <c r="AH774" s="450"/>
    </row>
    <row r="775" spans="1:34" s="1" customFormat="1" ht="13" customHeight="1">
      <c r="A775" s="378" t="s">
        <v>471</v>
      </c>
      <c r="B775" s="378"/>
      <c r="C775" s="372" t="s">
        <v>60</v>
      </c>
      <c r="D775" s="372" t="s">
        <v>456</v>
      </c>
      <c r="E775" s="431">
        <v>111010</v>
      </c>
      <c r="F775" s="431" t="s">
        <v>455</v>
      </c>
      <c r="G775" s="431" t="s">
        <v>498</v>
      </c>
      <c r="H775" s="432" t="s">
        <v>124</v>
      </c>
      <c r="I775" s="433">
        <v>1641</v>
      </c>
      <c r="J775" s="433" t="str">
        <f t="shared" si="148"/>
        <v>Offices</v>
      </c>
      <c r="K775" s="433">
        <v>1500</v>
      </c>
      <c r="L775" s="408" t="s">
        <v>68</v>
      </c>
      <c r="M775" s="434"/>
      <c r="N775" s="434"/>
      <c r="O775" s="434">
        <v>44603</v>
      </c>
      <c r="P775" s="434"/>
      <c r="Q775" s="434"/>
      <c r="R775" s="435">
        <v>0</v>
      </c>
      <c r="S775" s="433">
        <f t="shared" si="149"/>
        <v>0</v>
      </c>
      <c r="T775" s="376"/>
      <c r="U775" s="435">
        <v>120000</v>
      </c>
      <c r="V775" s="433">
        <f t="shared" si="150"/>
        <v>0</v>
      </c>
      <c r="W775" s="435">
        <v>114900</v>
      </c>
      <c r="X775" s="433">
        <f t="shared" si="151"/>
        <v>0</v>
      </c>
      <c r="Y775" s="379" t="e">
        <f t="shared" si="152"/>
        <v>#VALUE!</v>
      </c>
      <c r="Z775" s="433" t="s">
        <v>39</v>
      </c>
      <c r="AA775" s="436" t="s">
        <v>25</v>
      </c>
      <c r="AB775" s="436"/>
      <c r="AC775" s="435" t="s">
        <v>40</v>
      </c>
      <c r="AD775" s="431" t="s">
        <v>510</v>
      </c>
      <c r="AE775" s="437">
        <v>75</v>
      </c>
      <c r="AF775" s="431">
        <v>1</v>
      </c>
      <c r="AG775" s="438">
        <v>1</v>
      </c>
      <c r="AH775" s="450" t="s">
        <v>160</v>
      </c>
    </row>
    <row r="776" spans="1:34" s="1" customFormat="1" ht="13" customHeight="1">
      <c r="A776" s="378" t="s">
        <v>471</v>
      </c>
      <c r="B776" s="378"/>
      <c r="C776" s="372" t="s">
        <v>60</v>
      </c>
      <c r="D776" s="372" t="s">
        <v>456</v>
      </c>
      <c r="E776" s="431">
        <v>111010</v>
      </c>
      <c r="F776" s="431" t="s">
        <v>455</v>
      </c>
      <c r="G776" s="431" t="s">
        <v>848</v>
      </c>
      <c r="H776" s="432" t="s">
        <v>124</v>
      </c>
      <c r="I776" s="433">
        <v>1636</v>
      </c>
      <c r="J776" s="433" t="str">
        <f t="shared" si="148"/>
        <v>Offices</v>
      </c>
      <c r="K776" s="433">
        <v>1500</v>
      </c>
      <c r="L776" s="408" t="s">
        <v>68</v>
      </c>
      <c r="M776" s="434"/>
      <c r="N776" s="434"/>
      <c r="O776" s="434">
        <v>45579</v>
      </c>
      <c r="P776" s="434"/>
      <c r="Q776" s="434"/>
      <c r="R776" s="435">
        <v>0</v>
      </c>
      <c r="S776" s="433">
        <f t="shared" si="149"/>
        <v>0</v>
      </c>
      <c r="T776" s="376"/>
      <c r="U776" s="435">
        <v>103900</v>
      </c>
      <c r="V776" s="433">
        <f t="shared" si="150"/>
        <v>0</v>
      </c>
      <c r="W776" s="435">
        <v>118600</v>
      </c>
      <c r="X776" s="433">
        <f t="shared" si="151"/>
        <v>0</v>
      </c>
      <c r="Y776" s="379" t="e">
        <f t="shared" si="152"/>
        <v>#VALUE!</v>
      </c>
      <c r="Z776" s="433" t="s">
        <v>58</v>
      </c>
      <c r="AA776" s="436" t="s">
        <v>25</v>
      </c>
      <c r="AB776" s="436"/>
      <c r="AC776" s="435" t="s">
        <v>40</v>
      </c>
      <c r="AD776" s="431" t="s">
        <v>510</v>
      </c>
      <c r="AE776" s="437">
        <v>75</v>
      </c>
      <c r="AF776" s="431">
        <v>1</v>
      </c>
      <c r="AG776" s="438">
        <v>1</v>
      </c>
      <c r="AH776" s="450" t="s">
        <v>748</v>
      </c>
    </row>
    <row r="777" spans="1:34" s="1" customFormat="1" ht="30" customHeight="1">
      <c r="A777" s="378" t="s">
        <v>471</v>
      </c>
      <c r="B777" s="378"/>
      <c r="C777" s="372" t="s">
        <v>60</v>
      </c>
      <c r="D777" s="372" t="s">
        <v>456</v>
      </c>
      <c r="E777" s="431">
        <v>111010</v>
      </c>
      <c r="F777" s="431" t="s">
        <v>455</v>
      </c>
      <c r="G777" s="431" t="s">
        <v>546</v>
      </c>
      <c r="H777" s="432" t="s">
        <v>124</v>
      </c>
      <c r="I777" s="433">
        <v>1536</v>
      </c>
      <c r="J777" s="433" t="str">
        <f t="shared" si="148"/>
        <v>Offices</v>
      </c>
      <c r="K777" s="433">
        <v>1500</v>
      </c>
      <c r="L777" s="408" t="s">
        <v>849</v>
      </c>
      <c r="M777" s="434">
        <v>45464</v>
      </c>
      <c r="N777" s="434">
        <v>49115</v>
      </c>
      <c r="O777" s="434"/>
      <c r="P777" s="434">
        <v>47290</v>
      </c>
      <c r="Q777" s="434">
        <v>47289</v>
      </c>
      <c r="R777" s="435">
        <v>52745</v>
      </c>
      <c r="S777" s="433">
        <f t="shared" si="149"/>
        <v>47289</v>
      </c>
      <c r="T777" s="376"/>
      <c r="U777" s="435">
        <v>97500</v>
      </c>
      <c r="V777" s="433">
        <f t="shared" si="150"/>
        <v>0</v>
      </c>
      <c r="W777" s="435">
        <v>105200</v>
      </c>
      <c r="X777" s="433">
        <f t="shared" si="151"/>
        <v>0</v>
      </c>
      <c r="Y777" s="379" t="e">
        <f t="shared" si="152"/>
        <v>#VALUE!</v>
      </c>
      <c r="Z777" s="433" t="s">
        <v>39</v>
      </c>
      <c r="AA777" s="436" t="s">
        <v>25</v>
      </c>
      <c r="AB777" s="436"/>
      <c r="AC777" s="435" t="s">
        <v>40</v>
      </c>
      <c r="AD777" s="431" t="s">
        <v>850</v>
      </c>
      <c r="AE777" s="437"/>
      <c r="AF777" s="431"/>
      <c r="AG777" s="438"/>
      <c r="AH777" s="450"/>
    </row>
    <row r="778" spans="1:34" s="1" customFormat="1" ht="12" customHeight="1">
      <c r="G778" s="170"/>
      <c r="H778" s="171"/>
      <c r="I778" s="173"/>
      <c r="J778" s="189"/>
      <c r="K778" s="189"/>
      <c r="L778" s="116"/>
      <c r="M778" s="190"/>
      <c r="N778" s="190"/>
      <c r="O778" s="190"/>
      <c r="P778" s="190"/>
      <c r="Q778" s="190"/>
      <c r="R778" s="191"/>
      <c r="S778" s="191"/>
      <c r="T778" s="10"/>
      <c r="U778" s="191"/>
      <c r="V778" s="191"/>
      <c r="W778" s="191"/>
      <c r="X778" s="191"/>
      <c r="Y778" s="191"/>
      <c r="Z778" s="191"/>
      <c r="AA778" s="177"/>
      <c r="AB778" s="177"/>
      <c r="AC778" s="177"/>
      <c r="AD778" s="170"/>
      <c r="AE778" s="332"/>
      <c r="AF778" s="170"/>
      <c r="AG778" s="311"/>
      <c r="AH778" s="152"/>
    </row>
    <row r="779" spans="1:34" s="1" customFormat="1" ht="12" customHeight="1">
      <c r="G779" s="188" t="s">
        <v>851</v>
      </c>
      <c r="H779" s="171"/>
      <c r="I779" s="172">
        <f>SUM(H772:H777)</f>
        <v>0</v>
      </c>
      <c r="J779" s="173"/>
      <c r="K779" s="173"/>
      <c r="L779" s="116"/>
      <c r="M779" s="190"/>
      <c r="N779" s="190"/>
      <c r="O779" s="190"/>
      <c r="P779" s="190"/>
      <c r="Q779" s="190"/>
      <c r="R779" s="172">
        <f>SUM(Q772:Q778)</f>
        <v>96451</v>
      </c>
      <c r="S779" s="173"/>
      <c r="T779" s="10"/>
      <c r="U779" s="172">
        <f>SUM(T772:T778)</f>
        <v>0</v>
      </c>
      <c r="V779" s="173"/>
      <c r="W779" s="172">
        <f>SUM(V772:V778)</f>
        <v>0</v>
      </c>
      <c r="X779" s="173"/>
      <c r="Y779" s="173"/>
      <c r="Z779" s="173"/>
      <c r="AA779" s="171"/>
      <c r="AB779" s="172">
        <v>13000000</v>
      </c>
      <c r="AC779" s="171"/>
      <c r="AD779" s="170"/>
      <c r="AE779" s="332"/>
      <c r="AF779" s="170"/>
      <c r="AG779" s="311"/>
      <c r="AH779" s="152"/>
    </row>
    <row r="780" spans="1:34" ht="13" customHeight="1">
      <c r="G780" s="152"/>
      <c r="H780" s="153"/>
      <c r="I780" s="154"/>
      <c r="J780" s="165"/>
      <c r="K780" s="165"/>
      <c r="L780" s="157"/>
      <c r="M780" s="166"/>
      <c r="N780" s="166"/>
      <c r="O780" s="166"/>
      <c r="P780" s="166"/>
      <c r="Q780" s="166"/>
      <c r="R780" s="167"/>
      <c r="S780" s="167"/>
      <c r="U780" s="167"/>
      <c r="V780" s="167"/>
      <c r="W780" s="167"/>
      <c r="X780" s="167"/>
      <c r="Y780" s="167"/>
      <c r="Z780" s="167"/>
      <c r="AA780" s="158"/>
      <c r="AB780" s="158"/>
      <c r="AC780" s="158"/>
      <c r="AD780" s="152"/>
      <c r="AE780" s="333"/>
      <c r="AF780" s="152"/>
      <c r="AG780" s="312"/>
      <c r="AH780" s="152"/>
    </row>
    <row r="781" spans="1:34" ht="13" customHeight="1">
      <c r="G781" s="152"/>
      <c r="H781" s="153"/>
      <c r="I781" s="154"/>
      <c r="J781" s="165"/>
      <c r="K781" s="165"/>
      <c r="L781" s="157"/>
      <c r="M781" s="166"/>
      <c r="N781" s="166"/>
      <c r="O781" s="166"/>
      <c r="P781" s="166"/>
      <c r="Q781" s="166"/>
      <c r="R781" s="167"/>
      <c r="S781" s="167"/>
      <c r="U781" s="167"/>
      <c r="V781" s="167"/>
      <c r="W781" s="167"/>
      <c r="X781" s="167"/>
      <c r="Y781" s="167"/>
      <c r="Z781" s="167"/>
      <c r="AA781" s="158"/>
      <c r="AB781" s="158"/>
      <c r="AC781" s="158"/>
      <c r="AD781" s="152"/>
      <c r="AE781" s="333"/>
      <c r="AF781" s="152"/>
      <c r="AG781" s="312"/>
      <c r="AH781" s="152"/>
    </row>
    <row r="782" spans="1:34" ht="27" thickBot="1">
      <c r="G782" s="192" t="s">
        <v>459</v>
      </c>
      <c r="H782" s="203"/>
      <c r="I782" s="204" t="str">
        <f ca="1">I782</f>
        <v/>
      </c>
      <c r="J782" s="205">
        <f>SUM(I717:I781)</f>
        <v>64527</v>
      </c>
      <c r="K782" s="205"/>
      <c r="L782" s="206"/>
      <c r="M782" s="207"/>
      <c r="N782" s="207"/>
      <c r="O782" s="207"/>
      <c r="P782" s="207"/>
      <c r="Q782" s="207"/>
      <c r="R782" s="204" t="str">
        <f ca="1">R782</f>
        <v/>
      </c>
      <c r="S782" s="205">
        <f>SUM(R717:R781)</f>
        <v>2564665</v>
      </c>
      <c r="T782" s="202"/>
      <c r="U782" s="194">
        <f>SUM(U720:U779)</f>
        <v>3635960</v>
      </c>
      <c r="V782" s="205"/>
      <c r="W782" s="194">
        <f>SUM(W720:W779)</f>
        <v>3860760</v>
      </c>
      <c r="X782" s="205"/>
      <c r="Y782" s="205"/>
      <c r="Z782" s="205"/>
      <c r="AA782" s="203"/>
      <c r="AB782" s="204">
        <f>SUM(AA717:AA781)</f>
        <v>0</v>
      </c>
      <c r="AC782" s="203"/>
      <c r="AD782" s="208"/>
      <c r="AE782" s="335"/>
      <c r="AF782" s="258"/>
      <c r="AG782" s="315"/>
      <c r="AH782" s="258"/>
    </row>
    <row r="783" spans="1:34" thickTop="1">
      <c r="F783" s="163"/>
      <c r="G783" s="153"/>
      <c r="H783" s="154"/>
      <c r="I783" s="155"/>
      <c r="J783" s="157"/>
      <c r="K783" s="157"/>
      <c r="L783" s="157"/>
      <c r="M783" s="166"/>
      <c r="N783" s="166"/>
      <c r="O783" s="166"/>
      <c r="P783" s="166"/>
      <c r="Q783" s="154"/>
      <c r="R783" s="106"/>
      <c r="U783" s="154"/>
      <c r="V783" s="153"/>
      <c r="W783" s="154"/>
      <c r="X783" s="153"/>
      <c r="Y783" s="153"/>
      <c r="Z783" s="153"/>
      <c r="AA783" s="152"/>
      <c r="AB783" s="168"/>
      <c r="AC783" s="111"/>
      <c r="AD783" s="115"/>
      <c r="AE783" s="336"/>
      <c r="AF783" s="115"/>
      <c r="AG783" s="108"/>
      <c r="AH783" s="318"/>
    </row>
    <row r="784" spans="1:34" ht="13" customHeight="1">
      <c r="A784" t="s">
        <v>928</v>
      </c>
      <c r="G784" s="152"/>
      <c r="H784" s="151" t="s">
        <v>460</v>
      </c>
      <c r="I784" s="155"/>
      <c r="J784" s="165"/>
      <c r="K784" s="165"/>
      <c r="L784" s="157"/>
      <c r="M784" s="166"/>
      <c r="N784" s="166"/>
      <c r="O784" s="166"/>
      <c r="P784" s="166"/>
      <c r="Q784" s="166"/>
      <c r="R784" s="167"/>
      <c r="S784" s="167"/>
      <c r="T784" s="167"/>
      <c r="U784" s="167"/>
      <c r="V784" s="167"/>
      <c r="W784" s="167"/>
      <c r="X784" s="167"/>
      <c r="Y784" s="167"/>
      <c r="Z784" s="167"/>
      <c r="AA784" s="158"/>
      <c r="AB784" s="158"/>
      <c r="AC784" s="158"/>
      <c r="AD784" s="152"/>
      <c r="AE784" s="333"/>
      <c r="AF784" s="152"/>
      <c r="AG784" s="312"/>
      <c r="AH784" s="152"/>
    </row>
    <row r="785" spans="1:34" ht="13" customHeight="1">
      <c r="G785" s="152"/>
      <c r="H785" s="153"/>
      <c r="I785" s="155"/>
      <c r="J785" s="165"/>
      <c r="K785" s="165"/>
      <c r="L785" s="157"/>
      <c r="M785" s="166"/>
      <c r="N785" s="166"/>
      <c r="O785" s="166"/>
      <c r="P785" s="166"/>
      <c r="Q785" s="166"/>
      <c r="R785" s="167"/>
      <c r="S785" s="167"/>
      <c r="T785" s="167"/>
      <c r="U785" s="167"/>
      <c r="V785" s="167"/>
      <c r="W785" s="167"/>
      <c r="X785" s="167"/>
      <c r="Y785" s="167"/>
      <c r="Z785" s="167"/>
      <c r="AA785" s="158"/>
      <c r="AB785" s="158"/>
      <c r="AC785" s="158"/>
      <c r="AD785" s="152"/>
      <c r="AE785" s="333"/>
      <c r="AF785" s="152"/>
      <c r="AG785" s="312"/>
      <c r="AH785" s="152"/>
    </row>
    <row r="786" spans="1:34" s="1" customFormat="1" ht="24" customHeight="1">
      <c r="A786" s="370" t="s">
        <v>471</v>
      </c>
      <c r="B786" s="378"/>
      <c r="C786" s="451" t="s">
        <v>60</v>
      </c>
      <c r="D786" s="451" t="s">
        <v>461</v>
      </c>
      <c r="E786" s="431">
        <v>888010</v>
      </c>
      <c r="F786" s="431" t="s">
        <v>460</v>
      </c>
      <c r="G786" s="431" t="s">
        <v>462</v>
      </c>
      <c r="H786" s="432" t="s">
        <v>46</v>
      </c>
      <c r="I786" s="433">
        <v>5662</v>
      </c>
      <c r="J786" s="433" t="str">
        <f t="shared" ref="J786:J794" si="153">H786</f>
        <v>Retail</v>
      </c>
      <c r="K786" s="433">
        <v>5500</v>
      </c>
      <c r="L786" s="408" t="s">
        <v>463</v>
      </c>
      <c r="M786" s="434">
        <v>45192</v>
      </c>
      <c r="N786" s="434">
        <v>48844</v>
      </c>
      <c r="O786" s="434"/>
      <c r="P786" s="434">
        <v>47019</v>
      </c>
      <c r="Q786" s="434">
        <v>47018</v>
      </c>
      <c r="R786" s="435">
        <v>325000</v>
      </c>
      <c r="S786" s="433">
        <f t="shared" ref="S786:S794" si="154">Q786</f>
        <v>47018</v>
      </c>
      <c r="T786" s="433"/>
      <c r="U786" s="435">
        <v>650000</v>
      </c>
      <c r="V786" s="433">
        <f t="shared" ref="V786:V794" si="155">T786</f>
        <v>0</v>
      </c>
      <c r="W786" s="435">
        <v>758000</v>
      </c>
      <c r="X786" s="433">
        <f t="shared" ref="X786:X794" si="156">V786</f>
        <v>0</v>
      </c>
      <c r="Y786" s="379" t="e">
        <f t="shared" ref="Y786:Y793" si="157">T786/H786</f>
        <v>#VALUE!</v>
      </c>
      <c r="Z786" s="433" t="s">
        <v>39</v>
      </c>
      <c r="AA786" s="436"/>
      <c r="AB786" s="436"/>
      <c r="AC786" s="381" t="s">
        <v>40</v>
      </c>
      <c r="AD786" s="431" t="s">
        <v>464</v>
      </c>
      <c r="AE786" s="437"/>
      <c r="AF786" s="431"/>
      <c r="AG786" s="438"/>
      <c r="AH786" s="450"/>
    </row>
    <row r="787" spans="1:34" s="1" customFormat="1" ht="12" customHeight="1">
      <c r="A787" s="378" t="s">
        <v>471</v>
      </c>
      <c r="B787" s="378"/>
      <c r="C787" s="451" t="s">
        <v>60</v>
      </c>
      <c r="D787" s="451" t="s">
        <v>461</v>
      </c>
      <c r="E787" s="431">
        <v>888010</v>
      </c>
      <c r="F787" s="431" t="s">
        <v>460</v>
      </c>
      <c r="G787" s="408" t="s">
        <v>465</v>
      </c>
      <c r="H787" s="432" t="s">
        <v>46</v>
      </c>
      <c r="I787" s="433">
        <v>5350</v>
      </c>
      <c r="J787" s="433" t="str">
        <f t="shared" si="153"/>
        <v>Retail</v>
      </c>
      <c r="K787" s="433">
        <v>5500</v>
      </c>
      <c r="L787" s="408" t="s">
        <v>466</v>
      </c>
      <c r="M787" s="434">
        <v>40651</v>
      </c>
      <c r="N787" s="434">
        <v>46129</v>
      </c>
      <c r="O787" s="434"/>
      <c r="P787" s="434">
        <v>44304</v>
      </c>
      <c r="Q787" s="434"/>
      <c r="R787" s="435">
        <v>730000</v>
      </c>
      <c r="S787" s="433">
        <f t="shared" si="154"/>
        <v>0</v>
      </c>
      <c r="T787" s="433"/>
      <c r="U787" s="435">
        <v>400000</v>
      </c>
      <c r="V787" s="433">
        <f t="shared" si="155"/>
        <v>0</v>
      </c>
      <c r="W787" s="435">
        <v>450000</v>
      </c>
      <c r="X787" s="433">
        <f t="shared" si="156"/>
        <v>0</v>
      </c>
      <c r="Y787" s="379" t="e">
        <f t="shared" si="157"/>
        <v>#VALUE!</v>
      </c>
      <c r="Z787" s="433" t="s">
        <v>39</v>
      </c>
      <c r="AA787" s="436"/>
      <c r="AB787" s="436"/>
      <c r="AC787" s="381" t="s">
        <v>94</v>
      </c>
      <c r="AD787" s="431"/>
      <c r="AE787" s="437"/>
      <c r="AF787" s="431"/>
      <c r="AG787" s="438"/>
      <c r="AH787" s="450"/>
    </row>
    <row r="788" spans="1:34" s="1" customFormat="1" ht="32.25" customHeight="1">
      <c r="A788" s="378" t="s">
        <v>471</v>
      </c>
      <c r="B788" s="378"/>
      <c r="C788" s="451" t="s">
        <v>60</v>
      </c>
      <c r="D788" s="451" t="s">
        <v>461</v>
      </c>
      <c r="E788" s="431">
        <v>888010</v>
      </c>
      <c r="F788" s="431" t="s">
        <v>460</v>
      </c>
      <c r="G788" s="431" t="s">
        <v>467</v>
      </c>
      <c r="H788" s="432" t="s">
        <v>46</v>
      </c>
      <c r="I788" s="433">
        <v>2044</v>
      </c>
      <c r="J788" s="433" t="str">
        <f t="shared" si="153"/>
        <v>Retail</v>
      </c>
      <c r="K788" s="433">
        <v>2000</v>
      </c>
      <c r="L788" s="408" t="s">
        <v>468</v>
      </c>
      <c r="M788" s="434">
        <v>42650</v>
      </c>
      <c r="N788" s="434">
        <v>46301</v>
      </c>
      <c r="O788" s="434"/>
      <c r="P788" s="434">
        <v>45885</v>
      </c>
      <c r="Q788" s="434"/>
      <c r="R788" s="435">
        <v>115701</v>
      </c>
      <c r="S788" s="433">
        <f t="shared" si="154"/>
        <v>0</v>
      </c>
      <c r="T788" s="433"/>
      <c r="U788" s="435">
        <v>110000</v>
      </c>
      <c r="V788" s="433">
        <f t="shared" si="155"/>
        <v>0</v>
      </c>
      <c r="W788" s="435">
        <v>112000</v>
      </c>
      <c r="X788" s="433">
        <f t="shared" si="156"/>
        <v>0</v>
      </c>
      <c r="Y788" s="379" t="e">
        <f t="shared" si="157"/>
        <v>#VALUE!</v>
      </c>
      <c r="Z788" s="433" t="s">
        <v>58</v>
      </c>
      <c r="AA788" s="436"/>
      <c r="AB788" s="436"/>
      <c r="AC788" s="381" t="s">
        <v>40</v>
      </c>
      <c r="AD788" s="431" t="s">
        <v>469</v>
      </c>
      <c r="AE788" s="437"/>
      <c r="AF788" s="431"/>
      <c r="AG788" s="438"/>
      <c r="AH788" s="450"/>
    </row>
    <row r="789" spans="1:34" s="1" customFormat="1" ht="12" customHeight="1">
      <c r="A789" s="378" t="s">
        <v>471</v>
      </c>
      <c r="B789" s="378"/>
      <c r="C789" s="451" t="s">
        <v>60</v>
      </c>
      <c r="D789" s="451" t="s">
        <v>461</v>
      </c>
      <c r="E789" s="431">
        <v>888010</v>
      </c>
      <c r="F789" s="431" t="s">
        <v>460</v>
      </c>
      <c r="G789" s="431" t="s">
        <v>852</v>
      </c>
      <c r="H789" s="432" t="s">
        <v>37</v>
      </c>
      <c r="I789" s="433">
        <v>4463</v>
      </c>
      <c r="J789" s="433" t="str">
        <f t="shared" si="153"/>
        <v>Office</v>
      </c>
      <c r="K789" s="433">
        <v>4500</v>
      </c>
      <c r="L789" s="408" t="s">
        <v>853</v>
      </c>
      <c r="M789" s="434">
        <v>42286</v>
      </c>
      <c r="N789" s="434">
        <v>45938</v>
      </c>
      <c r="O789" s="434"/>
      <c r="P789" s="434">
        <v>44113</v>
      </c>
      <c r="Q789" s="434"/>
      <c r="R789" s="435">
        <v>367290</v>
      </c>
      <c r="S789" s="433">
        <f t="shared" si="154"/>
        <v>0</v>
      </c>
      <c r="T789" s="433"/>
      <c r="U789" s="435">
        <v>345000</v>
      </c>
      <c r="V789" s="433">
        <f t="shared" si="155"/>
        <v>0</v>
      </c>
      <c r="W789" s="435">
        <v>368000</v>
      </c>
      <c r="X789" s="433">
        <f t="shared" si="156"/>
        <v>0</v>
      </c>
      <c r="Y789" s="379" t="e">
        <f t="shared" si="157"/>
        <v>#VALUE!</v>
      </c>
      <c r="Z789" s="433" t="s">
        <v>58</v>
      </c>
      <c r="AA789" s="436"/>
      <c r="AB789" s="436"/>
      <c r="AC789" s="381" t="s">
        <v>40</v>
      </c>
      <c r="AD789" s="431"/>
      <c r="AE789" s="437"/>
      <c r="AF789" s="431"/>
      <c r="AG789" s="438"/>
      <c r="AH789" s="450"/>
    </row>
    <row r="790" spans="1:34" s="1" customFormat="1" ht="12" customHeight="1">
      <c r="A790" s="378" t="s">
        <v>471</v>
      </c>
      <c r="B790" s="378"/>
      <c r="C790" s="451" t="s">
        <v>60</v>
      </c>
      <c r="D790" s="451" t="s">
        <v>461</v>
      </c>
      <c r="E790" s="431">
        <v>888010</v>
      </c>
      <c r="F790" s="431" t="s">
        <v>460</v>
      </c>
      <c r="G790" s="431" t="s">
        <v>854</v>
      </c>
      <c r="H790" s="432" t="s">
        <v>37</v>
      </c>
      <c r="I790" s="433">
        <v>4462</v>
      </c>
      <c r="J790" s="433" t="str">
        <f t="shared" si="153"/>
        <v>Office</v>
      </c>
      <c r="K790" s="433">
        <v>4500</v>
      </c>
      <c r="L790" s="408" t="s">
        <v>68</v>
      </c>
      <c r="M790" s="434"/>
      <c r="N790" s="434"/>
      <c r="O790" s="434">
        <v>45490</v>
      </c>
      <c r="P790" s="434"/>
      <c r="Q790" s="434"/>
      <c r="R790" s="435">
        <v>0</v>
      </c>
      <c r="S790" s="433">
        <f t="shared" si="154"/>
        <v>0</v>
      </c>
      <c r="T790" s="433"/>
      <c r="U790" s="435">
        <v>357800</v>
      </c>
      <c r="V790" s="433">
        <f t="shared" si="155"/>
        <v>0</v>
      </c>
      <c r="W790" s="435">
        <v>379000</v>
      </c>
      <c r="X790" s="433">
        <f t="shared" si="156"/>
        <v>0</v>
      </c>
      <c r="Y790" s="379" t="e">
        <f t="shared" si="157"/>
        <v>#VALUE!</v>
      </c>
      <c r="Z790" s="452" t="s">
        <v>243</v>
      </c>
      <c r="AA790" s="436"/>
      <c r="AB790" s="436"/>
      <c r="AC790" s="436"/>
      <c r="AD790" s="373" t="s">
        <v>482</v>
      </c>
      <c r="AE790" s="453">
        <v>85</v>
      </c>
      <c r="AF790" s="454">
        <v>1</v>
      </c>
      <c r="AG790" s="455">
        <v>4</v>
      </c>
      <c r="AH790" s="456" t="s">
        <v>855</v>
      </c>
    </row>
    <row r="791" spans="1:34" s="1" customFormat="1" ht="12" customHeight="1">
      <c r="A791" s="378" t="s">
        <v>471</v>
      </c>
      <c r="B791" s="378"/>
      <c r="C791" s="451" t="s">
        <v>60</v>
      </c>
      <c r="D791" s="451" t="s">
        <v>461</v>
      </c>
      <c r="E791" s="431">
        <v>888010</v>
      </c>
      <c r="F791" s="431" t="s">
        <v>460</v>
      </c>
      <c r="G791" s="431" t="s">
        <v>856</v>
      </c>
      <c r="H791" s="432" t="s">
        <v>37</v>
      </c>
      <c r="I791" s="433">
        <v>4250</v>
      </c>
      <c r="J791" s="433" t="str">
        <f t="shared" si="153"/>
        <v>Office</v>
      </c>
      <c r="K791" s="433">
        <v>4500</v>
      </c>
      <c r="L791" s="408" t="s">
        <v>68</v>
      </c>
      <c r="M791" s="434"/>
      <c r="N791" s="434"/>
      <c r="O791" s="434">
        <v>45504</v>
      </c>
      <c r="P791" s="434"/>
      <c r="Q791" s="434"/>
      <c r="R791" s="435">
        <v>0</v>
      </c>
      <c r="S791" s="433">
        <f t="shared" si="154"/>
        <v>0</v>
      </c>
      <c r="T791" s="433"/>
      <c r="U791" s="435">
        <v>358600</v>
      </c>
      <c r="V791" s="433">
        <f t="shared" si="155"/>
        <v>0</v>
      </c>
      <c r="W791" s="435">
        <v>361000</v>
      </c>
      <c r="X791" s="433">
        <f t="shared" si="156"/>
        <v>0</v>
      </c>
      <c r="Y791" s="379" t="e">
        <f t="shared" si="157"/>
        <v>#VALUE!</v>
      </c>
      <c r="Z791" s="452" t="s">
        <v>243</v>
      </c>
      <c r="AA791" s="436"/>
      <c r="AB791" s="436"/>
      <c r="AC791" s="436"/>
      <c r="AD791" s="431" t="s">
        <v>599</v>
      </c>
      <c r="AE791" s="437">
        <v>85</v>
      </c>
      <c r="AF791" s="457">
        <v>1</v>
      </c>
      <c r="AG791" s="455">
        <v>3</v>
      </c>
      <c r="AH791" s="456" t="s">
        <v>855</v>
      </c>
    </row>
    <row r="792" spans="1:34" s="1" customFormat="1" ht="12" customHeight="1">
      <c r="A792" s="378" t="s">
        <v>471</v>
      </c>
      <c r="B792" s="378"/>
      <c r="C792" s="451" t="s">
        <v>60</v>
      </c>
      <c r="D792" s="451" t="s">
        <v>461</v>
      </c>
      <c r="E792" s="431">
        <v>888010</v>
      </c>
      <c r="F792" s="431" t="s">
        <v>460</v>
      </c>
      <c r="G792" s="431" t="s">
        <v>857</v>
      </c>
      <c r="H792" s="432" t="s">
        <v>37</v>
      </c>
      <c r="I792" s="433">
        <v>3999</v>
      </c>
      <c r="J792" s="433" t="str">
        <f t="shared" si="153"/>
        <v>Office</v>
      </c>
      <c r="K792" s="433">
        <v>4000</v>
      </c>
      <c r="L792" s="408" t="s">
        <v>858</v>
      </c>
      <c r="M792" s="434">
        <v>44183</v>
      </c>
      <c r="N792" s="434">
        <v>47834</v>
      </c>
      <c r="O792" s="434"/>
      <c r="P792" s="434">
        <v>46009</v>
      </c>
      <c r="Q792" s="434">
        <v>46008</v>
      </c>
      <c r="R792" s="435">
        <v>348163</v>
      </c>
      <c r="S792" s="433">
        <f t="shared" si="154"/>
        <v>46008</v>
      </c>
      <c r="T792" s="433"/>
      <c r="U792" s="435">
        <v>352000</v>
      </c>
      <c r="V792" s="433">
        <f t="shared" si="155"/>
        <v>0</v>
      </c>
      <c r="W792" s="435">
        <v>350000</v>
      </c>
      <c r="X792" s="433">
        <f t="shared" si="156"/>
        <v>0</v>
      </c>
      <c r="Y792" s="379" t="e">
        <f t="shared" si="157"/>
        <v>#VALUE!</v>
      </c>
      <c r="Z792" s="433" t="s">
        <v>58</v>
      </c>
      <c r="AA792" s="436"/>
      <c r="AB792" s="436"/>
      <c r="AC792" s="381" t="s">
        <v>40</v>
      </c>
      <c r="AD792" s="431" t="s">
        <v>859</v>
      </c>
      <c r="AE792" s="437"/>
      <c r="AF792" s="431"/>
      <c r="AG792" s="438"/>
      <c r="AH792" s="450"/>
    </row>
    <row r="793" spans="1:34" s="1" customFormat="1" ht="12" customHeight="1">
      <c r="A793" s="378" t="s">
        <v>471</v>
      </c>
      <c r="B793" s="378"/>
      <c r="C793" s="451" t="s">
        <v>60</v>
      </c>
      <c r="D793" s="451" t="s">
        <v>461</v>
      </c>
      <c r="E793" s="431">
        <v>888010</v>
      </c>
      <c r="F793" s="431" t="s">
        <v>460</v>
      </c>
      <c r="G793" s="431" t="s">
        <v>860</v>
      </c>
      <c r="H793" s="432" t="s">
        <v>37</v>
      </c>
      <c r="I793" s="433">
        <v>3145</v>
      </c>
      <c r="J793" s="433" t="str">
        <f t="shared" si="153"/>
        <v>Office</v>
      </c>
      <c r="K793" s="433">
        <v>3000</v>
      </c>
      <c r="L793" s="408" t="s">
        <v>858</v>
      </c>
      <c r="M793" s="434">
        <v>44217</v>
      </c>
      <c r="N793" s="434">
        <v>47834</v>
      </c>
      <c r="O793" s="434"/>
      <c r="P793" s="434">
        <v>46009</v>
      </c>
      <c r="Q793" s="434">
        <v>46008</v>
      </c>
      <c r="R793" s="435">
        <v>281873</v>
      </c>
      <c r="S793" s="433">
        <f t="shared" si="154"/>
        <v>46008</v>
      </c>
      <c r="T793" s="433"/>
      <c r="U793" s="435">
        <v>284800</v>
      </c>
      <c r="V793" s="433">
        <f t="shared" si="155"/>
        <v>0</v>
      </c>
      <c r="W793" s="435">
        <v>283000</v>
      </c>
      <c r="X793" s="433">
        <f t="shared" si="156"/>
        <v>0</v>
      </c>
      <c r="Y793" s="379" t="e">
        <f t="shared" si="157"/>
        <v>#VALUE!</v>
      </c>
      <c r="Z793" s="433" t="s">
        <v>58</v>
      </c>
      <c r="AA793" s="436"/>
      <c r="AB793" s="436"/>
      <c r="AC793" s="381" t="s">
        <v>40</v>
      </c>
      <c r="AD793" s="431"/>
      <c r="AE793" s="437"/>
      <c r="AF793" s="431"/>
      <c r="AG793" s="438"/>
      <c r="AH793" s="431"/>
    </row>
    <row r="794" spans="1:34" s="1" customFormat="1" ht="12" customHeight="1">
      <c r="A794" s="378" t="s">
        <v>471</v>
      </c>
      <c r="B794" s="378"/>
      <c r="C794" s="451" t="s">
        <v>60</v>
      </c>
      <c r="D794" s="451" t="s">
        <v>461</v>
      </c>
      <c r="E794" s="431">
        <v>888010</v>
      </c>
      <c r="F794" s="431" t="s">
        <v>460</v>
      </c>
      <c r="G794" s="431" t="s">
        <v>410</v>
      </c>
      <c r="H794" s="432" t="s">
        <v>541</v>
      </c>
      <c r="I794" s="433">
        <v>0</v>
      </c>
      <c r="J794" s="433" t="str">
        <f t="shared" si="153"/>
        <v>Sub-Station</v>
      </c>
      <c r="K794" s="433"/>
      <c r="L794" s="408" t="s">
        <v>861</v>
      </c>
      <c r="M794" s="458">
        <v>20814</v>
      </c>
      <c r="N794" s="458">
        <v>39073</v>
      </c>
      <c r="O794" s="458"/>
      <c r="P794" s="434"/>
      <c r="Q794" s="434"/>
      <c r="R794" s="435">
        <v>0</v>
      </c>
      <c r="S794" s="433">
        <f t="shared" si="154"/>
        <v>0</v>
      </c>
      <c r="T794" s="433"/>
      <c r="U794" s="435">
        <v>0</v>
      </c>
      <c r="V794" s="433">
        <f t="shared" si="155"/>
        <v>0</v>
      </c>
      <c r="W794" s="435">
        <v>0</v>
      </c>
      <c r="X794" s="433">
        <f t="shared" si="156"/>
        <v>0</v>
      </c>
      <c r="Y794" s="379"/>
      <c r="Z794" s="433"/>
      <c r="AA794" s="436"/>
      <c r="AB794" s="436"/>
      <c r="AC794" s="381" t="s">
        <v>94</v>
      </c>
      <c r="AD794" s="431" t="s">
        <v>862</v>
      </c>
      <c r="AE794" s="437"/>
      <c r="AF794" s="431"/>
      <c r="AG794" s="438"/>
      <c r="AH794" s="431"/>
    </row>
    <row r="795" spans="1:34" ht="13" customHeight="1">
      <c r="G795" s="152"/>
      <c r="H795" s="153"/>
      <c r="I795" s="155"/>
      <c r="J795" s="155"/>
      <c r="K795" s="155"/>
      <c r="L795" s="157"/>
      <c r="M795" s="166"/>
      <c r="N795" s="166"/>
      <c r="O795" s="166"/>
      <c r="P795" s="166"/>
      <c r="Q795" s="166"/>
      <c r="R795" s="156"/>
      <c r="S795" s="155"/>
      <c r="T795" s="155"/>
      <c r="U795" s="156"/>
      <c r="V795" s="165"/>
      <c r="W795" s="156"/>
      <c r="X795" s="165"/>
      <c r="Y795" s="165"/>
      <c r="Z795" s="165"/>
      <c r="AA795" s="158"/>
      <c r="AB795" s="158"/>
      <c r="AC795" s="158"/>
      <c r="AD795" s="152"/>
      <c r="AE795" s="333"/>
      <c r="AF795" s="152"/>
      <c r="AG795" s="312"/>
      <c r="AH795" s="152"/>
    </row>
    <row r="796" spans="1:34" thickBot="1">
      <c r="G796" s="192" t="s">
        <v>863</v>
      </c>
      <c r="H796" s="203"/>
      <c r="I796" s="204">
        <f>SUM(H785:H794)</f>
        <v>0</v>
      </c>
      <c r="J796" s="204"/>
      <c r="K796" s="204"/>
      <c r="L796" s="206"/>
      <c r="M796" s="207"/>
      <c r="N796" s="207"/>
      <c r="O796" s="207"/>
      <c r="P796" s="207"/>
      <c r="Q796" s="207"/>
      <c r="R796" s="204">
        <f>SUM(Q785:Q794)</f>
        <v>139034</v>
      </c>
      <c r="S796" s="209"/>
      <c r="T796" s="209"/>
      <c r="U796" s="194">
        <f>SUM(U786:U793)</f>
        <v>2858200</v>
      </c>
      <c r="V796" s="209"/>
      <c r="W796" s="194">
        <f>SUM(W786:W793)</f>
        <v>3061000</v>
      </c>
      <c r="X796" s="209"/>
      <c r="Y796" s="209"/>
      <c r="Z796" s="209"/>
      <c r="AA796" s="210"/>
      <c r="AB796" s="204">
        <v>52400000</v>
      </c>
      <c r="AC796" s="204"/>
      <c r="AD796" s="208"/>
      <c r="AE796" s="335"/>
      <c r="AF796" s="258"/>
      <c r="AG796" s="258"/>
      <c r="AH796" s="258"/>
    </row>
    <row r="797" spans="1:34" ht="14.25" customHeight="1" thickTop="1">
      <c r="U797" s="10"/>
      <c r="V797" s="10"/>
      <c r="W797" s="10"/>
      <c r="X797" s="10"/>
      <c r="Y797" s="10"/>
      <c r="Z797" s="10"/>
      <c r="AA797" s="61"/>
      <c r="AC797" s="55"/>
    </row>
    <row r="798" spans="1:34" ht="14.25" customHeight="1">
      <c r="U798" s="10"/>
      <c r="V798" s="10"/>
      <c r="W798" s="10"/>
      <c r="X798" s="10"/>
      <c r="Y798" s="10"/>
      <c r="Z798" s="10"/>
      <c r="AA798" s="61"/>
      <c r="AC798" s="55"/>
    </row>
    <row r="799" spans="1:34" ht="14.25" customHeight="1" thickBot="1">
      <c r="G799" s="192" t="s">
        <v>851</v>
      </c>
      <c r="H799" s="212"/>
      <c r="I799" s="204">
        <f>H796+H782+H715</f>
        <v>0</v>
      </c>
      <c r="J799" s="213"/>
      <c r="K799" s="213"/>
      <c r="L799" s="211"/>
      <c r="M799" s="214"/>
      <c r="N799" s="201"/>
      <c r="O799" s="201"/>
      <c r="P799" s="201"/>
      <c r="Q799" s="201"/>
      <c r="R799" s="227">
        <f>Q796+Q782+Q715</f>
        <v>0</v>
      </c>
      <c r="S799" s="202"/>
      <c r="T799" s="202"/>
      <c r="U799" s="204">
        <f>T796+T782+T715</f>
        <v>0</v>
      </c>
      <c r="V799" s="202"/>
      <c r="W799" s="204">
        <f>V796+V782+V715</f>
        <v>0</v>
      </c>
      <c r="X799" s="202"/>
      <c r="Y799" s="202"/>
      <c r="Z799" s="202"/>
      <c r="AA799" s="215"/>
      <c r="AB799" s="204">
        <f>AA796+AA782+AA715</f>
        <v>0</v>
      </c>
      <c r="AC799" s="216"/>
      <c r="AD799" s="211"/>
      <c r="AE799" s="337"/>
      <c r="AF799" s="241"/>
      <c r="AG799" s="241"/>
      <c r="AH799" s="241"/>
    </row>
    <row r="800" spans="1:34" ht="14.25" customHeight="1" thickTop="1">
      <c r="G800" s="89"/>
      <c r="H800" s="89"/>
      <c r="I800" s="89"/>
      <c r="J800" s="118"/>
      <c r="K800" s="118"/>
      <c r="L800" s="96"/>
      <c r="M800" s="43"/>
      <c r="U800" s="10"/>
      <c r="V800" s="10"/>
      <c r="W800" s="10"/>
      <c r="X800" s="10"/>
      <c r="Y800" s="10"/>
      <c r="Z800" s="10"/>
      <c r="AA800" s="61"/>
      <c r="AC800" s="55"/>
    </row>
    <row r="801" spans="7:34" ht="14.25" customHeight="1">
      <c r="G801" s="89" t="s">
        <v>864</v>
      </c>
      <c r="H801" s="89"/>
      <c r="I801" s="18"/>
      <c r="J801" s="18"/>
      <c r="K801" s="18"/>
      <c r="R801" s="19">
        <v>188082</v>
      </c>
      <c r="S801" s="19"/>
      <c r="T801" s="19"/>
      <c r="U801" s="19">
        <v>188082</v>
      </c>
      <c r="V801" s="19"/>
      <c r="W801" s="19">
        <v>188082</v>
      </c>
      <c r="X801" s="19"/>
      <c r="Y801" s="19"/>
      <c r="Z801" s="19"/>
      <c r="AA801" s="62"/>
      <c r="AB801" s="19">
        <v>20700000</v>
      </c>
      <c r="AC801" s="54"/>
    </row>
    <row r="802" spans="7:34" ht="14.25" customHeight="1">
      <c r="G802" s="89" t="s">
        <v>865</v>
      </c>
      <c r="H802" s="89"/>
      <c r="I802" s="113" t="s">
        <v>866</v>
      </c>
      <c r="J802" s="113"/>
      <c r="K802" s="113"/>
      <c r="L802" s="113"/>
      <c r="R802" s="19"/>
      <c r="S802" s="19"/>
      <c r="T802" s="19"/>
      <c r="U802" s="19"/>
      <c r="V802" s="19"/>
      <c r="W802" s="19"/>
      <c r="X802" s="19"/>
      <c r="Y802" s="19"/>
      <c r="Z802" s="19"/>
      <c r="AA802" s="62"/>
      <c r="AB802" s="19"/>
      <c r="AC802" s="54"/>
      <c r="AF802" s="316">
        <f>SUM(AE4:AE801)</f>
        <v>3726</v>
      </c>
      <c r="AG802" s="316">
        <f>SUM(AF4:AF801)</f>
        <v>35</v>
      </c>
    </row>
    <row r="803" spans="7:34" ht="14.25" customHeight="1">
      <c r="G803" s="89" t="s">
        <v>867</v>
      </c>
      <c r="H803" s="89"/>
      <c r="I803" s="42"/>
      <c r="J803" s="18"/>
      <c r="K803" s="18"/>
      <c r="R803" s="19">
        <v>44897</v>
      </c>
      <c r="S803" s="19"/>
      <c r="T803" s="19"/>
      <c r="U803" s="19">
        <v>44897</v>
      </c>
      <c r="V803" s="19"/>
      <c r="W803" s="19">
        <v>44897</v>
      </c>
      <c r="X803" s="19"/>
      <c r="Y803" s="19"/>
      <c r="Z803" s="19"/>
      <c r="AA803" s="62"/>
      <c r="AB803" s="19">
        <v>5600000</v>
      </c>
      <c r="AC803" s="54"/>
    </row>
    <row r="804" spans="7:34" ht="14.25" customHeight="1">
      <c r="G804" s="89" t="s">
        <v>868</v>
      </c>
      <c r="H804" s="89"/>
      <c r="I804" s="113" t="s">
        <v>869</v>
      </c>
      <c r="J804" s="113"/>
      <c r="K804" s="113"/>
      <c r="L804" s="113"/>
      <c r="U804" s="10"/>
      <c r="V804" s="10"/>
      <c r="W804" s="10"/>
      <c r="X804" s="10"/>
      <c r="Y804" s="10"/>
      <c r="Z804" s="10"/>
      <c r="AA804" s="61"/>
      <c r="AB804" s="19"/>
      <c r="AC804" s="55"/>
    </row>
    <row r="805" spans="7:34" ht="14.25" customHeight="1">
      <c r="L805" s="169" t="s">
        <v>870</v>
      </c>
      <c r="M805" s="217"/>
      <c r="N805" s="218"/>
      <c r="O805" s="218"/>
      <c r="P805" s="218"/>
      <c r="Q805" s="218"/>
      <c r="R805" s="219">
        <f>SUM(Q799:Q804)</f>
        <v>0</v>
      </c>
      <c r="S805" s="220"/>
      <c r="T805" s="220"/>
      <c r="U805" s="220">
        <f>SUM(T799:T804)</f>
        <v>0</v>
      </c>
      <c r="V805" s="220"/>
      <c r="W805" s="220">
        <f>SUM(V799:V804)</f>
        <v>0</v>
      </c>
      <c r="X805" s="220"/>
      <c r="Y805" s="220"/>
      <c r="Z805" s="220"/>
      <c r="AA805" s="221"/>
      <c r="AB805" s="220">
        <f>SUM(AA799:AA804)</f>
        <v>0</v>
      </c>
      <c r="AC805" s="54"/>
    </row>
    <row r="806" spans="7:34" ht="14.25" customHeight="1">
      <c r="L806" s="169"/>
      <c r="M806" s="217"/>
      <c r="N806" s="218"/>
      <c r="O806" s="218"/>
      <c r="P806" s="218"/>
      <c r="Q806" s="218"/>
      <c r="R806" s="219"/>
      <c r="S806" s="220"/>
      <c r="T806" s="220"/>
      <c r="U806" s="220"/>
      <c r="V806" s="220"/>
      <c r="W806" s="219"/>
      <c r="X806" s="220"/>
      <c r="Y806" s="220"/>
      <c r="Z806" s="220"/>
      <c r="AA806" s="221"/>
      <c r="AB806" s="220"/>
      <c r="AC806" s="54"/>
    </row>
    <row r="807" spans="7:34" ht="14.25" customHeight="1">
      <c r="L807" s="87"/>
      <c r="M807" s="57"/>
      <c r="R807" s="38"/>
      <c r="S807" s="38"/>
      <c r="T807" s="38"/>
      <c r="U807" s="38"/>
      <c r="V807" s="19"/>
      <c r="W807" s="38"/>
      <c r="X807" s="19"/>
      <c r="Y807" s="19"/>
      <c r="Z807" s="19"/>
      <c r="AA807" s="62"/>
      <c r="AB807" s="138"/>
      <c r="AC807" s="54"/>
    </row>
    <row r="808" spans="7:34" ht="14.25" customHeight="1">
      <c r="H808" s="102" t="s">
        <v>871</v>
      </c>
      <c r="U808" s="27"/>
      <c r="V808" s="10"/>
      <c r="W808" s="27"/>
      <c r="X808" s="10"/>
      <c r="Y808" s="10"/>
      <c r="Z808" s="10"/>
      <c r="AA808" s="61"/>
      <c r="AB808" s="137"/>
      <c r="AC808" s="55"/>
    </row>
    <row r="809" spans="7:34" ht="14.25" customHeight="1">
      <c r="H809" s="107" t="s">
        <v>872</v>
      </c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42"/>
      <c r="V809" s="107"/>
      <c r="W809" s="142"/>
      <c r="X809" s="107"/>
      <c r="Y809" s="107"/>
      <c r="Z809" s="107"/>
      <c r="AA809" s="107"/>
      <c r="AB809" s="139"/>
      <c r="AC809" s="107"/>
      <c r="AD809" s="107"/>
      <c r="AE809" s="338"/>
      <c r="AF809" s="107"/>
      <c r="AG809" s="107"/>
      <c r="AH809" s="107"/>
    </row>
    <row r="810" spans="7:34" ht="14.25" customHeight="1">
      <c r="H810" s="134" t="s">
        <v>873</v>
      </c>
      <c r="U810" s="235"/>
      <c r="V810" s="10"/>
      <c r="W810" s="27"/>
      <c r="X810" s="10"/>
      <c r="Y810" s="10"/>
      <c r="Z810" s="10"/>
      <c r="AA810" s="61"/>
      <c r="AB810" s="137"/>
      <c r="AC810" s="55"/>
    </row>
    <row r="811" spans="7:34" ht="14.25" customHeight="1">
      <c r="H811" s="134" t="s">
        <v>874</v>
      </c>
      <c r="I811" s="18"/>
      <c r="J811" s="18"/>
      <c r="K811" s="18"/>
      <c r="U811" s="235"/>
      <c r="V811" s="10"/>
      <c r="W811" s="27"/>
      <c r="X811" s="10"/>
      <c r="Y811" s="10"/>
      <c r="Z811" s="10"/>
      <c r="AA811" s="61"/>
      <c r="AB811" s="137"/>
      <c r="AC811" s="55"/>
    </row>
    <row r="812" spans="7:34" ht="14.25" customHeight="1">
      <c r="H812" s="134"/>
      <c r="L812" s="90"/>
      <c r="U812" s="27"/>
      <c r="V812" s="10"/>
      <c r="W812" s="27"/>
      <c r="X812" s="10"/>
      <c r="Y812" s="10"/>
      <c r="Z812" s="10"/>
      <c r="AA812" s="61"/>
    </row>
    <row r="813" spans="7:34" ht="14.25" customHeight="1">
      <c r="H813" s="134"/>
      <c r="L813" s="90"/>
      <c r="U813" s="27"/>
      <c r="V813" s="10"/>
      <c r="W813" s="27"/>
      <c r="X813" s="10"/>
      <c r="Y813" s="10"/>
      <c r="Z813" s="10"/>
      <c r="AA813" s="61"/>
    </row>
    <row r="814" spans="7:34" ht="14.25" customHeight="1">
      <c r="H814" s="134"/>
      <c r="L814" s="90"/>
      <c r="U814" s="27"/>
      <c r="V814" s="10"/>
      <c r="W814" s="27"/>
      <c r="X814" s="10"/>
      <c r="Y814" s="10"/>
      <c r="Z814" s="10"/>
      <c r="AA814" s="61"/>
    </row>
    <row r="815" spans="7:34" ht="14.25" customHeight="1">
      <c r="L815" s="90" t="s">
        <v>875</v>
      </c>
      <c r="U815" s="27"/>
      <c r="V815" s="10"/>
      <c r="W815" s="27"/>
      <c r="X815" s="10"/>
      <c r="Y815" s="10"/>
      <c r="Z815" s="10"/>
      <c r="AA815" s="61"/>
    </row>
    <row r="816" spans="7:34">
      <c r="H816" s="91"/>
      <c r="U816" s="27"/>
      <c r="V816" s="10"/>
      <c r="W816" s="27"/>
      <c r="X816" s="10"/>
      <c r="Y816" s="10"/>
      <c r="Z816" s="10"/>
      <c r="AA816" s="61"/>
    </row>
    <row r="817" spans="12:34">
      <c r="U817" s="27"/>
      <c r="V817" s="10"/>
      <c r="W817" s="27"/>
      <c r="X817" s="10"/>
      <c r="Y817" s="10"/>
      <c r="Z817" s="10"/>
      <c r="AA817" s="61"/>
    </row>
    <row r="818" spans="12:34" ht="16" customHeight="1">
      <c r="U818" s="27"/>
      <c r="V818" s="10"/>
      <c r="W818" s="27"/>
      <c r="X818" s="10"/>
      <c r="Y818" s="10"/>
      <c r="Z818" s="10"/>
      <c r="AA818" s="61"/>
      <c r="AB818" s="140"/>
      <c r="AC818" s="71"/>
      <c r="AD818" s="52"/>
      <c r="AE818" s="339"/>
      <c r="AF818" s="52"/>
      <c r="AG818" s="52"/>
      <c r="AH818" s="52"/>
    </row>
    <row r="819" spans="12:34" ht="16" customHeight="1">
      <c r="U819" s="27"/>
      <c r="V819" s="10"/>
      <c r="W819" s="27"/>
      <c r="X819" s="10"/>
      <c r="Y819" s="10"/>
      <c r="Z819" s="10"/>
      <c r="AA819" s="61"/>
      <c r="AB819" s="140"/>
      <c r="AC819" s="71"/>
      <c r="AD819" s="52"/>
      <c r="AE819" s="339"/>
      <c r="AF819" s="52"/>
      <c r="AG819" s="52"/>
      <c r="AH819" s="52"/>
    </row>
    <row r="820" spans="12:34" ht="16" customHeight="1">
      <c r="U820" s="27"/>
      <c r="V820" s="10"/>
      <c r="W820" s="27"/>
      <c r="X820" s="10"/>
      <c r="Y820" s="10"/>
      <c r="Z820" s="10"/>
      <c r="AA820" s="61"/>
      <c r="AB820" s="140"/>
      <c r="AC820" s="71"/>
      <c r="AD820" s="52"/>
      <c r="AE820" s="339"/>
      <c r="AF820" s="52"/>
      <c r="AG820" s="52"/>
      <c r="AH820" s="52"/>
    </row>
    <row r="821" spans="12:34" ht="16" customHeight="1">
      <c r="U821" s="27"/>
      <c r="V821" s="10"/>
      <c r="W821" s="27"/>
      <c r="X821" s="10"/>
      <c r="Y821" s="10"/>
      <c r="Z821" s="10"/>
      <c r="AA821" s="61"/>
      <c r="AB821" s="140"/>
      <c r="AC821" s="71"/>
      <c r="AD821" s="52"/>
      <c r="AE821" s="339"/>
      <c r="AF821" s="52"/>
      <c r="AG821" s="52"/>
      <c r="AH821" s="52"/>
    </row>
    <row r="822" spans="12:34" ht="16" customHeight="1">
      <c r="U822" s="27"/>
      <c r="V822" s="10"/>
      <c r="W822" s="27"/>
      <c r="X822" s="10"/>
      <c r="Y822" s="10"/>
      <c r="Z822" s="10"/>
      <c r="AA822" s="61"/>
      <c r="AB822" s="140"/>
      <c r="AC822" s="71"/>
      <c r="AD822" s="52"/>
      <c r="AE822" s="339"/>
      <c r="AF822" s="52"/>
      <c r="AG822" s="52"/>
      <c r="AH822" s="52"/>
    </row>
    <row r="823" spans="12:34" ht="16" customHeight="1">
      <c r="U823" s="27"/>
      <c r="V823" s="10"/>
      <c r="W823" s="27"/>
      <c r="X823" s="10"/>
      <c r="Y823" s="10"/>
      <c r="Z823" s="10"/>
      <c r="AA823" s="61"/>
      <c r="AB823" s="140"/>
      <c r="AC823" s="71"/>
      <c r="AD823" s="52"/>
      <c r="AE823" s="339"/>
      <c r="AF823" s="52"/>
      <c r="AG823" s="52"/>
      <c r="AH823" s="52"/>
    </row>
    <row r="824" spans="12:34" ht="16" customHeight="1">
      <c r="L824" s="25"/>
      <c r="U824" s="27"/>
      <c r="V824" s="10"/>
      <c r="W824" s="27"/>
      <c r="X824" s="10"/>
      <c r="Y824" s="10"/>
      <c r="Z824" s="10"/>
      <c r="AA824" s="61"/>
      <c r="AB824" s="140"/>
      <c r="AC824" s="71"/>
      <c r="AD824" s="52"/>
      <c r="AE824" s="339"/>
      <c r="AF824" s="52"/>
      <c r="AG824" s="52"/>
      <c r="AH824" s="52"/>
    </row>
    <row r="825" spans="12:34" ht="16" customHeight="1">
      <c r="U825" s="27"/>
      <c r="V825" s="10"/>
      <c r="W825" s="27"/>
      <c r="X825" s="10"/>
      <c r="Y825" s="10"/>
      <c r="Z825" s="10"/>
      <c r="AA825" s="61"/>
      <c r="AB825" s="140"/>
      <c r="AC825" s="71"/>
      <c r="AD825" s="52"/>
      <c r="AE825" s="339"/>
      <c r="AF825" s="52"/>
      <c r="AG825" s="52"/>
      <c r="AH825" s="52"/>
    </row>
    <row r="826" spans="12:34" ht="16" customHeight="1">
      <c r="U826" s="27"/>
      <c r="V826" s="10"/>
      <c r="W826" s="27"/>
      <c r="X826" s="10"/>
      <c r="Y826" s="10"/>
      <c r="Z826" s="10"/>
      <c r="AA826" s="61"/>
      <c r="AB826" s="140"/>
      <c r="AC826" s="71"/>
      <c r="AD826" s="52"/>
      <c r="AE826" s="339"/>
      <c r="AF826" s="52"/>
      <c r="AG826" s="52"/>
      <c r="AH826" s="52"/>
    </row>
    <row r="827" spans="12:34" ht="16" customHeight="1">
      <c r="U827" s="27"/>
      <c r="V827" s="10"/>
      <c r="W827" s="27"/>
      <c r="X827" s="10"/>
      <c r="Y827" s="10"/>
      <c r="Z827" s="10"/>
      <c r="AA827" s="61"/>
      <c r="AB827" s="140"/>
      <c r="AC827" s="71"/>
      <c r="AD827" s="52"/>
      <c r="AE827" s="339"/>
      <c r="AF827" s="52"/>
      <c r="AG827" s="52"/>
      <c r="AH827" s="52"/>
    </row>
    <row r="828" spans="12:34" ht="16" customHeight="1">
      <c r="U828" s="27"/>
      <c r="V828" s="10"/>
      <c r="W828" s="27"/>
      <c r="X828" s="10"/>
      <c r="Y828" s="10"/>
      <c r="Z828" s="10"/>
      <c r="AA828" s="61"/>
      <c r="AB828" s="140"/>
      <c r="AC828" s="71"/>
      <c r="AD828" s="52"/>
      <c r="AE828" s="339"/>
      <c r="AF828" s="52"/>
      <c r="AG828" s="52"/>
      <c r="AH828" s="52"/>
    </row>
    <row r="829" spans="12:34" ht="16" customHeight="1">
      <c r="U829" s="27"/>
      <c r="V829" s="10"/>
      <c r="W829" s="27"/>
      <c r="X829" s="10"/>
      <c r="Y829" s="10"/>
      <c r="Z829" s="10"/>
      <c r="AA829" s="61"/>
      <c r="AB829" s="140"/>
      <c r="AC829" s="71"/>
      <c r="AD829" s="52"/>
      <c r="AE829" s="339"/>
      <c r="AF829" s="52"/>
      <c r="AG829" s="52"/>
      <c r="AH829" s="52"/>
    </row>
    <row r="830" spans="12:34" ht="16" customHeight="1">
      <c r="U830" s="27"/>
      <c r="V830" s="10"/>
      <c r="W830" s="27"/>
      <c r="X830" s="10"/>
      <c r="Y830" s="10"/>
      <c r="Z830" s="10"/>
      <c r="AA830" s="61"/>
      <c r="AB830" s="140"/>
      <c r="AC830" s="71"/>
      <c r="AD830" s="52"/>
      <c r="AE830" s="339"/>
      <c r="AF830" s="52"/>
      <c r="AG830" s="52"/>
      <c r="AH830" s="52"/>
    </row>
    <row r="831" spans="12:34" ht="16" customHeight="1">
      <c r="U831" s="27"/>
      <c r="V831" s="10"/>
      <c r="W831" s="27"/>
      <c r="X831" s="10"/>
      <c r="Y831" s="10"/>
      <c r="Z831" s="10"/>
      <c r="AA831" s="61"/>
      <c r="AB831" s="140"/>
      <c r="AC831" s="71"/>
      <c r="AD831" s="52"/>
      <c r="AE831" s="339"/>
      <c r="AF831" s="52"/>
      <c r="AG831" s="52"/>
      <c r="AH831" s="52"/>
    </row>
    <row r="832" spans="12:34" ht="16" customHeight="1">
      <c r="U832" s="27"/>
      <c r="V832" s="10"/>
      <c r="W832" s="27"/>
      <c r="X832" s="10"/>
      <c r="Y832" s="10"/>
      <c r="Z832" s="10"/>
      <c r="AA832" s="61"/>
      <c r="AB832" s="140"/>
      <c r="AC832" s="71"/>
      <c r="AD832" s="52"/>
      <c r="AE832" s="339"/>
      <c r="AF832" s="52"/>
      <c r="AG832" s="52"/>
      <c r="AH832" s="52"/>
    </row>
    <row r="833" spans="21:34" ht="16" customHeight="1">
      <c r="U833" s="27"/>
      <c r="V833" s="10"/>
      <c r="W833" s="27"/>
      <c r="X833" s="10"/>
      <c r="Y833" s="10"/>
      <c r="Z833" s="10"/>
      <c r="AA833" s="61"/>
      <c r="AB833" s="140"/>
      <c r="AC833" s="71"/>
      <c r="AD833" s="52"/>
      <c r="AE833" s="339"/>
      <c r="AF833" s="52"/>
      <c r="AG833" s="52"/>
      <c r="AH833" s="52"/>
    </row>
    <row r="834" spans="21:34" ht="16" customHeight="1">
      <c r="U834" s="27"/>
      <c r="V834" s="10"/>
      <c r="W834" s="27"/>
      <c r="X834" s="10"/>
      <c r="Y834" s="10"/>
      <c r="Z834" s="10"/>
      <c r="AA834" s="61"/>
      <c r="AB834" s="140"/>
      <c r="AC834" s="71"/>
      <c r="AD834" s="52"/>
      <c r="AE834" s="339"/>
      <c r="AF834" s="52"/>
      <c r="AG834" s="52"/>
      <c r="AH834" s="52"/>
    </row>
    <row r="835" spans="21:34" ht="16" customHeight="1">
      <c r="U835" s="27"/>
      <c r="V835" s="10"/>
      <c r="W835" s="27"/>
      <c r="X835" s="10"/>
      <c r="Y835" s="10"/>
      <c r="Z835" s="10"/>
      <c r="AA835" s="61"/>
      <c r="AB835" s="140"/>
      <c r="AC835" s="71"/>
      <c r="AD835" s="52"/>
      <c r="AE835" s="339"/>
      <c r="AF835" s="52"/>
      <c r="AG835" s="52"/>
      <c r="AH835" s="52"/>
    </row>
    <row r="836" spans="21:34" ht="16" customHeight="1">
      <c r="U836" s="27"/>
      <c r="V836" s="10"/>
      <c r="W836" s="27"/>
      <c r="X836" s="10"/>
      <c r="Y836" s="10"/>
      <c r="Z836" s="10"/>
      <c r="AA836" s="61"/>
      <c r="AB836" s="140"/>
      <c r="AC836" s="71"/>
      <c r="AD836" s="52"/>
      <c r="AE836" s="339"/>
      <c r="AF836" s="52"/>
      <c r="AG836" s="52"/>
      <c r="AH836" s="52"/>
    </row>
    <row r="837" spans="21:34" ht="16" customHeight="1">
      <c r="U837" s="27"/>
      <c r="V837" s="10"/>
      <c r="W837" s="27"/>
      <c r="X837" s="10"/>
      <c r="Y837" s="10"/>
      <c r="Z837" s="10"/>
      <c r="AA837" s="61"/>
      <c r="AB837" s="140"/>
      <c r="AC837" s="71"/>
      <c r="AD837" s="52"/>
      <c r="AE837" s="339"/>
      <c r="AF837" s="52"/>
      <c r="AG837" s="52"/>
      <c r="AH837" s="52"/>
    </row>
    <row r="838" spans="21:34" ht="16" customHeight="1">
      <c r="U838" s="27"/>
      <c r="V838" s="10"/>
      <c r="W838" s="27"/>
      <c r="X838" s="10"/>
      <c r="Y838" s="10"/>
      <c r="Z838" s="10"/>
      <c r="AA838" s="61"/>
      <c r="AB838" s="140"/>
      <c r="AC838" s="71"/>
      <c r="AD838" s="52"/>
      <c r="AE838" s="339"/>
      <c r="AF838" s="52"/>
      <c r="AG838" s="52"/>
      <c r="AH838" s="52"/>
    </row>
    <row r="839" spans="21:34" ht="16" customHeight="1">
      <c r="U839" s="27"/>
      <c r="V839" s="10"/>
      <c r="W839" s="27"/>
      <c r="X839" s="10"/>
      <c r="Y839" s="10"/>
      <c r="Z839" s="10"/>
      <c r="AA839" s="61"/>
      <c r="AB839" s="140"/>
      <c r="AC839" s="71"/>
      <c r="AD839" s="52"/>
      <c r="AE839" s="339"/>
      <c r="AF839" s="52"/>
      <c r="AG839" s="52"/>
      <c r="AH839" s="52"/>
    </row>
    <row r="840" spans="21:34" ht="16" customHeight="1">
      <c r="U840" s="27"/>
      <c r="V840" s="10"/>
      <c r="W840" s="27"/>
      <c r="X840" s="10"/>
      <c r="Y840" s="10"/>
      <c r="Z840" s="10"/>
      <c r="AA840" s="61"/>
      <c r="AB840" s="140"/>
      <c r="AC840" s="71"/>
      <c r="AD840" s="52"/>
      <c r="AE840" s="339"/>
      <c r="AF840" s="52"/>
      <c r="AG840" s="52"/>
      <c r="AH840" s="52"/>
    </row>
    <row r="841" spans="21:34" ht="16" customHeight="1">
      <c r="U841" s="27"/>
      <c r="V841" s="10"/>
      <c r="W841" s="27"/>
      <c r="X841" s="10"/>
      <c r="Y841" s="10"/>
      <c r="Z841" s="10"/>
      <c r="AA841" s="61"/>
      <c r="AB841" s="140"/>
      <c r="AC841" s="71"/>
      <c r="AD841" s="52"/>
      <c r="AE841" s="339"/>
      <c r="AF841" s="52"/>
      <c r="AG841" s="52"/>
      <c r="AH841" s="52"/>
    </row>
    <row r="842" spans="21:34" ht="16" customHeight="1">
      <c r="U842" s="27"/>
      <c r="V842" s="10"/>
      <c r="W842" s="27"/>
      <c r="X842" s="10"/>
      <c r="Y842" s="10"/>
      <c r="Z842" s="10"/>
      <c r="AA842" s="61"/>
      <c r="AB842" s="140"/>
      <c r="AC842" s="71"/>
      <c r="AD842" s="52"/>
      <c r="AE842" s="339"/>
      <c r="AF842" s="52"/>
      <c r="AG842" s="52"/>
      <c r="AH842" s="52"/>
    </row>
    <row r="843" spans="21:34" ht="16" customHeight="1">
      <c r="U843" s="27"/>
      <c r="V843" s="10"/>
      <c r="W843" s="27"/>
      <c r="X843" s="10"/>
      <c r="Y843" s="10"/>
      <c r="Z843" s="10"/>
      <c r="AA843" s="61"/>
      <c r="AB843" s="140"/>
      <c r="AC843" s="71"/>
      <c r="AD843" s="52"/>
      <c r="AE843" s="339"/>
      <c r="AF843" s="52"/>
      <c r="AG843" s="52"/>
      <c r="AH843" s="52"/>
    </row>
    <row r="844" spans="21:34" ht="16" customHeight="1">
      <c r="U844" s="27"/>
      <c r="V844" s="10"/>
      <c r="W844" s="27"/>
      <c r="X844" s="10"/>
      <c r="Y844" s="10"/>
      <c r="Z844" s="10"/>
      <c r="AA844" s="61"/>
      <c r="AB844" s="140"/>
      <c r="AC844" s="71"/>
      <c r="AD844" s="52"/>
      <c r="AE844" s="339"/>
      <c r="AF844" s="52"/>
      <c r="AG844" s="52"/>
      <c r="AH844" s="52"/>
    </row>
    <row r="845" spans="21:34" ht="16" customHeight="1">
      <c r="U845" s="27"/>
      <c r="V845" s="10"/>
      <c r="W845" s="27"/>
      <c r="X845" s="10"/>
      <c r="Y845" s="10"/>
      <c r="Z845" s="10"/>
      <c r="AA845" s="61"/>
      <c r="AB845" s="140"/>
      <c r="AC845" s="71"/>
      <c r="AD845" s="52"/>
      <c r="AE845" s="339"/>
      <c r="AF845" s="52"/>
      <c r="AG845" s="52"/>
      <c r="AH845" s="52"/>
    </row>
    <row r="846" spans="21:34" ht="16" customHeight="1">
      <c r="U846" s="27"/>
      <c r="V846" s="10"/>
      <c r="W846" s="27"/>
      <c r="X846" s="10"/>
      <c r="Y846" s="10"/>
      <c r="Z846" s="10"/>
      <c r="AA846" s="61"/>
      <c r="AB846" s="140"/>
      <c r="AC846" s="71"/>
      <c r="AD846" s="52"/>
      <c r="AE846" s="339"/>
      <c r="AF846" s="52"/>
      <c r="AG846" s="52"/>
      <c r="AH846" s="52"/>
    </row>
    <row r="847" spans="21:34" ht="16" customHeight="1">
      <c r="U847" s="27"/>
      <c r="V847" s="10"/>
      <c r="W847" s="27"/>
      <c r="X847" s="10"/>
      <c r="Y847" s="10"/>
      <c r="Z847" s="10"/>
      <c r="AA847" s="61"/>
      <c r="AB847" s="140"/>
      <c r="AC847" s="71"/>
      <c r="AD847" s="52"/>
      <c r="AE847" s="339"/>
      <c r="AF847" s="52"/>
      <c r="AG847" s="52"/>
      <c r="AH847" s="52"/>
    </row>
    <row r="848" spans="21:34" ht="16" customHeight="1">
      <c r="U848" s="27"/>
      <c r="V848" s="10"/>
      <c r="W848" s="27"/>
      <c r="X848" s="10"/>
      <c r="Y848" s="10"/>
      <c r="Z848" s="10"/>
      <c r="AA848" s="61"/>
      <c r="AB848" s="140"/>
      <c r="AC848" s="71"/>
      <c r="AD848" s="52"/>
      <c r="AE848" s="339"/>
      <c r="AF848" s="52"/>
      <c r="AG848" s="52"/>
      <c r="AH848" s="52"/>
    </row>
    <row r="849" spans="21:34" ht="16" customHeight="1">
      <c r="U849" s="27"/>
      <c r="V849" s="10"/>
      <c r="W849" s="27"/>
      <c r="X849" s="10"/>
      <c r="Y849" s="10"/>
      <c r="Z849" s="10"/>
      <c r="AA849" s="61"/>
      <c r="AB849" s="140"/>
      <c r="AC849" s="71"/>
      <c r="AD849" s="52"/>
      <c r="AE849" s="339"/>
      <c r="AF849" s="52"/>
      <c r="AG849" s="52"/>
      <c r="AH849" s="52"/>
    </row>
    <row r="850" spans="21:34" ht="16" customHeight="1">
      <c r="U850" s="27"/>
      <c r="V850" s="10"/>
      <c r="W850" s="27"/>
      <c r="X850" s="10"/>
      <c r="Y850" s="10"/>
      <c r="Z850" s="10"/>
      <c r="AA850" s="61"/>
      <c r="AB850" s="140"/>
      <c r="AC850" s="71"/>
      <c r="AD850" s="52"/>
      <c r="AE850" s="339"/>
      <c r="AF850" s="52"/>
      <c r="AG850" s="52"/>
      <c r="AH850" s="52"/>
    </row>
    <row r="851" spans="21:34" ht="16" customHeight="1">
      <c r="U851" s="27"/>
      <c r="V851" s="10"/>
      <c r="W851" s="27"/>
      <c r="X851" s="10"/>
      <c r="Y851" s="10"/>
      <c r="Z851" s="10"/>
      <c r="AA851" s="61"/>
      <c r="AB851" s="140"/>
      <c r="AC851" s="71"/>
      <c r="AD851" s="52"/>
      <c r="AE851" s="339"/>
      <c r="AF851" s="52"/>
      <c r="AG851" s="52"/>
      <c r="AH851" s="52"/>
    </row>
    <row r="852" spans="21:34" ht="16" customHeight="1">
      <c r="U852" s="27"/>
      <c r="V852" s="10"/>
      <c r="W852" s="27"/>
      <c r="X852" s="10"/>
      <c r="Y852" s="10"/>
      <c r="Z852" s="10"/>
      <c r="AA852" s="61"/>
      <c r="AB852" s="140"/>
      <c r="AC852" s="71"/>
      <c r="AD852" s="52"/>
      <c r="AE852" s="339"/>
      <c r="AF852" s="52"/>
      <c r="AG852" s="52"/>
      <c r="AH852" s="52"/>
    </row>
    <row r="853" spans="21:34" ht="16" customHeight="1">
      <c r="U853" s="27"/>
      <c r="V853" s="10"/>
      <c r="W853" s="27"/>
      <c r="X853" s="10"/>
      <c r="Y853" s="10"/>
      <c r="Z853" s="10"/>
      <c r="AA853" s="61"/>
      <c r="AB853" s="140"/>
      <c r="AC853" s="71"/>
      <c r="AD853" s="52"/>
      <c r="AE853" s="339"/>
      <c r="AF853" s="52"/>
      <c r="AG853" s="52"/>
      <c r="AH853" s="52"/>
    </row>
    <row r="854" spans="21:34" ht="16" customHeight="1">
      <c r="U854" s="27"/>
      <c r="V854" s="10"/>
      <c r="W854" s="27"/>
      <c r="X854" s="10"/>
      <c r="Y854" s="10"/>
      <c r="Z854" s="10"/>
      <c r="AA854" s="61"/>
      <c r="AB854" s="140"/>
      <c r="AC854" s="71"/>
      <c r="AD854" s="52"/>
      <c r="AE854" s="339"/>
      <c r="AF854" s="52"/>
      <c r="AG854" s="52"/>
      <c r="AH854" s="52"/>
    </row>
    <row r="855" spans="21:34" ht="16" customHeight="1">
      <c r="U855" s="27"/>
      <c r="V855" s="10"/>
      <c r="W855" s="27"/>
      <c r="X855" s="10"/>
      <c r="Y855" s="10"/>
      <c r="Z855" s="10"/>
      <c r="AA855" s="61"/>
      <c r="AB855" s="140"/>
      <c r="AC855" s="71"/>
      <c r="AD855" s="52"/>
      <c r="AE855" s="339"/>
      <c r="AF855" s="52"/>
      <c r="AG855" s="52"/>
      <c r="AH855" s="52"/>
    </row>
    <row r="856" spans="21:34" ht="16" customHeight="1">
      <c r="U856" s="27"/>
      <c r="V856" s="10"/>
      <c r="W856" s="27"/>
      <c r="X856" s="10"/>
      <c r="Y856" s="10"/>
      <c r="Z856" s="10"/>
      <c r="AA856" s="61"/>
      <c r="AB856" s="140"/>
      <c r="AC856" s="71"/>
      <c r="AD856" s="52"/>
      <c r="AE856" s="339"/>
      <c r="AF856" s="52"/>
      <c r="AG856" s="52"/>
      <c r="AH856" s="52"/>
    </row>
    <row r="857" spans="21:34" ht="16" customHeight="1">
      <c r="U857" s="27"/>
      <c r="V857" s="10"/>
      <c r="W857" s="27"/>
      <c r="X857" s="10"/>
      <c r="Y857" s="10"/>
      <c r="Z857" s="10"/>
      <c r="AA857" s="61"/>
      <c r="AB857" s="140"/>
      <c r="AC857" s="71"/>
      <c r="AD857" s="52"/>
      <c r="AE857" s="339"/>
      <c r="AF857" s="52"/>
      <c r="AG857" s="52"/>
      <c r="AH857" s="52"/>
    </row>
    <row r="858" spans="21:34" ht="16" customHeight="1">
      <c r="U858" s="27"/>
      <c r="V858" s="10"/>
      <c r="W858" s="27"/>
      <c r="X858" s="10"/>
      <c r="Y858" s="10"/>
      <c r="Z858" s="10"/>
      <c r="AA858" s="61"/>
      <c r="AB858" s="140"/>
      <c r="AC858" s="71"/>
      <c r="AD858" s="52"/>
      <c r="AE858" s="339"/>
      <c r="AF858" s="52"/>
      <c r="AG858" s="52"/>
      <c r="AH858" s="52"/>
    </row>
    <row r="859" spans="21:34" ht="16" customHeight="1">
      <c r="U859" s="27"/>
      <c r="V859" s="10"/>
      <c r="W859" s="27"/>
      <c r="X859" s="10"/>
      <c r="Y859" s="10"/>
      <c r="Z859" s="10"/>
      <c r="AA859" s="61"/>
      <c r="AB859" s="140"/>
      <c r="AC859" s="71"/>
      <c r="AD859" s="52"/>
      <c r="AE859" s="339"/>
      <c r="AF859" s="52"/>
      <c r="AG859" s="52"/>
      <c r="AH859" s="52"/>
    </row>
    <row r="860" spans="21:34" ht="16" customHeight="1">
      <c r="U860" s="27"/>
      <c r="V860" s="10"/>
      <c r="W860" s="27"/>
      <c r="X860" s="10"/>
      <c r="Y860" s="10"/>
      <c r="Z860" s="10"/>
      <c r="AA860" s="61"/>
      <c r="AB860" s="140"/>
      <c r="AC860" s="71"/>
      <c r="AD860" s="52"/>
      <c r="AE860" s="339"/>
      <c r="AF860" s="52"/>
      <c r="AG860" s="52"/>
      <c r="AH860" s="52"/>
    </row>
    <row r="861" spans="21:34" ht="16" customHeight="1">
      <c r="U861" s="27"/>
      <c r="V861" s="10"/>
      <c r="W861" s="27"/>
      <c r="X861" s="10"/>
      <c r="Y861" s="10"/>
      <c r="Z861" s="10"/>
      <c r="AA861" s="61"/>
      <c r="AB861" s="140"/>
      <c r="AC861" s="71"/>
      <c r="AD861" s="52"/>
      <c r="AE861" s="339"/>
      <c r="AF861" s="52"/>
      <c r="AG861" s="52"/>
      <c r="AH861" s="52"/>
    </row>
    <row r="862" spans="21:34" ht="16" customHeight="1">
      <c r="U862" s="27"/>
      <c r="V862" s="10"/>
      <c r="W862" s="27"/>
      <c r="X862" s="10"/>
      <c r="Y862" s="10"/>
      <c r="Z862" s="10"/>
      <c r="AA862" s="61"/>
      <c r="AB862" s="140"/>
      <c r="AC862" s="71"/>
      <c r="AD862" s="52"/>
      <c r="AE862" s="339"/>
      <c r="AF862" s="52"/>
      <c r="AG862" s="52"/>
      <c r="AH862" s="52"/>
    </row>
    <row r="863" spans="21:34" ht="16" customHeight="1">
      <c r="U863" s="27"/>
      <c r="V863" s="10"/>
      <c r="W863" s="27"/>
      <c r="X863" s="10"/>
      <c r="Y863" s="10"/>
      <c r="Z863" s="10"/>
      <c r="AA863" s="61"/>
      <c r="AB863" s="140"/>
      <c r="AC863" s="71"/>
      <c r="AD863" s="52"/>
      <c r="AE863" s="339"/>
      <c r="AF863" s="52"/>
      <c r="AG863" s="52"/>
      <c r="AH863" s="52"/>
    </row>
    <row r="864" spans="21:34" ht="16" customHeight="1">
      <c r="U864" s="27"/>
      <c r="V864" s="10"/>
      <c r="W864" s="27"/>
      <c r="X864" s="10"/>
      <c r="Y864" s="10"/>
      <c r="Z864" s="10"/>
      <c r="AA864" s="61"/>
      <c r="AB864" s="140"/>
      <c r="AC864" s="71"/>
      <c r="AD864" s="52"/>
      <c r="AE864" s="339"/>
      <c r="AF864" s="52"/>
      <c r="AG864" s="52"/>
      <c r="AH864" s="52"/>
    </row>
    <row r="865" spans="21:34" ht="16" customHeight="1">
      <c r="U865" s="27"/>
      <c r="V865" s="10"/>
      <c r="W865" s="27"/>
      <c r="X865" s="10"/>
      <c r="Y865" s="10"/>
      <c r="Z865" s="10"/>
      <c r="AA865" s="61"/>
      <c r="AB865" s="140"/>
      <c r="AC865" s="71"/>
      <c r="AD865" s="52"/>
      <c r="AE865" s="339"/>
      <c r="AF865" s="52"/>
      <c r="AG865" s="52"/>
      <c r="AH865" s="52"/>
    </row>
    <row r="866" spans="21:34" ht="16" customHeight="1">
      <c r="U866" s="27"/>
      <c r="V866" s="10"/>
      <c r="W866" s="27"/>
      <c r="X866" s="10"/>
      <c r="Y866" s="10"/>
      <c r="Z866" s="10"/>
      <c r="AA866" s="61"/>
      <c r="AB866" s="140"/>
      <c r="AC866" s="71"/>
      <c r="AD866" s="52"/>
      <c r="AE866" s="339"/>
      <c r="AF866" s="52"/>
      <c r="AG866" s="52"/>
      <c r="AH866" s="52"/>
    </row>
    <row r="867" spans="21:34" ht="16" customHeight="1">
      <c r="U867" s="27"/>
      <c r="V867" s="10"/>
      <c r="W867" s="27"/>
      <c r="X867" s="10"/>
      <c r="Y867" s="10"/>
      <c r="Z867" s="10"/>
      <c r="AA867" s="61"/>
      <c r="AB867" s="140"/>
      <c r="AC867" s="71"/>
      <c r="AD867" s="52"/>
      <c r="AE867" s="339"/>
      <c r="AF867" s="52"/>
      <c r="AG867" s="52"/>
      <c r="AH867" s="52"/>
    </row>
    <row r="868" spans="21:34" ht="16" customHeight="1">
      <c r="U868" s="27"/>
      <c r="V868" s="10"/>
      <c r="W868" s="27"/>
      <c r="X868" s="10"/>
      <c r="Y868" s="10"/>
      <c r="Z868" s="10"/>
      <c r="AA868" s="61"/>
      <c r="AB868" s="140"/>
      <c r="AC868" s="71"/>
      <c r="AD868" s="52"/>
      <c r="AE868" s="339"/>
      <c r="AF868" s="52"/>
      <c r="AG868" s="52"/>
      <c r="AH868" s="52"/>
    </row>
    <row r="869" spans="21:34" ht="16" customHeight="1">
      <c r="U869" s="27"/>
      <c r="V869" s="10"/>
      <c r="W869" s="27"/>
      <c r="X869" s="10"/>
      <c r="Y869" s="10"/>
      <c r="Z869" s="10"/>
      <c r="AA869" s="61"/>
      <c r="AB869" s="140"/>
      <c r="AC869" s="71"/>
      <c r="AD869" s="52"/>
      <c r="AE869" s="339"/>
      <c r="AF869" s="52"/>
      <c r="AG869" s="52"/>
      <c r="AH869" s="52"/>
    </row>
    <row r="870" spans="21:34" ht="16" customHeight="1">
      <c r="U870" s="27"/>
      <c r="V870" s="10"/>
      <c r="W870" s="27"/>
      <c r="X870" s="10"/>
      <c r="Y870" s="10"/>
      <c r="Z870" s="10"/>
      <c r="AA870" s="61"/>
      <c r="AB870" s="140"/>
      <c r="AC870" s="71"/>
      <c r="AD870" s="52"/>
      <c r="AE870" s="339"/>
      <c r="AF870" s="52"/>
      <c r="AG870" s="52"/>
      <c r="AH870" s="52"/>
    </row>
    <row r="871" spans="21:34" ht="16" customHeight="1">
      <c r="U871" s="27"/>
      <c r="V871" s="10"/>
      <c r="W871" s="27"/>
      <c r="X871" s="10"/>
      <c r="Y871" s="10"/>
      <c r="Z871" s="10"/>
      <c r="AA871" s="61"/>
      <c r="AB871" s="140"/>
      <c r="AC871" s="71"/>
      <c r="AD871" s="52"/>
      <c r="AE871" s="339"/>
      <c r="AF871" s="52"/>
      <c r="AG871" s="52"/>
      <c r="AH871" s="52"/>
    </row>
    <row r="872" spans="21:34" ht="16" customHeight="1">
      <c r="U872" s="27"/>
      <c r="V872" s="10"/>
      <c r="W872" s="27"/>
      <c r="X872" s="10"/>
      <c r="Y872" s="10"/>
      <c r="Z872" s="10"/>
      <c r="AA872" s="61"/>
      <c r="AB872" s="140"/>
      <c r="AC872" s="71"/>
      <c r="AD872" s="52"/>
      <c r="AE872" s="339"/>
      <c r="AF872" s="52"/>
      <c r="AG872" s="52"/>
      <c r="AH872" s="52"/>
    </row>
    <row r="873" spans="21:34" ht="16" customHeight="1">
      <c r="U873" s="27"/>
      <c r="V873" s="10"/>
      <c r="W873" s="27"/>
      <c r="X873" s="10"/>
      <c r="Y873" s="10"/>
      <c r="Z873" s="10"/>
      <c r="AA873" s="61"/>
      <c r="AB873" s="140"/>
      <c r="AC873" s="71"/>
      <c r="AD873" s="52"/>
      <c r="AE873" s="339"/>
      <c r="AF873" s="52"/>
      <c r="AG873" s="52"/>
      <c r="AH873" s="52"/>
    </row>
    <row r="874" spans="21:34" ht="16" customHeight="1">
      <c r="U874" s="27"/>
      <c r="V874" s="10"/>
      <c r="W874" s="27"/>
      <c r="X874" s="10"/>
      <c r="Y874" s="10"/>
      <c r="Z874" s="10"/>
      <c r="AA874" s="61"/>
      <c r="AB874" s="140"/>
      <c r="AC874" s="71"/>
      <c r="AD874" s="52"/>
      <c r="AE874" s="339"/>
      <c r="AF874" s="52"/>
      <c r="AG874" s="52"/>
      <c r="AH874" s="52"/>
    </row>
    <row r="875" spans="21:34" ht="16" customHeight="1">
      <c r="U875" s="27"/>
      <c r="V875" s="10"/>
      <c r="W875" s="27"/>
      <c r="X875" s="10"/>
      <c r="Y875" s="10"/>
      <c r="Z875" s="10"/>
      <c r="AA875" s="61"/>
      <c r="AB875" s="140"/>
      <c r="AC875" s="71"/>
      <c r="AD875" s="52"/>
      <c r="AE875" s="339"/>
      <c r="AF875" s="52"/>
      <c r="AG875" s="52"/>
      <c r="AH875" s="52"/>
    </row>
    <row r="876" spans="21:34" ht="16" customHeight="1">
      <c r="U876" s="27"/>
      <c r="V876" s="10"/>
      <c r="W876" s="27"/>
      <c r="X876" s="10"/>
      <c r="Y876" s="10"/>
      <c r="Z876" s="10"/>
      <c r="AA876" s="61"/>
      <c r="AB876" s="140"/>
      <c r="AC876" s="71"/>
      <c r="AD876" s="52"/>
      <c r="AE876" s="339"/>
      <c r="AF876" s="52"/>
      <c r="AG876" s="52"/>
      <c r="AH876" s="52"/>
    </row>
    <row r="877" spans="21:34" ht="16" customHeight="1">
      <c r="U877" s="27"/>
      <c r="V877" s="10"/>
      <c r="W877" s="27"/>
      <c r="X877" s="10"/>
      <c r="Y877" s="10"/>
      <c r="Z877" s="10"/>
      <c r="AA877" s="61"/>
      <c r="AB877" s="140"/>
      <c r="AC877" s="71"/>
      <c r="AD877" s="52"/>
      <c r="AE877" s="339"/>
      <c r="AF877" s="52"/>
      <c r="AG877" s="52"/>
      <c r="AH877" s="52"/>
    </row>
    <row r="878" spans="21:34" ht="16" customHeight="1">
      <c r="U878" s="27"/>
      <c r="V878" s="10"/>
      <c r="W878" s="27"/>
      <c r="X878" s="10"/>
      <c r="Y878" s="10"/>
      <c r="Z878" s="10"/>
      <c r="AA878" s="61"/>
      <c r="AB878" s="140"/>
      <c r="AC878" s="71"/>
      <c r="AD878" s="52"/>
      <c r="AE878" s="339"/>
      <c r="AF878" s="52"/>
      <c r="AG878" s="52"/>
      <c r="AH878" s="52"/>
    </row>
    <row r="879" spans="21:34" ht="16" customHeight="1">
      <c r="U879" s="27"/>
      <c r="V879" s="10"/>
      <c r="W879" s="27"/>
      <c r="X879" s="10"/>
      <c r="Y879" s="10"/>
      <c r="Z879" s="10"/>
      <c r="AA879" s="61"/>
      <c r="AB879" s="140"/>
      <c r="AC879" s="71"/>
      <c r="AD879" s="52"/>
      <c r="AE879" s="339"/>
      <c r="AF879" s="52"/>
      <c r="AG879" s="52"/>
      <c r="AH879" s="52"/>
    </row>
    <row r="880" spans="21:34" ht="16" customHeight="1">
      <c r="U880" s="27"/>
      <c r="V880" s="10"/>
      <c r="W880" s="27"/>
      <c r="X880" s="10"/>
      <c r="Y880" s="10"/>
      <c r="Z880" s="10"/>
      <c r="AA880" s="61"/>
      <c r="AB880" s="140"/>
      <c r="AC880" s="71"/>
      <c r="AD880" s="52"/>
      <c r="AE880" s="339"/>
      <c r="AF880" s="52"/>
      <c r="AG880" s="52"/>
      <c r="AH880" s="52"/>
    </row>
    <row r="881" spans="21:34" ht="16" customHeight="1">
      <c r="U881" s="27"/>
      <c r="V881" s="10"/>
      <c r="W881" s="27"/>
      <c r="X881" s="10"/>
      <c r="Y881" s="10"/>
      <c r="Z881" s="10"/>
      <c r="AA881" s="61"/>
      <c r="AB881" s="140"/>
      <c r="AC881" s="71"/>
      <c r="AD881" s="52"/>
      <c r="AE881" s="339"/>
      <c r="AF881" s="52"/>
      <c r="AG881" s="52"/>
      <c r="AH881" s="52"/>
    </row>
    <row r="882" spans="21:34" ht="16" customHeight="1">
      <c r="U882" s="27"/>
      <c r="V882" s="10"/>
      <c r="W882" s="27"/>
      <c r="X882" s="10"/>
      <c r="Y882" s="10"/>
      <c r="Z882" s="10"/>
      <c r="AA882" s="61"/>
      <c r="AB882" s="140"/>
      <c r="AC882" s="71"/>
      <c r="AD882" s="52"/>
      <c r="AE882" s="339"/>
      <c r="AF882" s="52"/>
      <c r="AG882" s="52"/>
      <c r="AH882" s="52"/>
    </row>
    <row r="883" spans="21:34" ht="16" customHeight="1">
      <c r="U883" s="27"/>
      <c r="V883" s="10"/>
      <c r="W883" s="27"/>
      <c r="X883" s="10"/>
      <c r="Y883" s="10"/>
      <c r="Z883" s="10"/>
      <c r="AA883" s="61"/>
      <c r="AB883" s="140"/>
      <c r="AC883" s="71"/>
      <c r="AD883" s="52"/>
      <c r="AE883" s="339"/>
      <c r="AF883" s="52"/>
      <c r="AG883" s="52"/>
      <c r="AH883" s="52"/>
    </row>
    <row r="884" spans="21:34" ht="16" customHeight="1">
      <c r="U884" s="27"/>
      <c r="V884" s="10"/>
      <c r="W884" s="27"/>
      <c r="X884" s="10"/>
      <c r="Y884" s="10"/>
      <c r="Z884" s="10"/>
      <c r="AA884" s="61"/>
      <c r="AB884" s="140"/>
      <c r="AC884" s="71"/>
      <c r="AD884" s="52"/>
      <c r="AE884" s="339"/>
      <c r="AF884" s="52"/>
      <c r="AG884" s="52"/>
      <c r="AH884" s="52"/>
    </row>
    <row r="885" spans="21:34" ht="16" customHeight="1">
      <c r="U885" s="27"/>
      <c r="V885" s="10"/>
      <c r="W885" s="27"/>
      <c r="X885" s="10"/>
      <c r="Y885" s="10"/>
      <c r="Z885" s="10"/>
      <c r="AA885" s="61"/>
      <c r="AB885" s="140"/>
      <c r="AC885" s="71"/>
      <c r="AD885" s="52"/>
      <c r="AE885" s="339"/>
      <c r="AF885" s="52"/>
      <c r="AG885" s="52"/>
      <c r="AH885" s="52"/>
    </row>
    <row r="886" spans="21:34" ht="16" customHeight="1">
      <c r="U886" s="27"/>
      <c r="V886" s="10"/>
      <c r="W886" s="27"/>
      <c r="X886" s="10"/>
      <c r="Y886" s="10"/>
      <c r="Z886" s="10"/>
      <c r="AA886" s="61"/>
      <c r="AB886" s="140"/>
      <c r="AC886" s="71"/>
      <c r="AD886" s="52"/>
      <c r="AE886" s="339"/>
      <c r="AF886" s="52"/>
      <c r="AG886" s="52"/>
      <c r="AH886" s="52"/>
    </row>
    <row r="887" spans="21:34" ht="16" customHeight="1">
      <c r="U887" s="27"/>
      <c r="V887" s="10"/>
      <c r="W887" s="27"/>
      <c r="X887" s="10"/>
      <c r="Y887" s="10"/>
      <c r="Z887" s="10"/>
      <c r="AA887" s="61"/>
      <c r="AB887" s="140"/>
      <c r="AC887" s="71"/>
      <c r="AD887" s="52"/>
      <c r="AE887" s="339"/>
      <c r="AF887" s="52"/>
      <c r="AG887" s="52"/>
      <c r="AH887" s="52"/>
    </row>
    <row r="888" spans="21:34" ht="16" customHeight="1">
      <c r="U888" s="27"/>
      <c r="V888" s="10"/>
      <c r="W888" s="27"/>
      <c r="X888" s="10"/>
      <c r="Y888" s="10"/>
      <c r="Z888" s="10"/>
      <c r="AA888" s="61"/>
      <c r="AB888" s="140"/>
      <c r="AC888" s="71"/>
      <c r="AD888" s="52"/>
      <c r="AE888" s="339"/>
      <c r="AF888" s="52"/>
      <c r="AG888" s="52"/>
      <c r="AH888" s="52"/>
    </row>
    <row r="889" spans="21:34" ht="16" customHeight="1">
      <c r="U889" s="27"/>
      <c r="V889" s="10"/>
      <c r="W889" s="27"/>
      <c r="X889" s="10"/>
      <c r="Y889" s="10"/>
      <c r="Z889" s="10"/>
      <c r="AA889" s="61"/>
      <c r="AB889" s="140"/>
      <c r="AC889" s="71"/>
      <c r="AD889" s="52"/>
      <c r="AE889" s="339"/>
      <c r="AF889" s="52"/>
      <c r="AG889" s="52"/>
      <c r="AH889" s="52"/>
    </row>
    <row r="890" spans="21:34" ht="16" customHeight="1">
      <c r="U890" s="27"/>
      <c r="V890" s="10"/>
      <c r="W890" s="27"/>
      <c r="X890" s="10"/>
      <c r="Y890" s="10"/>
      <c r="Z890" s="10"/>
      <c r="AA890" s="61"/>
      <c r="AB890" s="140"/>
      <c r="AC890" s="71"/>
      <c r="AD890" s="52"/>
      <c r="AE890" s="339"/>
      <c r="AF890" s="52"/>
      <c r="AG890" s="52"/>
      <c r="AH890" s="52"/>
    </row>
    <row r="891" spans="21:34" ht="16" customHeight="1">
      <c r="U891" s="27"/>
      <c r="V891" s="10"/>
      <c r="W891" s="27"/>
      <c r="X891" s="10"/>
      <c r="Y891" s="10"/>
      <c r="Z891" s="10"/>
      <c r="AA891" s="61"/>
      <c r="AB891" s="140"/>
      <c r="AC891" s="71"/>
      <c r="AD891" s="52"/>
      <c r="AE891" s="339"/>
      <c r="AF891" s="52"/>
      <c r="AG891" s="52"/>
      <c r="AH891" s="52"/>
    </row>
    <row r="892" spans="21:34" ht="16" customHeight="1">
      <c r="U892" s="27"/>
      <c r="V892" s="10"/>
      <c r="W892" s="27"/>
      <c r="X892" s="10"/>
      <c r="Y892" s="10"/>
      <c r="Z892" s="10"/>
      <c r="AA892" s="61"/>
      <c r="AB892" s="140"/>
      <c r="AC892" s="71"/>
      <c r="AD892" s="52"/>
      <c r="AE892" s="339"/>
      <c r="AF892" s="52"/>
      <c r="AG892" s="52"/>
      <c r="AH892" s="52"/>
    </row>
    <row r="893" spans="21:34" ht="16" customHeight="1">
      <c r="U893" s="27"/>
      <c r="V893" s="10"/>
      <c r="W893" s="27"/>
      <c r="X893" s="10"/>
      <c r="Y893" s="10"/>
      <c r="Z893" s="10"/>
      <c r="AA893" s="61"/>
      <c r="AB893" s="140"/>
      <c r="AC893" s="71"/>
      <c r="AD893" s="52"/>
      <c r="AE893" s="339"/>
      <c r="AF893" s="52"/>
      <c r="AG893" s="52"/>
      <c r="AH893" s="52"/>
    </row>
    <row r="894" spans="21:34" ht="16" customHeight="1">
      <c r="U894" s="27"/>
      <c r="V894" s="10"/>
      <c r="W894" s="27"/>
      <c r="X894" s="10"/>
      <c r="Y894" s="10"/>
      <c r="Z894" s="10"/>
      <c r="AA894" s="61"/>
      <c r="AB894" s="140"/>
      <c r="AC894" s="71"/>
      <c r="AD894" s="52"/>
      <c r="AE894" s="339"/>
      <c r="AF894" s="52"/>
      <c r="AG894" s="52"/>
      <c r="AH894" s="52"/>
    </row>
    <row r="895" spans="21:34" ht="16" customHeight="1">
      <c r="U895" s="27"/>
      <c r="V895" s="10"/>
      <c r="W895" s="27"/>
      <c r="X895" s="10"/>
      <c r="Y895" s="10"/>
      <c r="Z895" s="10"/>
      <c r="AA895" s="61"/>
      <c r="AB895" s="140"/>
      <c r="AC895" s="71"/>
      <c r="AD895" s="52"/>
      <c r="AE895" s="339"/>
      <c r="AF895" s="52"/>
      <c r="AG895" s="52"/>
      <c r="AH895" s="52"/>
    </row>
    <row r="896" spans="21:34" ht="16" customHeight="1">
      <c r="U896" s="27"/>
      <c r="V896" s="10"/>
      <c r="W896" s="27"/>
      <c r="X896" s="10"/>
      <c r="Y896" s="10"/>
      <c r="Z896" s="10"/>
      <c r="AA896" s="61"/>
      <c r="AB896" s="140"/>
      <c r="AC896" s="71"/>
      <c r="AD896" s="52"/>
      <c r="AE896" s="339"/>
      <c r="AF896" s="52"/>
      <c r="AG896" s="52"/>
      <c r="AH896" s="52"/>
    </row>
    <row r="897" spans="21:34" ht="16" customHeight="1">
      <c r="U897" s="27"/>
      <c r="V897" s="10"/>
      <c r="W897" s="27"/>
      <c r="X897" s="10"/>
      <c r="Y897" s="10"/>
      <c r="Z897" s="10"/>
      <c r="AA897" s="61"/>
      <c r="AB897" s="140"/>
      <c r="AC897" s="71"/>
      <c r="AD897" s="52"/>
      <c r="AE897" s="339"/>
      <c r="AF897" s="52"/>
      <c r="AG897" s="52"/>
      <c r="AH897" s="52"/>
    </row>
    <row r="898" spans="21:34" ht="16" customHeight="1">
      <c r="U898" s="27"/>
      <c r="V898" s="10"/>
      <c r="W898" s="27"/>
      <c r="X898" s="10"/>
      <c r="Y898" s="10"/>
      <c r="Z898" s="10"/>
      <c r="AA898" s="61"/>
      <c r="AB898" s="140"/>
      <c r="AC898" s="71"/>
      <c r="AD898" s="52"/>
      <c r="AE898" s="339"/>
      <c r="AF898" s="52"/>
      <c r="AG898" s="52"/>
      <c r="AH898" s="52"/>
    </row>
    <row r="899" spans="21:34" ht="16" customHeight="1">
      <c r="U899" s="27"/>
      <c r="V899" s="10"/>
      <c r="W899" s="27"/>
      <c r="X899" s="10"/>
      <c r="Y899" s="10"/>
      <c r="Z899" s="10"/>
      <c r="AA899" s="61"/>
      <c r="AB899" s="140"/>
      <c r="AC899" s="71"/>
      <c r="AD899" s="52"/>
      <c r="AE899" s="339"/>
      <c r="AF899" s="52"/>
      <c r="AG899" s="52"/>
      <c r="AH899" s="52"/>
    </row>
    <row r="900" spans="21:34" ht="16" customHeight="1">
      <c r="U900" s="27"/>
      <c r="V900" s="10"/>
      <c r="W900" s="27"/>
      <c r="X900" s="10"/>
      <c r="Y900" s="10"/>
      <c r="Z900" s="10"/>
      <c r="AA900" s="61"/>
      <c r="AB900" s="140"/>
      <c r="AC900" s="71"/>
      <c r="AD900" s="52"/>
      <c r="AE900" s="339"/>
      <c r="AF900" s="52"/>
      <c r="AG900" s="52"/>
      <c r="AH900" s="52"/>
    </row>
    <row r="901" spans="21:34" ht="16" customHeight="1">
      <c r="U901" s="27"/>
      <c r="V901" s="10"/>
      <c r="W901" s="27"/>
      <c r="X901" s="10"/>
      <c r="Y901" s="10"/>
      <c r="Z901" s="10"/>
      <c r="AA901" s="61"/>
      <c r="AB901" s="140"/>
      <c r="AC901" s="71"/>
      <c r="AD901" s="52"/>
      <c r="AE901" s="339"/>
      <c r="AF901" s="52"/>
      <c r="AG901" s="52"/>
      <c r="AH901" s="52"/>
    </row>
    <row r="902" spans="21:34" ht="16" customHeight="1">
      <c r="U902" s="27"/>
      <c r="V902" s="10"/>
      <c r="W902" s="27"/>
      <c r="X902" s="10"/>
      <c r="Y902" s="10"/>
      <c r="Z902" s="10"/>
      <c r="AA902" s="61"/>
      <c r="AB902" s="140"/>
      <c r="AC902" s="71"/>
      <c r="AD902" s="52"/>
      <c r="AE902" s="339"/>
      <c r="AF902" s="52"/>
      <c r="AG902" s="52"/>
      <c r="AH902" s="52"/>
    </row>
    <row r="903" spans="21:34" ht="16" customHeight="1">
      <c r="U903" s="27"/>
      <c r="V903" s="10"/>
      <c r="W903" s="27"/>
      <c r="X903" s="10"/>
      <c r="Y903" s="10"/>
      <c r="Z903" s="10"/>
      <c r="AA903" s="61"/>
      <c r="AB903" s="140"/>
      <c r="AC903" s="71"/>
      <c r="AD903" s="52"/>
      <c r="AE903" s="339"/>
      <c r="AF903" s="52"/>
      <c r="AG903" s="52"/>
      <c r="AH903" s="52"/>
    </row>
    <row r="904" spans="21:34" ht="16" customHeight="1">
      <c r="U904" s="27"/>
      <c r="V904" s="10"/>
      <c r="W904" s="27"/>
      <c r="X904" s="10"/>
      <c r="Y904" s="10"/>
      <c r="Z904" s="10"/>
      <c r="AA904" s="61"/>
      <c r="AB904" s="140"/>
      <c r="AC904" s="71"/>
      <c r="AD904" s="52"/>
      <c r="AE904" s="339"/>
      <c r="AF904" s="52"/>
      <c r="AG904" s="52"/>
      <c r="AH904" s="52"/>
    </row>
    <row r="905" spans="21:34" ht="16" customHeight="1">
      <c r="U905" s="27"/>
      <c r="V905" s="10"/>
      <c r="W905" s="27"/>
      <c r="X905" s="10"/>
      <c r="Y905" s="10"/>
      <c r="Z905" s="10"/>
      <c r="AA905" s="61"/>
      <c r="AB905" s="140"/>
      <c r="AC905" s="71"/>
      <c r="AD905" s="52"/>
      <c r="AE905" s="339"/>
      <c r="AF905" s="52"/>
      <c r="AG905" s="52"/>
      <c r="AH905" s="52"/>
    </row>
    <row r="906" spans="21:34" ht="16" customHeight="1">
      <c r="U906" s="27"/>
      <c r="V906" s="10"/>
      <c r="W906" s="27"/>
      <c r="X906" s="10"/>
      <c r="Y906" s="10"/>
      <c r="Z906" s="10"/>
      <c r="AA906" s="61"/>
      <c r="AB906" s="140"/>
      <c r="AC906" s="71"/>
      <c r="AD906" s="52"/>
      <c r="AE906" s="339"/>
      <c r="AF906" s="52"/>
      <c r="AG906" s="52"/>
      <c r="AH906" s="52"/>
    </row>
    <row r="907" spans="21:34" ht="16" customHeight="1">
      <c r="U907" s="27"/>
      <c r="V907" s="10"/>
      <c r="W907" s="27"/>
      <c r="X907" s="10"/>
      <c r="Y907" s="10"/>
      <c r="Z907" s="10"/>
      <c r="AA907" s="61"/>
      <c r="AB907" s="140"/>
      <c r="AC907" s="71"/>
      <c r="AD907" s="52"/>
      <c r="AE907" s="339"/>
      <c r="AF907" s="52"/>
      <c r="AG907" s="52"/>
      <c r="AH907" s="52"/>
    </row>
    <row r="908" spans="21:34" ht="16" customHeight="1">
      <c r="U908" s="27"/>
      <c r="V908" s="10"/>
      <c r="W908" s="27"/>
      <c r="X908" s="10"/>
      <c r="Y908" s="10"/>
      <c r="Z908" s="10"/>
      <c r="AA908" s="61"/>
      <c r="AB908" s="140"/>
      <c r="AC908" s="71"/>
      <c r="AD908" s="52"/>
      <c r="AE908" s="339"/>
      <c r="AF908" s="52"/>
      <c r="AG908" s="52"/>
      <c r="AH908" s="52"/>
    </row>
    <row r="909" spans="21:34" ht="16" customHeight="1">
      <c r="U909" s="27"/>
      <c r="V909" s="10"/>
      <c r="W909" s="27"/>
      <c r="X909" s="10"/>
      <c r="Y909" s="10"/>
      <c r="Z909" s="10"/>
      <c r="AA909" s="61"/>
      <c r="AB909" s="140"/>
      <c r="AC909" s="71"/>
      <c r="AD909" s="52"/>
      <c r="AE909" s="339"/>
      <c r="AF909" s="52"/>
      <c r="AG909" s="52"/>
      <c r="AH909" s="52"/>
    </row>
    <row r="910" spans="21:34" ht="16" customHeight="1">
      <c r="U910" s="27"/>
      <c r="V910" s="10"/>
      <c r="W910" s="27"/>
      <c r="X910" s="10"/>
      <c r="Y910" s="10"/>
      <c r="Z910" s="10"/>
      <c r="AA910" s="61"/>
      <c r="AB910" s="140"/>
      <c r="AC910" s="71"/>
      <c r="AD910" s="52"/>
      <c r="AE910" s="339"/>
      <c r="AF910" s="52"/>
      <c r="AG910" s="52"/>
      <c r="AH910" s="52"/>
    </row>
    <row r="911" spans="21:34" ht="16" customHeight="1">
      <c r="U911" s="27"/>
      <c r="V911" s="10"/>
      <c r="W911" s="27"/>
      <c r="X911" s="10"/>
      <c r="Y911" s="10"/>
      <c r="Z911" s="10"/>
      <c r="AA911" s="61"/>
      <c r="AB911" s="140"/>
      <c r="AC911" s="71"/>
      <c r="AD911" s="52"/>
      <c r="AE911" s="339"/>
      <c r="AF911" s="52"/>
      <c r="AG911" s="52"/>
      <c r="AH911" s="52"/>
    </row>
    <row r="912" spans="21:34" ht="16" customHeight="1">
      <c r="U912" s="27"/>
      <c r="V912" s="10"/>
      <c r="W912" s="27"/>
      <c r="X912" s="10"/>
      <c r="Y912" s="10"/>
      <c r="Z912" s="10"/>
      <c r="AA912" s="61"/>
      <c r="AB912" s="140"/>
      <c r="AC912" s="71"/>
      <c r="AD912" s="52"/>
      <c r="AE912" s="339"/>
      <c r="AF912" s="52"/>
      <c r="AG912" s="52"/>
      <c r="AH912" s="52"/>
    </row>
    <row r="913" spans="21:34" ht="16" customHeight="1">
      <c r="U913" s="27"/>
      <c r="V913" s="10"/>
      <c r="W913" s="27"/>
      <c r="X913" s="10"/>
      <c r="Y913" s="10"/>
      <c r="Z913" s="10"/>
      <c r="AA913" s="61"/>
      <c r="AB913" s="140"/>
      <c r="AC913" s="71"/>
      <c r="AD913" s="52"/>
      <c r="AE913" s="339"/>
      <c r="AF913" s="52"/>
      <c r="AG913" s="52"/>
      <c r="AH913" s="52"/>
    </row>
    <row r="914" spans="21:34" ht="16" customHeight="1">
      <c r="U914" s="27"/>
      <c r="V914" s="10"/>
      <c r="W914" s="27"/>
      <c r="X914" s="10"/>
      <c r="Y914" s="10"/>
      <c r="Z914" s="10"/>
      <c r="AA914" s="61"/>
      <c r="AB914" s="140"/>
      <c r="AC914" s="71"/>
      <c r="AD914" s="52"/>
      <c r="AE914" s="339"/>
      <c r="AF914" s="52"/>
      <c r="AG914" s="52"/>
      <c r="AH914" s="52"/>
    </row>
    <row r="915" spans="21:34" ht="16" customHeight="1">
      <c r="U915" s="27"/>
      <c r="V915" s="10"/>
      <c r="W915" s="27"/>
      <c r="X915" s="10"/>
      <c r="Y915" s="10"/>
      <c r="Z915" s="10"/>
      <c r="AA915" s="61"/>
      <c r="AB915" s="140"/>
      <c r="AC915" s="71"/>
      <c r="AD915" s="52"/>
      <c r="AE915" s="339"/>
      <c r="AF915" s="52"/>
      <c r="AG915" s="52"/>
      <c r="AH915" s="52"/>
    </row>
    <row r="916" spans="21:34" ht="16" customHeight="1">
      <c r="U916" s="27"/>
      <c r="V916" s="10"/>
      <c r="W916" s="27"/>
      <c r="X916" s="10"/>
      <c r="Y916" s="10"/>
      <c r="Z916" s="10"/>
      <c r="AA916" s="61"/>
      <c r="AB916" s="140"/>
      <c r="AC916" s="71"/>
      <c r="AD916" s="52"/>
      <c r="AE916" s="339"/>
      <c r="AF916" s="52"/>
      <c r="AG916" s="52"/>
      <c r="AH916" s="52"/>
    </row>
    <row r="917" spans="21:34" ht="16" customHeight="1">
      <c r="U917" s="27"/>
      <c r="V917" s="10"/>
      <c r="W917" s="27"/>
      <c r="X917" s="10"/>
      <c r="Y917" s="10"/>
      <c r="Z917" s="10"/>
      <c r="AA917" s="61"/>
      <c r="AB917" s="140"/>
      <c r="AC917" s="71"/>
      <c r="AD917" s="52"/>
      <c r="AE917" s="339"/>
      <c r="AF917" s="52"/>
      <c r="AG917" s="52"/>
      <c r="AH917" s="52"/>
    </row>
    <row r="918" spans="21:34" ht="16" customHeight="1">
      <c r="U918" s="27"/>
      <c r="V918" s="10"/>
      <c r="W918" s="27"/>
      <c r="X918" s="10"/>
      <c r="Y918" s="10"/>
      <c r="Z918" s="10"/>
      <c r="AA918" s="61"/>
      <c r="AB918" s="140"/>
      <c r="AC918" s="71"/>
      <c r="AD918" s="52"/>
      <c r="AE918" s="339"/>
      <c r="AF918" s="52"/>
      <c r="AG918" s="52"/>
      <c r="AH918" s="52"/>
    </row>
    <row r="919" spans="21:34" ht="16" customHeight="1">
      <c r="U919" s="27"/>
      <c r="V919" s="10"/>
      <c r="W919" s="27"/>
      <c r="X919" s="10"/>
      <c r="Y919" s="10"/>
      <c r="Z919" s="10"/>
      <c r="AA919" s="61"/>
      <c r="AB919" s="140"/>
      <c r="AC919" s="71"/>
      <c r="AD919" s="52"/>
      <c r="AE919" s="339"/>
      <c r="AF919" s="52"/>
      <c r="AG919" s="52"/>
      <c r="AH919" s="52"/>
    </row>
    <row r="920" spans="21:34" ht="16" customHeight="1">
      <c r="U920" s="27"/>
      <c r="V920" s="10"/>
      <c r="W920" s="27"/>
      <c r="X920" s="10"/>
      <c r="Y920" s="10"/>
      <c r="Z920" s="10"/>
      <c r="AA920" s="61"/>
      <c r="AB920" s="140"/>
      <c r="AC920" s="71"/>
      <c r="AD920" s="52"/>
      <c r="AE920" s="339"/>
      <c r="AF920" s="52"/>
      <c r="AG920" s="52"/>
      <c r="AH920" s="52"/>
    </row>
    <row r="921" spans="21:34" ht="16" customHeight="1">
      <c r="U921" s="27"/>
      <c r="V921" s="10"/>
      <c r="W921" s="27"/>
      <c r="X921" s="10"/>
      <c r="Y921" s="10"/>
      <c r="Z921" s="10"/>
      <c r="AA921" s="61"/>
      <c r="AB921" s="140"/>
      <c r="AC921" s="71"/>
      <c r="AD921" s="52"/>
      <c r="AE921" s="339"/>
      <c r="AF921" s="52"/>
      <c r="AG921" s="52"/>
      <c r="AH921" s="52"/>
    </row>
    <row r="922" spans="21:34" ht="16" customHeight="1">
      <c r="U922" s="27"/>
      <c r="V922" s="10"/>
      <c r="W922" s="27"/>
      <c r="X922" s="10"/>
      <c r="Y922" s="10"/>
      <c r="Z922" s="10"/>
      <c r="AA922" s="61"/>
      <c r="AB922" s="140"/>
      <c r="AC922" s="71"/>
      <c r="AD922" s="52"/>
      <c r="AE922" s="339"/>
      <c r="AF922" s="52"/>
      <c r="AG922" s="52"/>
      <c r="AH922" s="52"/>
    </row>
    <row r="923" spans="21:34" ht="16" customHeight="1">
      <c r="U923" s="27"/>
      <c r="V923" s="10"/>
      <c r="W923" s="27"/>
      <c r="X923" s="10"/>
      <c r="Y923" s="10"/>
      <c r="Z923" s="10"/>
      <c r="AA923" s="61"/>
      <c r="AB923" s="140"/>
      <c r="AC923" s="71"/>
      <c r="AD923" s="52"/>
      <c r="AE923" s="339"/>
      <c r="AF923" s="52"/>
      <c r="AG923" s="52"/>
      <c r="AH923" s="52"/>
    </row>
    <row r="924" spans="21:34" ht="16" customHeight="1">
      <c r="U924" s="27"/>
      <c r="V924" s="10"/>
      <c r="W924" s="27"/>
      <c r="X924" s="10"/>
      <c r="Y924" s="10"/>
      <c r="Z924" s="10"/>
      <c r="AA924" s="61"/>
      <c r="AB924" s="140"/>
      <c r="AC924" s="71"/>
      <c r="AD924" s="52"/>
      <c r="AE924" s="339"/>
      <c r="AF924" s="52"/>
      <c r="AG924" s="52"/>
      <c r="AH924" s="52"/>
    </row>
    <row r="925" spans="21:34" ht="16" customHeight="1">
      <c r="U925" s="27"/>
      <c r="V925" s="10"/>
      <c r="W925" s="27"/>
      <c r="X925" s="10"/>
      <c r="Y925" s="10"/>
      <c r="Z925" s="10"/>
      <c r="AA925" s="61"/>
      <c r="AB925" s="140"/>
      <c r="AC925" s="71"/>
      <c r="AD925" s="52"/>
      <c r="AE925" s="339"/>
      <c r="AF925" s="52"/>
      <c r="AG925" s="52"/>
      <c r="AH925" s="52"/>
    </row>
    <row r="926" spans="21:34" ht="16" customHeight="1">
      <c r="U926" s="27"/>
      <c r="V926" s="10"/>
      <c r="W926" s="27"/>
      <c r="X926" s="10"/>
      <c r="Y926" s="10"/>
      <c r="Z926" s="10"/>
      <c r="AA926" s="61"/>
      <c r="AB926" s="140"/>
      <c r="AC926" s="71"/>
      <c r="AD926" s="52"/>
      <c r="AE926" s="339"/>
      <c r="AF926" s="52"/>
      <c r="AG926" s="52"/>
      <c r="AH926" s="52"/>
    </row>
    <row r="927" spans="21:34" ht="16" customHeight="1">
      <c r="U927" s="27"/>
      <c r="V927" s="10"/>
      <c r="W927" s="27"/>
      <c r="X927" s="10"/>
      <c r="Y927" s="10"/>
      <c r="Z927" s="10"/>
      <c r="AA927" s="61"/>
      <c r="AB927" s="140"/>
      <c r="AC927" s="71"/>
      <c r="AD927" s="52"/>
      <c r="AE927" s="339"/>
      <c r="AF927" s="52"/>
      <c r="AG927" s="52"/>
      <c r="AH927" s="52"/>
    </row>
    <row r="928" spans="21:34" ht="16" customHeight="1">
      <c r="U928" s="27"/>
      <c r="V928" s="10"/>
      <c r="W928" s="27"/>
      <c r="X928" s="10"/>
      <c r="Y928" s="10"/>
      <c r="Z928" s="10"/>
      <c r="AA928" s="61"/>
      <c r="AB928" s="140"/>
      <c r="AC928" s="71"/>
      <c r="AD928" s="52"/>
      <c r="AE928" s="339"/>
      <c r="AF928" s="52"/>
      <c r="AG928" s="52"/>
      <c r="AH928" s="52"/>
    </row>
    <row r="929" spans="21:34" ht="16" customHeight="1">
      <c r="U929" s="27"/>
      <c r="V929" s="10"/>
      <c r="W929" s="27"/>
      <c r="X929" s="10"/>
      <c r="Y929" s="10"/>
      <c r="Z929" s="10"/>
      <c r="AA929" s="61"/>
      <c r="AB929" s="140"/>
      <c r="AC929" s="71"/>
      <c r="AD929" s="52"/>
      <c r="AE929" s="339"/>
      <c r="AF929" s="52"/>
      <c r="AG929" s="52"/>
      <c r="AH929" s="52"/>
    </row>
    <row r="930" spans="21:34" ht="16" customHeight="1">
      <c r="U930" s="27"/>
      <c r="V930" s="10"/>
      <c r="W930" s="27"/>
      <c r="X930" s="10"/>
      <c r="Y930" s="10"/>
      <c r="Z930" s="10"/>
      <c r="AA930" s="61"/>
      <c r="AB930" s="140"/>
      <c r="AC930" s="71"/>
      <c r="AD930" s="52"/>
      <c r="AE930" s="339"/>
      <c r="AF930" s="52"/>
      <c r="AG930" s="52"/>
      <c r="AH930" s="52"/>
    </row>
    <row r="931" spans="21:34" ht="16" customHeight="1">
      <c r="U931" s="27"/>
      <c r="V931" s="10"/>
      <c r="W931" s="27"/>
      <c r="X931" s="10"/>
      <c r="Y931" s="10"/>
      <c r="Z931" s="10"/>
      <c r="AA931" s="61"/>
      <c r="AB931" s="140"/>
      <c r="AC931" s="71"/>
      <c r="AD931" s="52"/>
      <c r="AE931" s="339"/>
      <c r="AF931" s="52"/>
      <c r="AG931" s="52"/>
      <c r="AH931" s="52"/>
    </row>
    <row r="932" spans="21:34" ht="16" customHeight="1">
      <c r="U932" s="27"/>
      <c r="V932" s="10"/>
      <c r="W932" s="27"/>
      <c r="X932" s="10"/>
      <c r="Y932" s="10"/>
      <c r="Z932" s="10"/>
      <c r="AA932" s="61"/>
      <c r="AB932" s="140"/>
      <c r="AC932" s="71"/>
      <c r="AD932" s="52"/>
      <c r="AE932" s="339"/>
      <c r="AF932" s="52"/>
      <c r="AG932" s="52"/>
      <c r="AH932" s="52"/>
    </row>
    <row r="933" spans="21:34" ht="16" customHeight="1">
      <c r="U933" s="27"/>
      <c r="V933" s="10"/>
      <c r="W933" s="27"/>
      <c r="X933" s="10"/>
      <c r="Y933" s="10"/>
      <c r="Z933" s="10"/>
      <c r="AA933" s="61"/>
      <c r="AB933" s="140"/>
      <c r="AC933" s="71"/>
      <c r="AD933" s="52"/>
      <c r="AE933" s="339"/>
      <c r="AF933" s="52"/>
      <c r="AG933" s="52"/>
      <c r="AH933" s="52"/>
    </row>
    <row r="934" spans="21:34" ht="16" customHeight="1">
      <c r="U934" s="27"/>
      <c r="V934" s="10"/>
      <c r="W934" s="27"/>
      <c r="X934" s="10"/>
      <c r="Y934" s="10"/>
      <c r="Z934" s="10"/>
      <c r="AA934" s="61"/>
      <c r="AB934" s="140"/>
      <c r="AC934" s="71"/>
      <c r="AD934" s="52"/>
      <c r="AE934" s="339"/>
      <c r="AF934" s="52"/>
      <c r="AG934" s="52"/>
      <c r="AH934" s="52"/>
    </row>
    <row r="935" spans="21:34" ht="16" customHeight="1">
      <c r="U935" s="27"/>
      <c r="V935" s="10"/>
      <c r="W935" s="27"/>
      <c r="X935" s="10"/>
      <c r="Y935" s="10"/>
      <c r="Z935" s="10"/>
      <c r="AA935" s="61"/>
      <c r="AB935" s="140"/>
      <c r="AC935" s="71"/>
      <c r="AD935" s="52"/>
      <c r="AE935" s="339"/>
      <c r="AF935" s="52"/>
      <c r="AG935" s="52"/>
      <c r="AH935" s="52"/>
    </row>
    <row r="936" spans="21:34" ht="16" customHeight="1">
      <c r="U936" s="27"/>
      <c r="V936" s="10"/>
      <c r="W936" s="27"/>
      <c r="X936" s="10"/>
      <c r="Y936" s="10"/>
      <c r="Z936" s="10"/>
      <c r="AA936" s="61"/>
      <c r="AB936" s="140"/>
      <c r="AC936" s="71"/>
      <c r="AD936" s="52"/>
      <c r="AE936" s="339"/>
      <c r="AF936" s="52"/>
      <c r="AG936" s="52"/>
      <c r="AH936" s="52"/>
    </row>
    <row r="937" spans="21:34" ht="16" customHeight="1">
      <c r="U937" s="27"/>
      <c r="V937" s="10"/>
      <c r="W937" s="27"/>
      <c r="X937" s="10"/>
      <c r="Y937" s="10"/>
      <c r="Z937" s="10"/>
      <c r="AA937" s="61"/>
      <c r="AB937" s="140"/>
      <c r="AC937" s="71"/>
      <c r="AD937" s="52"/>
      <c r="AE937" s="339"/>
      <c r="AF937" s="52"/>
      <c r="AG937" s="52"/>
      <c r="AH937" s="52"/>
    </row>
    <row r="938" spans="21:34" ht="16" customHeight="1">
      <c r="U938" s="27"/>
      <c r="V938" s="10"/>
      <c r="W938" s="27"/>
      <c r="X938" s="10"/>
      <c r="Y938" s="10"/>
      <c r="Z938" s="10"/>
      <c r="AA938" s="61"/>
      <c r="AB938" s="140"/>
      <c r="AC938" s="71"/>
      <c r="AD938" s="52"/>
      <c r="AE938" s="339"/>
      <c r="AF938" s="52"/>
      <c r="AG938" s="52"/>
      <c r="AH938" s="52"/>
    </row>
    <row r="939" spans="21:34" ht="16" customHeight="1">
      <c r="U939" s="27"/>
      <c r="V939" s="10"/>
      <c r="W939" s="27"/>
      <c r="X939" s="10"/>
      <c r="Y939" s="10"/>
      <c r="Z939" s="10"/>
      <c r="AA939" s="61"/>
      <c r="AB939" s="140"/>
      <c r="AC939" s="71"/>
      <c r="AD939" s="52"/>
      <c r="AE939" s="339"/>
      <c r="AF939" s="52"/>
      <c r="AG939" s="52"/>
      <c r="AH939" s="52"/>
    </row>
    <row r="940" spans="21:34" ht="16" customHeight="1">
      <c r="U940" s="27"/>
      <c r="V940" s="10"/>
      <c r="W940" s="27"/>
      <c r="X940" s="10"/>
      <c r="Y940" s="10"/>
      <c r="Z940" s="10"/>
      <c r="AA940" s="61"/>
      <c r="AB940" s="140"/>
      <c r="AC940" s="71"/>
      <c r="AD940" s="52"/>
      <c r="AE940" s="339"/>
      <c r="AF940" s="52"/>
      <c r="AG940" s="52"/>
      <c r="AH940" s="52"/>
    </row>
    <row r="941" spans="21:34" ht="16" customHeight="1">
      <c r="U941" s="27"/>
      <c r="V941" s="10"/>
      <c r="W941" s="27"/>
      <c r="X941" s="10"/>
      <c r="Y941" s="10"/>
      <c r="Z941" s="10"/>
      <c r="AA941" s="61"/>
      <c r="AB941" s="140"/>
      <c r="AC941" s="71"/>
      <c r="AD941" s="52"/>
      <c r="AE941" s="339"/>
      <c r="AF941" s="52"/>
      <c r="AG941" s="52"/>
      <c r="AH941" s="52"/>
    </row>
    <row r="942" spans="21:34" ht="16" customHeight="1">
      <c r="U942" s="27"/>
      <c r="V942" s="10"/>
      <c r="W942" s="27"/>
      <c r="X942" s="10"/>
      <c r="Y942" s="10"/>
      <c r="Z942" s="10"/>
      <c r="AA942" s="61"/>
      <c r="AB942" s="140"/>
      <c r="AC942" s="71"/>
      <c r="AD942" s="52"/>
      <c r="AE942" s="339"/>
      <c r="AF942" s="52"/>
      <c r="AG942" s="52"/>
      <c r="AH942" s="52"/>
    </row>
    <row r="943" spans="21:34" ht="16" customHeight="1">
      <c r="U943" s="27"/>
      <c r="V943" s="10"/>
      <c r="W943" s="27"/>
      <c r="X943" s="10"/>
      <c r="Y943" s="10"/>
      <c r="Z943" s="10"/>
      <c r="AA943" s="61"/>
      <c r="AB943" s="140"/>
      <c r="AC943" s="71"/>
      <c r="AD943" s="52"/>
      <c r="AE943" s="339"/>
      <c r="AF943" s="52"/>
      <c r="AG943" s="52"/>
      <c r="AH943" s="52"/>
    </row>
    <row r="944" spans="21:34" ht="16" customHeight="1">
      <c r="U944" s="27"/>
      <c r="V944" s="10"/>
      <c r="W944" s="27"/>
      <c r="X944" s="10"/>
      <c r="Y944" s="10"/>
      <c r="Z944" s="10"/>
      <c r="AA944" s="61"/>
      <c r="AB944" s="140"/>
      <c r="AC944" s="71"/>
      <c r="AD944" s="52"/>
      <c r="AE944" s="339"/>
      <c r="AF944" s="52"/>
      <c r="AG944" s="52"/>
      <c r="AH944" s="52"/>
    </row>
    <row r="945" spans="7:34" ht="16" customHeight="1">
      <c r="U945" s="27"/>
      <c r="V945" s="10"/>
      <c r="W945" s="27"/>
      <c r="X945" s="10"/>
      <c r="Y945" s="10"/>
      <c r="Z945" s="10"/>
      <c r="AA945" s="61"/>
      <c r="AB945" s="140"/>
      <c r="AC945" s="71"/>
      <c r="AD945" s="52"/>
      <c r="AE945" s="339"/>
      <c r="AF945" s="52"/>
      <c r="AG945" s="52"/>
      <c r="AH945" s="52"/>
    </row>
    <row r="946" spans="7:34" ht="16" customHeight="1">
      <c r="G946" s="52"/>
      <c r="H946" s="71"/>
      <c r="I946" s="71"/>
      <c r="J946" s="118"/>
      <c r="K946" s="118"/>
      <c r="L946" s="52"/>
      <c r="M946" s="71"/>
      <c r="N946" s="71"/>
      <c r="O946" s="71"/>
      <c r="P946" s="71"/>
      <c r="Q946" s="118"/>
      <c r="R946" s="71"/>
      <c r="S946" s="71"/>
      <c r="T946" s="71"/>
      <c r="U946" s="27"/>
      <c r="V946" s="10"/>
      <c r="W946" s="27"/>
      <c r="X946" s="10"/>
      <c r="Y946" s="10"/>
      <c r="Z946" s="10"/>
      <c r="AA946" s="61"/>
      <c r="AB946" s="140"/>
      <c r="AC946" s="71"/>
      <c r="AD946" s="52"/>
      <c r="AE946" s="339"/>
      <c r="AF946" s="52"/>
      <c r="AG946" s="52"/>
      <c r="AH946" s="52"/>
    </row>
    <row r="947" spans="7:34" ht="16" customHeight="1">
      <c r="G947" s="52"/>
      <c r="H947" s="71"/>
      <c r="I947" s="71"/>
      <c r="J947" s="118"/>
      <c r="K947" s="118"/>
      <c r="L947" s="52"/>
      <c r="M947" s="71"/>
      <c r="N947" s="71"/>
      <c r="O947" s="71"/>
      <c r="P947" s="71"/>
      <c r="Q947" s="118"/>
      <c r="R947" s="71"/>
      <c r="S947" s="71"/>
      <c r="T947" s="71"/>
      <c r="U947" s="27"/>
      <c r="V947" s="10"/>
      <c r="W947" s="27"/>
      <c r="X947" s="10"/>
      <c r="Y947" s="10"/>
      <c r="Z947" s="10"/>
      <c r="AA947" s="61"/>
      <c r="AB947" s="140"/>
      <c r="AC947" s="71"/>
      <c r="AD947" s="52"/>
      <c r="AE947" s="339"/>
      <c r="AF947" s="52"/>
      <c r="AG947" s="52"/>
      <c r="AH947" s="52"/>
    </row>
    <row r="948" spans="7:34" ht="16" customHeight="1">
      <c r="G948" s="52"/>
      <c r="H948" s="71"/>
      <c r="I948" s="71"/>
      <c r="J948" s="118"/>
      <c r="K948" s="118"/>
      <c r="L948" s="52"/>
      <c r="M948" s="71"/>
      <c r="N948" s="71"/>
      <c r="O948" s="71"/>
      <c r="P948" s="71"/>
      <c r="Q948" s="118"/>
      <c r="R948" s="71"/>
      <c r="S948" s="71"/>
      <c r="T948" s="71"/>
      <c r="U948" s="27"/>
      <c r="V948" s="10"/>
      <c r="W948" s="27"/>
      <c r="X948" s="10"/>
      <c r="Y948" s="10"/>
      <c r="Z948" s="10"/>
      <c r="AA948" s="61"/>
      <c r="AB948" s="140"/>
      <c r="AC948" s="71"/>
      <c r="AD948" s="52"/>
      <c r="AE948" s="339"/>
      <c r="AF948" s="52"/>
      <c r="AG948" s="52"/>
      <c r="AH948" s="52"/>
    </row>
    <row r="949" spans="7:34" ht="16" customHeight="1">
      <c r="G949" s="52"/>
      <c r="H949" s="71"/>
      <c r="I949" s="71"/>
      <c r="J949" s="118"/>
      <c r="K949" s="118"/>
      <c r="L949" s="52"/>
      <c r="M949" s="71"/>
      <c r="N949" s="71"/>
      <c r="O949" s="71"/>
      <c r="P949" s="71"/>
      <c r="Q949" s="118"/>
      <c r="R949" s="71"/>
      <c r="S949" s="71"/>
      <c r="T949" s="71"/>
      <c r="U949" s="27"/>
      <c r="V949" s="10"/>
      <c r="W949" s="27"/>
      <c r="X949" s="10"/>
      <c r="Y949" s="10"/>
      <c r="Z949" s="10"/>
      <c r="AA949" s="61"/>
      <c r="AB949" s="140"/>
      <c r="AC949" s="71"/>
      <c r="AD949" s="52"/>
      <c r="AE949" s="339"/>
      <c r="AF949" s="52"/>
      <c r="AG949" s="52"/>
      <c r="AH949" s="52"/>
    </row>
    <row r="950" spans="7:34" ht="16" customHeight="1">
      <c r="G950" s="52"/>
      <c r="H950" s="71"/>
      <c r="I950" s="71"/>
      <c r="J950" s="118"/>
      <c r="K950" s="118"/>
      <c r="L950" s="52"/>
      <c r="M950" s="71"/>
      <c r="N950" s="71"/>
      <c r="O950" s="71"/>
      <c r="P950" s="71"/>
      <c r="Q950" s="118"/>
      <c r="R950" s="71"/>
      <c r="S950" s="71"/>
      <c r="T950" s="71"/>
      <c r="U950" s="27"/>
      <c r="V950" s="10"/>
      <c r="W950" s="27"/>
      <c r="X950" s="10"/>
      <c r="Y950" s="10"/>
      <c r="Z950" s="10"/>
      <c r="AA950" s="61"/>
      <c r="AB950" s="140"/>
      <c r="AC950" s="71"/>
      <c r="AD950" s="52"/>
      <c r="AE950" s="339"/>
      <c r="AF950" s="52"/>
      <c r="AG950" s="52"/>
      <c r="AH950" s="52"/>
    </row>
    <row r="951" spans="7:34" ht="16" customHeight="1">
      <c r="G951" s="52"/>
      <c r="H951" s="71"/>
      <c r="I951" s="71"/>
      <c r="J951" s="118"/>
      <c r="K951" s="118"/>
      <c r="L951" s="52"/>
      <c r="M951" s="71"/>
      <c r="N951" s="71"/>
      <c r="O951" s="71"/>
      <c r="P951" s="71"/>
      <c r="Q951" s="118"/>
      <c r="R951" s="71"/>
      <c r="S951" s="71"/>
      <c r="T951" s="71"/>
      <c r="U951" s="27"/>
      <c r="V951" s="10"/>
      <c r="W951" s="27"/>
      <c r="X951" s="10"/>
      <c r="Y951" s="10"/>
      <c r="Z951" s="10"/>
      <c r="AA951" s="61"/>
      <c r="AB951" s="140"/>
      <c r="AC951" s="71"/>
      <c r="AD951" s="52"/>
      <c r="AE951" s="339"/>
      <c r="AF951" s="52"/>
      <c r="AG951" s="52"/>
      <c r="AH951" s="52"/>
    </row>
    <row r="952" spans="7:34" ht="16" customHeight="1">
      <c r="G952" s="52"/>
      <c r="H952" s="71"/>
      <c r="I952" s="71"/>
      <c r="J952" s="118"/>
      <c r="K952" s="118"/>
      <c r="L952" s="52"/>
      <c r="M952" s="71"/>
      <c r="N952" s="71"/>
      <c r="O952" s="71"/>
      <c r="P952" s="71"/>
      <c r="Q952" s="118"/>
      <c r="R952" s="71"/>
      <c r="S952" s="71"/>
      <c r="T952" s="71"/>
      <c r="U952" s="27"/>
      <c r="V952" s="10"/>
      <c r="W952" s="27"/>
      <c r="X952" s="10"/>
      <c r="Y952" s="10"/>
      <c r="Z952" s="10"/>
      <c r="AA952" s="61"/>
      <c r="AB952" s="140"/>
      <c r="AC952" s="71"/>
      <c r="AD952" s="52"/>
      <c r="AE952" s="339"/>
      <c r="AF952" s="52"/>
      <c r="AG952" s="52"/>
      <c r="AH952" s="52"/>
    </row>
    <row r="953" spans="7:34" ht="16" customHeight="1">
      <c r="G953" s="52"/>
      <c r="H953" s="71"/>
      <c r="I953" s="71"/>
      <c r="J953" s="118"/>
      <c r="K953" s="118"/>
      <c r="L953" s="52"/>
      <c r="M953" s="71"/>
      <c r="N953" s="71"/>
      <c r="O953" s="71"/>
      <c r="P953" s="71"/>
      <c r="Q953" s="118"/>
      <c r="R953" s="71"/>
      <c r="S953" s="71"/>
      <c r="T953" s="71"/>
      <c r="U953" s="27"/>
      <c r="V953" s="10"/>
      <c r="W953" s="27"/>
      <c r="X953" s="10"/>
      <c r="Y953" s="10"/>
      <c r="Z953" s="10"/>
      <c r="AA953" s="61"/>
      <c r="AB953" s="140"/>
      <c r="AC953" s="71"/>
      <c r="AD953" s="52"/>
      <c r="AE953" s="339"/>
      <c r="AF953" s="52"/>
      <c r="AG953" s="52"/>
      <c r="AH953" s="52"/>
    </row>
    <row r="954" spans="7:34" ht="16" customHeight="1">
      <c r="G954" s="52"/>
      <c r="H954" s="71"/>
      <c r="I954" s="71"/>
      <c r="J954" s="118"/>
      <c r="K954" s="118"/>
      <c r="L954" s="52"/>
      <c r="M954" s="71"/>
      <c r="N954" s="71"/>
      <c r="O954" s="71"/>
      <c r="P954" s="71"/>
      <c r="Q954" s="118"/>
      <c r="R954" s="71"/>
      <c r="S954" s="71"/>
      <c r="T954" s="71"/>
      <c r="U954" s="27"/>
      <c r="V954" s="10"/>
      <c r="W954" s="27"/>
      <c r="X954" s="10"/>
      <c r="Y954" s="10"/>
      <c r="Z954" s="10"/>
      <c r="AA954" s="61"/>
      <c r="AB954" s="140"/>
      <c r="AC954" s="71"/>
      <c r="AD954" s="52"/>
      <c r="AE954" s="339"/>
      <c r="AF954" s="52"/>
      <c r="AG954" s="52"/>
      <c r="AH954" s="52"/>
    </row>
    <row r="955" spans="7:34" ht="16" customHeight="1">
      <c r="G955" s="52"/>
      <c r="H955" s="71"/>
      <c r="I955" s="71"/>
      <c r="J955" s="118"/>
      <c r="K955" s="118"/>
      <c r="L955" s="52"/>
      <c r="M955" s="71"/>
      <c r="N955" s="71"/>
      <c r="O955" s="71"/>
      <c r="P955" s="71"/>
      <c r="Q955" s="118"/>
      <c r="R955" s="71"/>
      <c r="S955" s="71"/>
      <c r="T955" s="71"/>
      <c r="U955" s="27"/>
      <c r="V955" s="10"/>
      <c r="W955" s="27"/>
      <c r="X955" s="10"/>
      <c r="Y955" s="10"/>
      <c r="Z955" s="10"/>
      <c r="AA955" s="61"/>
      <c r="AB955" s="140"/>
      <c r="AC955" s="71"/>
      <c r="AD955" s="52"/>
      <c r="AE955" s="339"/>
      <c r="AF955" s="52"/>
      <c r="AG955" s="52"/>
      <c r="AH955" s="52"/>
    </row>
    <row r="956" spans="7:34" ht="16" customHeight="1">
      <c r="G956" s="52"/>
      <c r="H956" s="71"/>
      <c r="I956" s="71"/>
      <c r="J956" s="118"/>
      <c r="K956" s="118"/>
      <c r="L956" s="52"/>
      <c r="M956" s="71"/>
      <c r="N956" s="71"/>
      <c r="O956" s="71"/>
      <c r="P956" s="71"/>
      <c r="Q956" s="118"/>
      <c r="R956" s="71"/>
      <c r="S956" s="71"/>
      <c r="T956" s="71"/>
      <c r="U956" s="27"/>
      <c r="V956" s="10"/>
      <c r="W956" s="27"/>
      <c r="X956" s="10"/>
      <c r="Y956" s="10"/>
      <c r="Z956" s="10"/>
      <c r="AA956" s="61"/>
      <c r="AB956" s="140"/>
      <c r="AC956" s="71"/>
      <c r="AD956" s="52"/>
      <c r="AE956" s="339"/>
      <c r="AF956" s="52"/>
      <c r="AG956" s="52"/>
      <c r="AH956" s="52"/>
    </row>
    <row r="957" spans="7:34" ht="16" customHeight="1">
      <c r="G957" s="52"/>
      <c r="H957" s="71"/>
      <c r="I957" s="71"/>
      <c r="J957" s="118"/>
      <c r="K957" s="118"/>
      <c r="L957" s="52"/>
      <c r="M957" s="71"/>
      <c r="N957" s="71"/>
      <c r="O957" s="71"/>
      <c r="P957" s="71"/>
      <c r="Q957" s="118"/>
      <c r="R957" s="71"/>
      <c r="S957" s="71"/>
      <c r="T957" s="71"/>
      <c r="U957" s="27"/>
      <c r="V957" s="10"/>
      <c r="W957" s="27"/>
      <c r="X957" s="10"/>
      <c r="Y957" s="10"/>
      <c r="Z957" s="10"/>
      <c r="AA957" s="61"/>
      <c r="AB957" s="140"/>
      <c r="AC957" s="71"/>
      <c r="AD957" s="52"/>
      <c r="AE957" s="339"/>
      <c r="AF957" s="52"/>
      <c r="AG957" s="52"/>
      <c r="AH957" s="52"/>
    </row>
    <row r="958" spans="7:34" ht="16" customHeight="1">
      <c r="G958" s="52"/>
      <c r="H958" s="71"/>
      <c r="I958" s="71"/>
      <c r="J958" s="118"/>
      <c r="K958" s="118"/>
      <c r="L958" s="52"/>
      <c r="M958" s="71"/>
      <c r="N958" s="71"/>
      <c r="O958" s="71"/>
      <c r="P958" s="71"/>
      <c r="Q958" s="118"/>
      <c r="R958" s="71"/>
      <c r="S958" s="71"/>
      <c r="T958" s="71"/>
      <c r="U958" s="27"/>
      <c r="V958" s="10"/>
      <c r="W958" s="27"/>
      <c r="X958" s="10"/>
      <c r="Y958" s="10"/>
      <c r="Z958" s="10"/>
      <c r="AA958" s="61"/>
      <c r="AB958" s="140"/>
      <c r="AC958" s="71"/>
      <c r="AD958" s="52"/>
      <c r="AE958" s="339"/>
      <c r="AF958" s="52"/>
      <c r="AG958" s="52"/>
      <c r="AH958" s="52"/>
    </row>
    <row r="959" spans="7:34" ht="16" customHeight="1">
      <c r="G959" s="52"/>
      <c r="H959" s="71"/>
      <c r="I959" s="71"/>
      <c r="J959" s="118"/>
      <c r="K959" s="118"/>
      <c r="L959" s="52"/>
      <c r="M959" s="71"/>
      <c r="N959" s="71"/>
      <c r="O959" s="71"/>
      <c r="P959" s="71"/>
      <c r="Q959" s="118"/>
      <c r="R959" s="71"/>
      <c r="S959" s="71"/>
      <c r="T959" s="71"/>
      <c r="U959" s="27"/>
      <c r="V959" s="10"/>
      <c r="W959" s="27"/>
      <c r="X959" s="10"/>
      <c r="Y959" s="10"/>
      <c r="Z959" s="10"/>
      <c r="AA959" s="61"/>
      <c r="AB959" s="140"/>
      <c r="AC959" s="71"/>
      <c r="AD959" s="52"/>
      <c r="AE959" s="339"/>
      <c r="AF959" s="52"/>
      <c r="AG959" s="52"/>
      <c r="AH959" s="52"/>
    </row>
    <row r="960" spans="7:34" ht="16" customHeight="1">
      <c r="G960" s="52"/>
      <c r="H960" s="71"/>
      <c r="I960" s="71"/>
      <c r="J960" s="118"/>
      <c r="K960" s="118"/>
      <c r="L960" s="52"/>
      <c r="M960" s="71"/>
      <c r="N960" s="71"/>
      <c r="O960" s="71"/>
      <c r="P960" s="71"/>
      <c r="Q960" s="118"/>
      <c r="R960" s="71"/>
      <c r="S960" s="71"/>
      <c r="T960" s="71"/>
      <c r="U960" s="27"/>
      <c r="V960" s="10"/>
      <c r="W960" s="27"/>
      <c r="X960" s="10"/>
      <c r="Y960" s="10"/>
      <c r="Z960" s="10"/>
      <c r="AA960" s="61"/>
      <c r="AB960" s="140"/>
      <c r="AC960" s="71"/>
      <c r="AD960" s="52"/>
      <c r="AE960" s="339"/>
      <c r="AF960" s="52"/>
      <c r="AG960" s="52"/>
      <c r="AH960" s="52"/>
    </row>
    <row r="961" spans="7:34" ht="16" customHeight="1">
      <c r="G961" s="52"/>
      <c r="H961" s="71"/>
      <c r="I961" s="71"/>
      <c r="J961" s="118"/>
      <c r="K961" s="118"/>
      <c r="L961" s="52"/>
      <c r="M961" s="71"/>
      <c r="N961" s="71"/>
      <c r="O961" s="71"/>
      <c r="P961" s="71"/>
      <c r="Q961" s="118"/>
      <c r="R961" s="71"/>
      <c r="S961" s="71"/>
      <c r="T961" s="71"/>
      <c r="U961" s="27"/>
      <c r="V961" s="10"/>
      <c r="W961" s="27"/>
      <c r="X961" s="10"/>
      <c r="Y961" s="10"/>
      <c r="Z961" s="10"/>
      <c r="AA961" s="61"/>
      <c r="AB961" s="140"/>
      <c r="AC961" s="71"/>
      <c r="AD961" s="52"/>
      <c r="AE961" s="339"/>
      <c r="AF961" s="52"/>
      <c r="AG961" s="52"/>
      <c r="AH961" s="52"/>
    </row>
    <row r="962" spans="7:34" ht="16" customHeight="1">
      <c r="G962" s="52"/>
      <c r="H962" s="71"/>
      <c r="I962" s="71"/>
      <c r="J962" s="118"/>
      <c r="K962" s="118"/>
      <c r="L962" s="52"/>
      <c r="M962" s="71"/>
      <c r="N962" s="71"/>
      <c r="O962" s="71"/>
      <c r="P962" s="71"/>
      <c r="Q962" s="118"/>
      <c r="R962" s="71"/>
      <c r="S962" s="71"/>
      <c r="T962" s="71"/>
      <c r="U962" s="27"/>
      <c r="V962" s="10"/>
      <c r="W962" s="27"/>
      <c r="X962" s="10"/>
      <c r="Y962" s="10"/>
      <c r="Z962" s="10"/>
      <c r="AA962" s="61"/>
      <c r="AB962" s="140"/>
      <c r="AC962" s="71"/>
      <c r="AD962" s="52"/>
      <c r="AE962" s="339"/>
      <c r="AF962" s="52"/>
      <c r="AG962" s="52"/>
      <c r="AH962" s="52"/>
    </row>
    <row r="963" spans="7:34" ht="16" customHeight="1">
      <c r="G963" s="52"/>
      <c r="H963" s="71"/>
      <c r="I963" s="71"/>
      <c r="J963" s="118"/>
      <c r="K963" s="118"/>
      <c r="L963" s="52"/>
      <c r="M963" s="71"/>
      <c r="N963" s="71"/>
      <c r="O963" s="71"/>
      <c r="P963" s="71"/>
      <c r="Q963" s="118"/>
      <c r="R963" s="71"/>
      <c r="S963" s="71"/>
      <c r="T963" s="71"/>
      <c r="U963" s="27"/>
      <c r="V963" s="10"/>
      <c r="W963" s="27"/>
      <c r="X963" s="10"/>
      <c r="Y963" s="10"/>
      <c r="Z963" s="10"/>
      <c r="AA963" s="61"/>
      <c r="AB963" s="140"/>
      <c r="AC963" s="71"/>
      <c r="AD963" s="52"/>
      <c r="AE963" s="339"/>
      <c r="AF963" s="52"/>
      <c r="AG963" s="52"/>
      <c r="AH963" s="52"/>
    </row>
    <row r="964" spans="7:34" ht="16" customHeight="1">
      <c r="G964" s="52"/>
      <c r="H964" s="71"/>
      <c r="I964" s="71"/>
      <c r="J964" s="118"/>
      <c r="K964" s="118"/>
      <c r="L964" s="52"/>
      <c r="M964" s="71"/>
      <c r="N964" s="71"/>
      <c r="O964" s="71"/>
      <c r="P964" s="71"/>
      <c r="Q964" s="118"/>
      <c r="R964" s="71"/>
      <c r="S964" s="71"/>
      <c r="T964" s="71"/>
      <c r="U964" s="27"/>
      <c r="V964" s="10"/>
      <c r="W964" s="27"/>
      <c r="X964" s="10"/>
      <c r="Y964" s="10"/>
      <c r="Z964" s="10"/>
      <c r="AA964" s="61"/>
      <c r="AB964" s="140"/>
      <c r="AC964" s="71"/>
      <c r="AD964" s="52"/>
      <c r="AE964" s="339"/>
      <c r="AF964" s="52"/>
      <c r="AG964" s="52"/>
      <c r="AH964" s="52"/>
    </row>
    <row r="965" spans="7:34" ht="16" customHeight="1">
      <c r="G965" s="52"/>
      <c r="H965" s="71"/>
      <c r="I965" s="71"/>
      <c r="J965" s="118"/>
      <c r="K965" s="118"/>
      <c r="L965" s="52"/>
      <c r="M965" s="71"/>
      <c r="N965" s="71"/>
      <c r="O965" s="71"/>
      <c r="P965" s="71"/>
      <c r="Q965" s="118"/>
      <c r="R965" s="71"/>
      <c r="S965" s="71"/>
      <c r="T965" s="71"/>
      <c r="U965" s="27"/>
      <c r="V965" s="10"/>
      <c r="W965" s="27"/>
      <c r="X965" s="10"/>
      <c r="Y965" s="10"/>
      <c r="Z965" s="10"/>
      <c r="AA965" s="61"/>
      <c r="AB965" s="140"/>
      <c r="AC965" s="71"/>
      <c r="AD965" s="52"/>
      <c r="AE965" s="339"/>
      <c r="AF965" s="52"/>
      <c r="AG965" s="52"/>
      <c r="AH965" s="52"/>
    </row>
    <row r="966" spans="7:34" ht="16" customHeight="1">
      <c r="G966" s="52"/>
      <c r="H966" s="71"/>
      <c r="I966" s="71"/>
      <c r="J966" s="118"/>
      <c r="K966" s="118"/>
      <c r="L966" s="52"/>
      <c r="M966" s="71"/>
      <c r="N966" s="71"/>
      <c r="O966" s="71"/>
      <c r="P966" s="71"/>
      <c r="Q966" s="118"/>
      <c r="R966" s="71"/>
      <c r="S966" s="71"/>
      <c r="T966" s="71"/>
      <c r="U966" s="27"/>
      <c r="V966" s="10"/>
      <c r="W966" s="27"/>
      <c r="X966" s="10"/>
      <c r="Y966" s="10"/>
      <c r="Z966" s="10"/>
      <c r="AA966" s="61"/>
      <c r="AB966" s="140"/>
      <c r="AC966" s="71"/>
      <c r="AD966" s="52"/>
      <c r="AE966" s="339"/>
      <c r="AF966" s="52"/>
      <c r="AG966" s="52"/>
      <c r="AH966" s="52"/>
    </row>
    <row r="967" spans="7:34" ht="16" customHeight="1">
      <c r="G967" s="52"/>
      <c r="H967" s="71"/>
      <c r="I967" s="71"/>
      <c r="J967" s="118"/>
      <c r="K967" s="118"/>
      <c r="L967" s="52"/>
      <c r="M967" s="71"/>
      <c r="N967" s="71"/>
      <c r="O967" s="71"/>
      <c r="P967" s="71"/>
      <c r="Q967" s="118"/>
      <c r="R967" s="71"/>
      <c r="S967" s="71"/>
      <c r="T967" s="71"/>
      <c r="U967" s="27"/>
      <c r="V967" s="10"/>
      <c r="W967" s="27"/>
      <c r="X967" s="10"/>
      <c r="Y967" s="10"/>
      <c r="Z967" s="10"/>
      <c r="AA967" s="61"/>
      <c r="AB967" s="140"/>
      <c r="AC967" s="71"/>
      <c r="AD967" s="52"/>
      <c r="AE967" s="339"/>
      <c r="AF967" s="52"/>
      <c r="AG967" s="52"/>
      <c r="AH967" s="52"/>
    </row>
    <row r="968" spans="7:34" ht="16" customHeight="1">
      <c r="G968" s="52"/>
      <c r="H968" s="71"/>
      <c r="I968" s="71"/>
      <c r="J968" s="118"/>
      <c r="K968" s="118"/>
      <c r="L968" s="52"/>
      <c r="M968" s="71"/>
      <c r="N968" s="71"/>
      <c r="O968" s="71"/>
      <c r="P968" s="71"/>
      <c r="Q968" s="118"/>
      <c r="R968" s="71"/>
      <c r="S968" s="71"/>
      <c r="T968" s="71"/>
      <c r="U968" s="27"/>
      <c r="V968" s="10"/>
      <c r="W968" s="27"/>
      <c r="X968" s="10"/>
      <c r="Y968" s="10"/>
      <c r="Z968" s="10"/>
      <c r="AA968" s="61"/>
      <c r="AB968" s="140"/>
      <c r="AC968" s="71"/>
      <c r="AD968" s="52"/>
      <c r="AE968" s="339"/>
      <c r="AF968" s="52"/>
      <c r="AG968" s="52"/>
      <c r="AH968" s="52"/>
    </row>
    <row r="969" spans="7:34">
      <c r="U969" s="27"/>
    </row>
    <row r="970" spans="7:34">
      <c r="U970" s="27"/>
    </row>
    <row r="971" spans="7:34">
      <c r="U971" s="27"/>
    </row>
    <row r="972" spans="7:34">
      <c r="U972" s="27"/>
    </row>
    <row r="973" spans="7:34">
      <c r="U973" s="27"/>
    </row>
    <row r="974" spans="7:34">
      <c r="U974" s="27"/>
    </row>
    <row r="975" spans="7:34">
      <c r="U975" s="27"/>
    </row>
    <row r="976" spans="7:34">
      <c r="U976" s="27"/>
    </row>
  </sheetData>
  <dataValidations count="2">
    <dataValidation type="date" operator="lessThan" allowBlank="1" showInputMessage="1" showErrorMessage="1" sqref="P588" xr:uid="{00000000-0002-0000-0200-000000000000}">
      <formula1>44286</formula1>
    </dataValidation>
    <dataValidation type="list" allowBlank="1" showInputMessage="1" showErrorMessage="1" sqref="A4:A1048576" xr:uid="{B9663755-5E56-2A41-9B6D-0558855ABFA2}">
      <formula1>"UNIT, BUILD"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April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29" min="2" max="8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C000"/>
  </sheetPr>
  <dimension ref="A1:AK197"/>
  <sheetViews>
    <sheetView showZeros="0" zoomScale="85" zoomScaleNormal="85" workbookViewId="0">
      <pane ySplit="3" topLeftCell="A4" activePane="bottomLeft" state="frozen"/>
      <selection activeCell="F1" sqref="F1"/>
      <selection pane="bottomLeft" activeCell="AC6" sqref="AC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19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26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 customHeight="1">
      <c r="B1" s="129"/>
      <c r="C1" s="115"/>
      <c r="D1" s="98"/>
      <c r="E1" s="98"/>
      <c r="F1" s="4"/>
      <c r="G1" s="14"/>
      <c r="H1" s="7"/>
      <c r="I1" s="7"/>
      <c r="J1" s="14"/>
      <c r="K1" s="115"/>
      <c r="L1" s="8"/>
      <c r="M1" s="9"/>
      <c r="N1" s="9"/>
      <c r="O1" s="9"/>
      <c r="P1" s="115"/>
      <c r="Q1" s="115"/>
      <c r="R1" s="10"/>
      <c r="S1" s="10"/>
      <c r="T1" s="10"/>
      <c r="U1" s="98"/>
      <c r="V1" s="98"/>
      <c r="W1" s="98"/>
      <c r="X1" s="141"/>
      <c r="Y1" s="11"/>
      <c r="Z1" s="141"/>
      <c r="AA1" s="11"/>
      <c r="AB1" s="11"/>
      <c r="AC1" s="58"/>
      <c r="AD1" s="137"/>
      <c r="AE1" s="98"/>
      <c r="AF1" s="4"/>
      <c r="AG1" s="4"/>
    </row>
    <row r="2" spans="1:33" ht="14" customHeight="1">
      <c r="B2" s="129"/>
      <c r="C2" s="115"/>
      <c r="D2" s="98"/>
      <c r="E2" s="98"/>
      <c r="F2" s="4"/>
      <c r="G2" s="14"/>
      <c r="H2" s="7"/>
      <c r="I2" s="115"/>
      <c r="J2" s="14"/>
      <c r="K2" s="115"/>
      <c r="L2" s="8"/>
      <c r="M2" s="9"/>
      <c r="N2" s="9"/>
      <c r="O2" s="9"/>
      <c r="P2" s="115"/>
      <c r="Q2" s="115"/>
      <c r="R2" s="10"/>
      <c r="S2" s="98"/>
      <c r="T2" s="98"/>
      <c r="U2" s="98"/>
      <c r="V2" s="98"/>
      <c r="W2" s="98"/>
      <c r="X2" s="141"/>
      <c r="Y2" s="115"/>
      <c r="Z2" s="141"/>
      <c r="AA2" s="115"/>
      <c r="AB2" s="115"/>
      <c r="AC2" s="58"/>
      <c r="AD2" s="137"/>
      <c r="AE2" s="98"/>
      <c r="AF2" s="4"/>
      <c r="AG2" s="4"/>
    </row>
    <row r="3" spans="1:33" ht="24" customHeight="1">
      <c r="A3" s="259"/>
      <c r="B3" s="130" t="s">
        <v>1</v>
      </c>
      <c r="C3" s="130" t="s">
        <v>2</v>
      </c>
      <c r="D3" s="72" t="s">
        <v>3</v>
      </c>
      <c r="E3" s="72" t="s">
        <v>4</v>
      </c>
      <c r="F3" s="72" t="s">
        <v>5</v>
      </c>
      <c r="G3" s="73" t="s">
        <v>6</v>
      </c>
      <c r="H3" s="74" t="s">
        <v>7</v>
      </c>
      <c r="I3" s="74" t="s">
        <v>8</v>
      </c>
      <c r="J3" s="75" t="s">
        <v>10</v>
      </c>
      <c r="K3" s="76" t="s">
        <v>11</v>
      </c>
      <c r="L3" s="76" t="s">
        <v>12</v>
      </c>
      <c r="M3" s="76" t="s">
        <v>13</v>
      </c>
      <c r="N3" s="76" t="s">
        <v>14</v>
      </c>
      <c r="O3" s="76" t="s">
        <v>15</v>
      </c>
      <c r="P3" s="77" t="s">
        <v>16</v>
      </c>
      <c r="Q3" s="78" t="s">
        <v>17</v>
      </c>
      <c r="R3" s="78" t="s">
        <v>18</v>
      </c>
      <c r="S3" s="77" t="s">
        <v>19</v>
      </c>
      <c r="T3" s="73" t="s">
        <v>20</v>
      </c>
      <c r="U3" s="77" t="s">
        <v>21</v>
      </c>
      <c r="V3" s="73" t="s">
        <v>22</v>
      </c>
      <c r="W3" s="73" t="s">
        <v>23</v>
      </c>
      <c r="X3" s="73" t="s">
        <v>24</v>
      </c>
      <c r="Y3" s="59" t="s">
        <v>25</v>
      </c>
      <c r="Z3" s="79" t="s">
        <v>26</v>
      </c>
      <c r="AA3" s="79" t="s">
        <v>27</v>
      </c>
      <c r="AB3" s="97" t="s">
        <v>28</v>
      </c>
      <c r="AC3" s="257" t="s">
        <v>29</v>
      </c>
      <c r="AD3" s="257" t="s">
        <v>30</v>
      </c>
      <c r="AE3" s="257" t="s">
        <v>31</v>
      </c>
      <c r="AF3" s="257" t="s">
        <v>32</v>
      </c>
      <c r="AG3" s="4"/>
    </row>
    <row r="4" spans="1:33" ht="28.5" hidden="1" customHeight="1">
      <c r="A4" s="2" t="str">
        <f t="array" ref="A4">IFERROR(INDEX('Bank Schedule'!A:A, SMALL(IF('Bank Schedule'!$K$2:$K$825="Vacant", ROW('Bank Schedule'!$K$2:$K$825)), ROW(1:1))), "")</f>
        <v/>
      </c>
      <c r="B4" s="11" t="str">
        <f t="array" ref="B4">IFERROR(INDEX('Bank Schedule'!B:B, SMALL(IF('Bank Schedule'!$K$2:$K$825="Vacant", ROW('Bank Schedule'!$K$2:$K$825)), ROW(1:1))), "")</f>
        <v/>
      </c>
      <c r="C4" s="11" t="str">
        <f t="array" ref="C4">IFERROR(INDEX('Bank Schedule'!C:C, SMALL(IF('Bank Schedule'!$K$2:$K$825="Vacant", ROW('Bank Schedule'!$K$2:$K$825)), ROW(1:1))), "")</f>
        <v/>
      </c>
      <c r="D4" s="11" t="str">
        <f t="array" ref="D4">IFERROR(INDEX('Bank Schedule'!D:D, SMALL(IF('Bank Schedule'!$K$2:$K$825="Vacant", ROW('Bank Schedule'!$K$2:$K$825)), ROW(1:1))), "")</f>
        <v/>
      </c>
      <c r="E4" s="25" t="str">
        <f t="array" ref="E4">IFERROR(INDEX('Bank Schedule'!E:E, SMALL(IF('Bank Schedule'!$K$2:$K$825="Vacant", ROW('Bank Schedule'!$K$2:$K$825)), ROW(1:1))), "")</f>
        <v/>
      </c>
      <c r="F4" s="25" t="str">
        <f t="array" ref="F4">IFERROR(INDEX('Bank Schedule'!F:F, SMALL(IF('Bank Schedule'!$K$2:$K$825="Vacant", ROW('Bank Schedule'!$K$2:$K$825)), ROW(1:1))), "")</f>
        <v/>
      </c>
      <c r="G4" s="25" t="str">
        <f t="array" ref="G4">IFERROR(INDEX('Bank Schedule'!G:G, SMALL(IF('Bank Schedule'!$K$2:$K$825="Vacant", ROW('Bank Schedule'!$K$2:$K$825)), ROW(1:1))), "")</f>
        <v/>
      </c>
      <c r="H4" s="55" t="str">
        <f t="array" ref="H4">IFERROR(INDEX('Bank Schedule'!H:H, SMALL(IF('Bank Schedule'!$K$2:$K$825="Vacant", ROW('Bank Schedule'!$K$2:$K$825)), ROW(1:1))), "")</f>
        <v/>
      </c>
      <c r="I4" s="55" t="str">
        <f t="array" ref="I4">IFERROR(INDEX('Bank Schedule'!I:I, SMALL(IF('Bank Schedule'!$K$2:$K$825="Vacant", ROW('Bank Schedule'!$K$2:$K$825)), ROW(1:1))), "")</f>
        <v/>
      </c>
      <c r="J4" s="11" t="str">
        <f t="array" ref="J4">IFERROR(INDEX('Bank Schedule'!K:K, SMALL(IF('Bank Schedule'!$K$2:$K$825="Vacant", ROW('Bank Schedule'!$K$2:$K$825)), ROW(1:1))), "")</f>
        <v/>
      </c>
      <c r="K4" s="11" t="str">
        <f t="array" ref="K4">IFERROR(INDEX('Bank Schedule'!L:L, SMALL(IF('Bank Schedule'!$K$2:$K$825="Vacant", ROW('Bank Schedule'!$K$2:$K$825)), ROW(1:1))), "")</f>
        <v/>
      </c>
      <c r="L4" s="11" t="str">
        <f t="array" ref="L4">IFERROR(INDEX('Bank Schedule'!M:M, SMALL(IF('Bank Schedule'!$K$2:$K$825="Vacant", ROW('Bank Schedule'!$K$2:$K$825)), ROW(1:1))), "")</f>
        <v/>
      </c>
      <c r="M4" s="106" t="str">
        <f t="array" ref="M4">IFERROR(INDEX('Bank Schedule'!N:N, SMALL(IF('Bank Schedule'!$K$2:$K$825="Vacant", ROW('Bank Schedule'!$K$2:$K$825)), ROW(1:1))), "")</f>
        <v/>
      </c>
      <c r="N4" s="11" t="str">
        <f t="array" ref="N4">IFERROR(INDEX('Bank Schedule'!O:O, SMALL(IF('Bank Schedule'!$K$2:$K$825="Vacant", ROW('Bank Schedule'!$K$2:$K$825)), ROW(1:1))), "")</f>
        <v/>
      </c>
      <c r="O4" s="11" t="str">
        <f t="array" ref="O4">IFERROR(INDEX('Bank Schedule'!P:P, SMALL(IF('Bank Schedule'!$K$2:$K$825="Vacant", ROW('Bank Schedule'!$K$2:$K$825)), ROW(1:1))), "")</f>
        <v/>
      </c>
      <c r="P4" s="11" t="str">
        <f t="array" ref="P4">IFERROR(INDEX('Bank Schedule'!Q:Q, SMALL(IF('Bank Schedule'!$K$2:$K$825="Vacant", ROW('Bank Schedule'!$K$2:$K$825)), ROW(1:1))), "")</f>
        <v/>
      </c>
      <c r="Q4" s="11" t="str">
        <f t="array" ref="Q4">IFERROR(INDEX('Bank Schedule'!R:R, SMALL(IF('Bank Schedule'!$K$2:$K$825="Vacant", ROW('Bank Schedule'!$K$2:$K$825)), ROW(1:1))), "")</f>
        <v/>
      </c>
      <c r="R4" s="11" t="str">
        <f t="array" ref="R4">IFERROR(INDEX('Bank Schedule'!S:S, SMALL(IF('Bank Schedule'!$K$2:$K$825="Vacant", ROW('Bank Schedule'!$K$2:$K$825)), ROW(1:1))), "")</f>
        <v/>
      </c>
      <c r="S4" s="320" t="str">
        <f t="array" ref="S4">IFERROR(INDEX('Bank Schedule'!T:T, SMALL(IF('Bank Schedule'!$K$2:$K$825="Vacant", ROW('Bank Schedule'!$K$2:$K$825)), ROW(1:1))), "")</f>
        <v/>
      </c>
      <c r="T4" s="320" t="str">
        <f t="array" ref="T4">IFERROR(INDEX('Bank Schedule'!U:U, SMALL(IF('Bank Schedule'!$K$2:$K$825="Vacant", ROW('Bank Schedule'!$K$2:$K$825)), ROW(1:1))), "")</f>
        <v/>
      </c>
      <c r="U4" s="320" t="str">
        <f t="array" ref="U4">IFERROR(INDEX('Bank Schedule'!V:V, SMALL(IF('Bank Schedule'!$K$2:$K$825="Vacant", ROW('Bank Schedule'!$K$2:$K$825)), ROW(1:1))), "")</f>
        <v/>
      </c>
      <c r="V4" s="320" t="str">
        <f t="array" ref="V4">IFERROR(INDEX('Bank Schedule'!W:W, SMALL(IF('Bank Schedule'!$K$2:$K$825="Vacant", ROW('Bank Schedule'!$K$2:$K$825)), ROW(1:1))), "")</f>
        <v/>
      </c>
      <c r="W4" s="319" t="str">
        <f t="array" ref="W4">IFERROR(INDEX('Bank Schedule'!X:X, SMALL(IF('Bank Schedule'!$K$2:$K$825="Vacant", ROW('Bank Schedule'!$K$2:$K$825)), ROW(1:1))), "")</f>
        <v/>
      </c>
      <c r="X4" s="11" t="str">
        <f t="array" ref="X4">IFERROR(INDEX('Bank Schedule'!Y:Y, SMALL(IF('Bank Schedule'!$K$2:$K$825="Vacant", ROW('Bank Schedule'!$K$2:$K$825)), ROW(1:1))), "")</f>
        <v/>
      </c>
      <c r="Y4" s="11" t="str">
        <f t="array" ref="Y4">IFERROR(INDEX('Bank Schedule'!Z:Z, SMALL(IF('Bank Schedule'!$K$2:$K$825="Vacant", ROW('Bank Schedule'!$K$2:$K$825)), ROW(1:1))), "")</f>
        <v/>
      </c>
      <c r="Z4" s="11" t="str">
        <f t="array" ref="Z4">IFERROR(INDEX('Bank Schedule'!AA:AA, SMALL(IF('Bank Schedule'!$K$2:$K$825="Vacant", ROW('Bank Schedule'!$K$2:$K$825)), ROW(1:1))), "")</f>
        <v/>
      </c>
      <c r="AA4" s="11" t="str">
        <f t="array" ref="AA4">IFERROR(INDEX('Bank Schedule'!AB:AB, SMALL(IF('Bank Schedule'!$K$2:$K$825="Vacant", ROW('Bank Schedule'!$K$2:$K$825)), ROW(1:1))), "")</f>
        <v/>
      </c>
      <c r="AB4" s="25" t="str">
        <f t="array" ref="AB4">IFERROR(INDEX('Bank Schedule'!AC:AC, SMALL(IF('Bank Schedule'!$K$2:$K$825="Vacant", ROW('Bank Schedule'!$K$2:$K$825)), ROW(1:1))), "")</f>
        <v/>
      </c>
      <c r="AC4" s="299" t="str">
        <f t="array" ref="AC4">IFERROR(INDEX('Bank Schedule'!AD:AD, SMALL(IF('Bank Schedule'!$K$2:$K$825="Vacant", ROW('Bank Schedule'!$K$2:$K$825)), ROW(1:1))), "")</f>
        <v/>
      </c>
      <c r="AD4" s="11" t="str">
        <f t="array" ref="AD4">IFERROR(INDEX('Bank Schedule'!AE:AE, SMALL(IF('Bank Schedule'!$K$2:$K$825="Vacant", ROW('Bank Schedule'!$K$2:$K$825)), ROW(1:1))), "")</f>
        <v/>
      </c>
      <c r="AE4" s="11" t="str">
        <f t="array" ref="AE4">IFERROR(INDEX('Bank Schedule'!AF:AF, SMALL(IF('Bank Schedule'!$K$2:$K$825="Vacant", ROW('Bank Schedule'!$K$2:$K$825)), ROW(1:1))), "")</f>
        <v/>
      </c>
      <c r="AF4" s="11"/>
      <c r="AG4" s="4"/>
    </row>
    <row r="5" spans="1:33" ht="28.5" hidden="1" customHeight="1">
      <c r="A5" s="2" t="str">
        <f t="array" ref="A5">IFERROR(INDEX('Bank Schedule'!A:A, SMALL(IF('Bank Schedule'!$K$2:$K$825="Vacant", ROW('Bank Schedule'!$K$2:$K$825)), ROW(2:2))), "")</f>
        <v/>
      </c>
      <c r="B5" s="11" t="str">
        <f t="array" ref="B5">IFERROR(INDEX('Bank Schedule'!B:B, SMALL(IF('Bank Schedule'!$K$2:$K$825="Vacant", ROW('Bank Schedule'!$K$2:$K$825)), ROW(2:2))), "")</f>
        <v/>
      </c>
      <c r="C5" s="11" t="str">
        <f t="array" ref="C5">IFERROR(INDEX('Bank Schedule'!C:C, SMALL(IF('Bank Schedule'!$K$2:$K$825="Vacant", ROW('Bank Schedule'!$K$2:$K$825)), ROW(2:2))), "")</f>
        <v/>
      </c>
      <c r="D5" s="11" t="str">
        <f t="array" ref="D5">IFERROR(INDEX('Bank Schedule'!D:D, SMALL(IF('Bank Schedule'!$K$2:$K$825="Vacant", ROW('Bank Schedule'!$K$2:$K$825)), ROW(2:2))), "")</f>
        <v/>
      </c>
      <c r="E5" s="25" t="str">
        <f t="array" ref="E5">IFERROR(INDEX('Bank Schedule'!E:E, SMALL(IF('Bank Schedule'!$K$2:$K$825="Vacant", ROW('Bank Schedule'!$K$2:$K$825)), ROW(2:2))), "")</f>
        <v/>
      </c>
      <c r="F5" s="25" t="str">
        <f t="array" ref="F5">IFERROR(INDEX('Bank Schedule'!F:F, SMALL(IF('Bank Schedule'!$K$2:$K$825="Vacant", ROW('Bank Schedule'!$K$2:$K$825)), ROW(2:2))), "")</f>
        <v/>
      </c>
      <c r="G5" s="25" t="str">
        <f t="array" ref="G5">IFERROR(INDEX('Bank Schedule'!G:G, SMALL(IF('Bank Schedule'!$K$2:$K$825="Vacant", ROW('Bank Schedule'!$K$2:$K$825)), ROW(2:2))), "")</f>
        <v/>
      </c>
      <c r="H5" s="55" t="str">
        <f t="array" ref="H5">IFERROR(INDEX('Bank Schedule'!H:H, SMALL(IF('Bank Schedule'!$K$2:$K$825="Vacant", ROW('Bank Schedule'!$K$2:$K$825)), ROW(2:2))), "")</f>
        <v/>
      </c>
      <c r="I5" s="55" t="str">
        <f t="array" ref="I5">IFERROR(INDEX('Bank Schedule'!I:I, SMALL(IF('Bank Schedule'!$K$2:$K$825="Vacant", ROW('Bank Schedule'!$K$2:$K$825)), ROW(2:2))), "")</f>
        <v/>
      </c>
      <c r="J5" s="11" t="str">
        <f t="array" ref="J5">IFERROR(INDEX('Bank Schedule'!K:K, SMALL(IF('Bank Schedule'!$K$2:$K$825="Vacant", ROW('Bank Schedule'!$K$2:$K$825)), ROW(2:2))), "")</f>
        <v/>
      </c>
      <c r="K5" s="11" t="str">
        <f t="array" ref="K5">IFERROR(INDEX('Bank Schedule'!L:L, SMALL(IF('Bank Schedule'!$K$2:$K$825="Vacant", ROW('Bank Schedule'!$K$2:$K$825)), ROW(2:2))), "")</f>
        <v/>
      </c>
      <c r="L5" s="11" t="str">
        <f t="array" ref="L5">IFERROR(INDEX('Bank Schedule'!M:M, SMALL(IF('Bank Schedule'!$K$2:$K$825="Vacant", ROW('Bank Schedule'!$K$2:$K$825)), ROW(2:2))), "")</f>
        <v/>
      </c>
      <c r="M5" s="106" t="str">
        <f t="array" ref="M5">IFERROR(INDEX('Bank Schedule'!N:N, SMALL(IF('Bank Schedule'!$K$2:$K$825="Vacant", ROW('Bank Schedule'!$K$2:$K$825)), ROW(2:2))), "")</f>
        <v/>
      </c>
      <c r="N5" s="11" t="str">
        <f t="array" ref="N5">IFERROR(INDEX('Bank Schedule'!O:O, SMALL(IF('Bank Schedule'!$K$2:$K$825="Vacant", ROW('Bank Schedule'!$K$2:$K$825)), ROW(2:2))), "")</f>
        <v/>
      </c>
      <c r="O5" s="11" t="str">
        <f t="array" ref="O5">IFERROR(INDEX('Bank Schedule'!P:P, SMALL(IF('Bank Schedule'!$K$2:$K$825="Vacant", ROW('Bank Schedule'!$K$2:$K$825)), ROW(2:2))), "")</f>
        <v/>
      </c>
      <c r="P5" s="11" t="str">
        <f t="array" ref="P5">IFERROR(INDEX('Bank Schedule'!Q:Q, SMALL(IF('Bank Schedule'!$K$2:$K$825="Vacant", ROW('Bank Schedule'!$K$2:$K$825)), ROW(2:2))), "")</f>
        <v/>
      </c>
      <c r="Q5" s="11" t="str">
        <f t="array" ref="Q5">IFERROR(INDEX('Bank Schedule'!R:R, SMALL(IF('Bank Schedule'!$K$2:$K$825="Vacant", ROW('Bank Schedule'!$K$2:$K$825)), ROW(2:2))), "")</f>
        <v/>
      </c>
      <c r="R5" s="11" t="str">
        <f t="array" ref="R5">IFERROR(INDEX('Bank Schedule'!S:S, SMALL(IF('Bank Schedule'!$K$2:$K$825="Vacant", ROW('Bank Schedule'!$K$2:$K$825)), ROW(2:2))), "")</f>
        <v/>
      </c>
      <c r="S5" s="320" t="str">
        <f t="array" ref="S5">IFERROR(INDEX('Bank Schedule'!T:T, SMALL(IF('Bank Schedule'!$K$2:$K$825="Vacant", ROW('Bank Schedule'!$K$2:$K$825)), ROW(2:2))), "")</f>
        <v/>
      </c>
      <c r="T5" s="320" t="str">
        <f t="array" ref="T5">IFERROR(INDEX('Bank Schedule'!U:U, SMALL(IF('Bank Schedule'!$K$2:$K$825="Vacant", ROW('Bank Schedule'!$K$2:$K$825)), ROW(2:2))), "")</f>
        <v/>
      </c>
      <c r="U5" s="320" t="str">
        <f t="array" ref="U5">IFERROR(INDEX('Bank Schedule'!V:V, SMALL(IF('Bank Schedule'!$K$2:$K$825="Vacant", ROW('Bank Schedule'!$K$2:$K$825)), ROW(2:2))), "")</f>
        <v/>
      </c>
      <c r="V5" s="320" t="str">
        <f t="array" ref="V5">IFERROR(INDEX('Bank Schedule'!W:W, SMALL(IF('Bank Schedule'!$K$2:$K$825="Vacant", ROW('Bank Schedule'!$K$2:$K$825)), ROW(2:2))), "")</f>
        <v/>
      </c>
      <c r="W5" s="319" t="str">
        <f t="array" ref="W5">IFERROR(INDEX('Bank Schedule'!X:X, SMALL(IF('Bank Schedule'!$K$2:$K$825="Vacant", ROW('Bank Schedule'!$K$2:$K$825)), ROW(2:2))), "")</f>
        <v/>
      </c>
      <c r="X5" s="11" t="str">
        <f t="array" ref="X5">IFERROR(INDEX('Bank Schedule'!Y:Y, SMALL(IF('Bank Schedule'!$K$2:$K$825="Vacant", ROW('Bank Schedule'!$K$2:$K$825)), ROW(2:2))), "")</f>
        <v/>
      </c>
      <c r="Y5" s="11" t="str">
        <f t="array" ref="Y5">IFERROR(INDEX('Bank Schedule'!Z:Z, SMALL(IF('Bank Schedule'!$K$2:$K$825="Vacant", ROW('Bank Schedule'!$K$2:$K$825)), ROW(2:2))), "")</f>
        <v/>
      </c>
      <c r="Z5" s="11" t="str">
        <f t="array" ref="Z5">IFERROR(INDEX('Bank Schedule'!AA:AA, SMALL(IF('Bank Schedule'!$K$2:$K$825="Vacant", ROW('Bank Schedule'!$K$2:$K$825)), ROW(2:2))), "")</f>
        <v/>
      </c>
      <c r="AA5" s="11" t="str">
        <f t="array" ref="AA5">IFERROR(INDEX('Bank Schedule'!AB:AB, SMALL(IF('Bank Schedule'!$K$2:$K$825="Vacant", ROW('Bank Schedule'!$K$2:$K$825)), ROW(2:2))), "")</f>
        <v/>
      </c>
      <c r="AB5" s="25" t="str">
        <f t="array" ref="AB5">IFERROR(INDEX('Bank Schedule'!AC:AC, SMALL(IF('Bank Schedule'!$K$2:$K$825="Vacant", ROW('Bank Schedule'!$K$2:$K$825)), ROW(2:2))), "")</f>
        <v/>
      </c>
      <c r="AC5" s="299" t="str">
        <f t="array" ref="AC5">IFERROR(INDEX('Bank Schedule'!AD:AD, SMALL(IF('Bank Schedule'!$K$2:$K$825="Vacant", ROW('Bank Schedule'!$K$2:$K$825)), ROW(2:2))), "")</f>
        <v/>
      </c>
      <c r="AD5" s="11" t="str">
        <f t="array" ref="AD5">IFERROR(INDEX('Bank Schedule'!AE:AE, SMALL(IF('Bank Schedule'!$K$2:$K$825="Vacant", ROW('Bank Schedule'!$K$2:$K$825)), ROW(2:2))), "")</f>
        <v/>
      </c>
      <c r="AE5" s="11" t="str">
        <f t="array" ref="AE5">IFERROR(INDEX('Bank Schedule'!AF:AF, SMALL(IF('Bank Schedule'!$K$2:$K$825="Vacant", ROW('Bank Schedule'!$K$2:$K$825)), ROW(2:2))), "")</f>
        <v/>
      </c>
      <c r="AF5" s="11" t="str">
        <f t="array" ref="AF5">IFERROR(INDEX('Bank Schedule'!AG:AG, SMALL(IF('Bank Schedule'!$K$2:$K$825="Vacant", ROW('Bank Schedule'!$K$2:$K$825)), ROW(2:2))), "")</f>
        <v/>
      </c>
      <c r="AG5" s="4"/>
    </row>
    <row r="6" spans="1:33" ht="28.5" hidden="1" customHeight="1">
      <c r="A6" s="2" t="str">
        <f t="array" ref="A6">IFERROR(INDEX('Bank Schedule'!A:A, SMALL(IF('Bank Schedule'!$K$2:$K$825="Vacant", ROW('Bank Schedule'!$K$2:$K$825)), ROW(3:3))), "")</f>
        <v/>
      </c>
      <c r="B6" s="11" t="str">
        <f t="array" ref="B6">IFERROR(INDEX('Bank Schedule'!B:B, SMALL(IF('Bank Schedule'!$K$2:$K$825="Vacant", ROW('Bank Schedule'!$K$2:$K$825)), ROW(3:3))), "")</f>
        <v/>
      </c>
      <c r="C6" s="11" t="str">
        <f t="array" ref="C6">IFERROR(INDEX('Bank Schedule'!C:C, SMALL(IF('Bank Schedule'!$K$2:$K$825="Vacant", ROW('Bank Schedule'!$K$2:$K$825)), ROW(3:3))), "")</f>
        <v/>
      </c>
      <c r="D6" s="11" t="str">
        <f t="array" ref="D6">IFERROR(INDEX('Bank Schedule'!D:D, SMALL(IF('Bank Schedule'!$K$2:$K$825="Vacant", ROW('Bank Schedule'!$K$2:$K$825)), ROW(3:3))), "")</f>
        <v/>
      </c>
      <c r="E6" s="25" t="str">
        <f t="array" ref="E6">IFERROR(INDEX('Bank Schedule'!E:E, SMALL(IF('Bank Schedule'!$K$2:$K$825="Vacant", ROW('Bank Schedule'!$K$2:$K$825)), ROW(3:3))), "")</f>
        <v/>
      </c>
      <c r="F6" s="25" t="str">
        <f t="array" ref="F6">IFERROR(INDEX('Bank Schedule'!F:F, SMALL(IF('Bank Schedule'!$K$2:$K$825="Vacant", ROW('Bank Schedule'!$K$2:$K$825)), ROW(3:3))), "")</f>
        <v/>
      </c>
      <c r="G6" s="25" t="str">
        <f t="array" ref="G6">IFERROR(INDEX('Bank Schedule'!G:G, SMALL(IF('Bank Schedule'!$K$2:$K$825="Vacant", ROW('Bank Schedule'!$K$2:$K$825)), ROW(3:3))), "")</f>
        <v/>
      </c>
      <c r="H6" s="55" t="str">
        <f t="array" ref="H6">IFERROR(INDEX('Bank Schedule'!H:H, SMALL(IF('Bank Schedule'!$K$2:$K$825="Vacant", ROW('Bank Schedule'!$K$2:$K$825)), ROW(3:3))), "")</f>
        <v/>
      </c>
      <c r="I6" s="55" t="str">
        <f t="array" ref="I6">IFERROR(INDEX('Bank Schedule'!I:I, SMALL(IF('Bank Schedule'!$K$2:$K$825="Vacant", ROW('Bank Schedule'!$K$2:$K$825)), ROW(3:3))), "")</f>
        <v/>
      </c>
      <c r="J6" s="11" t="str">
        <f t="array" ref="J6">IFERROR(INDEX('Bank Schedule'!K:K, SMALL(IF('Bank Schedule'!$K$2:$K$825="Vacant", ROW('Bank Schedule'!$K$2:$K$825)), ROW(3:3))), "")</f>
        <v/>
      </c>
      <c r="K6" s="11" t="str">
        <f t="array" ref="K6">IFERROR(INDEX('Bank Schedule'!L:L, SMALL(IF('Bank Schedule'!$K$2:$K$825="Vacant", ROW('Bank Schedule'!$K$2:$K$825)), ROW(3:3))), "")</f>
        <v/>
      </c>
      <c r="L6" s="11" t="str">
        <f t="array" ref="L6">IFERROR(INDEX('Bank Schedule'!M:M, SMALL(IF('Bank Schedule'!$K$2:$K$825="Vacant", ROW('Bank Schedule'!$K$2:$K$825)), ROW(3:3))), "")</f>
        <v/>
      </c>
      <c r="M6" s="106" t="str">
        <f t="array" ref="M6">IFERROR(INDEX('Bank Schedule'!N:N, SMALL(IF('Bank Schedule'!$K$2:$K$825="Vacant", ROW('Bank Schedule'!$K$2:$K$825)), ROW(3:3))), "")</f>
        <v/>
      </c>
      <c r="N6" s="11" t="str">
        <f t="array" ref="N6">IFERROR(INDEX('Bank Schedule'!O:O, SMALL(IF('Bank Schedule'!$K$2:$K$825="Vacant", ROW('Bank Schedule'!$K$2:$K$825)), ROW(3:3))), "")</f>
        <v/>
      </c>
      <c r="O6" s="11" t="str">
        <f t="array" ref="O6">IFERROR(INDEX('Bank Schedule'!P:P, SMALL(IF('Bank Schedule'!$K$2:$K$825="Vacant", ROW('Bank Schedule'!$K$2:$K$825)), ROW(3:3))), "")</f>
        <v/>
      </c>
      <c r="P6" s="11" t="str">
        <f t="array" ref="P6">IFERROR(INDEX('Bank Schedule'!Q:Q, SMALL(IF('Bank Schedule'!$K$2:$K$825="Vacant", ROW('Bank Schedule'!$K$2:$K$825)), ROW(3:3))), "")</f>
        <v/>
      </c>
      <c r="Q6" s="11" t="str">
        <f t="array" ref="Q6">IFERROR(INDEX('Bank Schedule'!R:R, SMALL(IF('Bank Schedule'!$K$2:$K$825="Vacant", ROW('Bank Schedule'!$K$2:$K$825)), ROW(3:3))), "")</f>
        <v/>
      </c>
      <c r="R6" s="11" t="str">
        <f t="array" ref="R6">IFERROR(INDEX('Bank Schedule'!S:S, SMALL(IF('Bank Schedule'!$K$2:$K$825="Vacant", ROW('Bank Schedule'!$K$2:$K$825)), ROW(3:3))), "")</f>
        <v/>
      </c>
      <c r="S6" s="320" t="str">
        <f t="array" ref="S6">IFERROR(INDEX('Bank Schedule'!T:T, SMALL(IF('Bank Schedule'!$K$2:$K$825="Vacant", ROW('Bank Schedule'!$K$2:$K$825)), ROW(3:3))), "")</f>
        <v/>
      </c>
      <c r="T6" s="320" t="str">
        <f t="array" ref="T6">IFERROR(INDEX('Bank Schedule'!U:U, SMALL(IF('Bank Schedule'!$K$2:$K$825="Vacant", ROW('Bank Schedule'!$K$2:$K$825)), ROW(3:3))), "")</f>
        <v/>
      </c>
      <c r="U6" s="320" t="str">
        <f t="array" ref="U6">IFERROR(INDEX('Bank Schedule'!V:V, SMALL(IF('Bank Schedule'!$K$2:$K$825="Vacant", ROW('Bank Schedule'!$K$2:$K$825)), ROW(3:3))), "")</f>
        <v/>
      </c>
      <c r="V6" s="320" t="str">
        <f t="array" ref="V6">IFERROR(INDEX('Bank Schedule'!W:W, SMALL(IF('Bank Schedule'!$K$2:$K$825="Vacant", ROW('Bank Schedule'!$K$2:$K$825)), ROW(3:3))), "")</f>
        <v/>
      </c>
      <c r="W6" s="319" t="str">
        <f t="array" ref="W6">IFERROR(INDEX('Bank Schedule'!X:X, SMALL(IF('Bank Schedule'!$K$2:$K$825="Vacant", ROW('Bank Schedule'!$K$2:$K$825)), ROW(3:3))), "")</f>
        <v/>
      </c>
      <c r="X6" s="11" t="str">
        <f t="array" ref="X6">IFERROR(INDEX('Bank Schedule'!Y:Y, SMALL(IF('Bank Schedule'!$K$2:$K$825="Vacant", ROW('Bank Schedule'!$K$2:$K$825)), ROW(3:3))), "")</f>
        <v/>
      </c>
      <c r="Y6" s="11" t="str">
        <f t="array" ref="Y6">IFERROR(INDEX('Bank Schedule'!Z:Z, SMALL(IF('Bank Schedule'!$K$2:$K$825="Vacant", ROW('Bank Schedule'!$K$2:$K$825)), ROW(3:3))), "")</f>
        <v/>
      </c>
      <c r="Z6" s="11" t="str">
        <f t="array" ref="Z6">IFERROR(INDEX('Bank Schedule'!AA:AA, SMALL(IF('Bank Schedule'!$K$2:$K$825="Vacant", ROW('Bank Schedule'!$K$2:$K$825)), ROW(3:3))), "")</f>
        <v/>
      </c>
      <c r="AA6" s="11" t="str">
        <f t="array" ref="AA6">IFERROR(INDEX('Bank Schedule'!AB:AB, SMALL(IF('Bank Schedule'!$K$2:$K$825="Vacant", ROW('Bank Schedule'!$K$2:$K$825)), ROW(3:3))), "")</f>
        <v/>
      </c>
      <c r="AB6" s="25" t="str">
        <f t="array" ref="AB6">IFERROR(INDEX('Bank Schedule'!AC:AC, SMALL(IF('Bank Schedule'!$K$2:$K$825="Vacant", ROW('Bank Schedule'!$K$2:$K$825)), ROW(3:3))), "")</f>
        <v/>
      </c>
      <c r="AC6" s="299" t="str">
        <f t="array" ref="AC6">IFERROR(INDEX('Bank Schedule'!AD:AD, SMALL(IF('Bank Schedule'!$K$2:$K$825="Vacant", ROW('Bank Schedule'!$K$2:$K$825)), ROW(3:3))), "")</f>
        <v/>
      </c>
      <c r="AD6" s="11" t="str">
        <f t="array" ref="AD6">IFERROR(INDEX('Bank Schedule'!AE:AE, SMALL(IF('Bank Schedule'!$K$2:$K$825="Vacant", ROW('Bank Schedule'!$K$2:$K$825)), ROW(3:3))), "")</f>
        <v/>
      </c>
      <c r="AE6" s="11" t="str">
        <f t="array" ref="AE6">IFERROR(INDEX('Bank Schedule'!AF:AF, SMALL(IF('Bank Schedule'!$K$2:$K$825="Vacant", ROW('Bank Schedule'!$K$2:$K$825)), ROW(3:3))), "")</f>
        <v/>
      </c>
      <c r="AF6" s="11"/>
      <c r="AG6" s="4"/>
    </row>
    <row r="7" spans="1:33" ht="28.5" hidden="1" customHeight="1">
      <c r="A7" s="2" t="str">
        <f t="array" ref="A7">IFERROR(INDEX('Bank Schedule'!A:A, SMALL(IF('Bank Schedule'!$K$2:$K$825="Vacant", ROW('Bank Schedule'!$K$2:$K$825)), ROW(4:4))), "")</f>
        <v/>
      </c>
      <c r="B7" s="11" t="str">
        <f t="array" ref="B7">IFERROR(INDEX('Bank Schedule'!B:B, SMALL(IF('Bank Schedule'!$K$2:$K$825="Vacant", ROW('Bank Schedule'!$K$2:$K$825)), ROW(4:4))), "")</f>
        <v/>
      </c>
      <c r="C7" s="11" t="str">
        <f t="array" ref="C7">IFERROR(INDEX('Bank Schedule'!C:C, SMALL(IF('Bank Schedule'!$K$2:$K$825="Vacant", ROW('Bank Schedule'!$K$2:$K$825)), ROW(4:4))), "")</f>
        <v/>
      </c>
      <c r="D7" s="11" t="str">
        <f t="array" ref="D7">IFERROR(INDEX('Bank Schedule'!D:D, SMALL(IF('Bank Schedule'!$K$2:$K$825="Vacant", ROW('Bank Schedule'!$K$2:$K$825)), ROW(4:4))), "")</f>
        <v/>
      </c>
      <c r="E7" s="25" t="str">
        <f t="array" ref="E7">IFERROR(INDEX('Bank Schedule'!E:E, SMALL(IF('Bank Schedule'!$K$2:$K$825="Vacant", ROW('Bank Schedule'!$K$2:$K$825)), ROW(4:4))), "")</f>
        <v/>
      </c>
      <c r="F7" s="25" t="str">
        <f t="array" ref="F7">IFERROR(INDEX('Bank Schedule'!F:F, SMALL(IF('Bank Schedule'!$K$2:$K$825="Vacant", ROW('Bank Schedule'!$K$2:$K$825)), ROW(4:4))), "")</f>
        <v/>
      </c>
      <c r="G7" s="25" t="str">
        <f t="array" ref="G7">IFERROR(INDEX('Bank Schedule'!G:G, SMALL(IF('Bank Schedule'!$K$2:$K$825="Vacant", ROW('Bank Schedule'!$K$2:$K$825)), ROW(4:4))), "")</f>
        <v/>
      </c>
      <c r="H7" s="55" t="str">
        <f t="array" ref="H7">IFERROR(INDEX('Bank Schedule'!H:H, SMALL(IF('Bank Schedule'!$K$2:$K$825="Vacant", ROW('Bank Schedule'!$K$2:$K$825)), ROW(4:4))), "")</f>
        <v/>
      </c>
      <c r="I7" s="55" t="str">
        <f t="array" ref="I7">IFERROR(INDEX('Bank Schedule'!I:I, SMALL(IF('Bank Schedule'!$K$2:$K$825="Vacant", ROW('Bank Schedule'!$K$2:$K$825)), ROW(4:4))), "")</f>
        <v/>
      </c>
      <c r="J7" s="11" t="str">
        <f t="array" ref="J7">IFERROR(INDEX('Bank Schedule'!K:K, SMALL(IF('Bank Schedule'!$K$2:$K$825="Vacant", ROW('Bank Schedule'!$K$2:$K$825)), ROW(4:4))), "")</f>
        <v/>
      </c>
      <c r="K7" s="11" t="str">
        <f t="array" ref="K7">IFERROR(INDEX('Bank Schedule'!L:L, SMALL(IF('Bank Schedule'!$K$2:$K$825="Vacant", ROW('Bank Schedule'!$K$2:$K$825)), ROW(4:4))), "")</f>
        <v/>
      </c>
      <c r="L7" s="11" t="str">
        <f t="array" ref="L7">IFERROR(INDEX('Bank Schedule'!M:M, SMALL(IF('Bank Schedule'!$K$2:$K$825="Vacant", ROW('Bank Schedule'!$K$2:$K$825)), ROW(4:4))), "")</f>
        <v/>
      </c>
      <c r="M7" s="106" t="str">
        <f t="array" ref="M7">IFERROR(INDEX('Bank Schedule'!N:N, SMALL(IF('Bank Schedule'!$K$2:$K$825="Vacant", ROW('Bank Schedule'!$K$2:$K$825)), ROW(4:4))), "")</f>
        <v/>
      </c>
      <c r="N7" s="11" t="str">
        <f t="array" ref="N7">IFERROR(INDEX('Bank Schedule'!O:O, SMALL(IF('Bank Schedule'!$K$2:$K$825="Vacant", ROW('Bank Schedule'!$K$2:$K$825)), ROW(4:4))), "")</f>
        <v/>
      </c>
      <c r="O7" s="11" t="str">
        <f t="array" ref="O7">IFERROR(INDEX('Bank Schedule'!P:P, SMALL(IF('Bank Schedule'!$K$2:$K$825="Vacant", ROW('Bank Schedule'!$K$2:$K$825)), ROW(4:4))), "")</f>
        <v/>
      </c>
      <c r="P7" s="11" t="str">
        <f t="array" ref="P7">IFERROR(INDEX('Bank Schedule'!Q:Q, SMALL(IF('Bank Schedule'!$K$2:$K$825="Vacant", ROW('Bank Schedule'!$K$2:$K$825)), ROW(4:4))), "")</f>
        <v/>
      </c>
      <c r="Q7" s="11" t="str">
        <f t="array" ref="Q7">IFERROR(INDEX('Bank Schedule'!R:R, SMALL(IF('Bank Schedule'!$K$2:$K$825="Vacant", ROW('Bank Schedule'!$K$2:$K$825)), ROW(4:4))), "")</f>
        <v/>
      </c>
      <c r="R7" s="11" t="str">
        <f t="array" ref="R7">IFERROR(INDEX('Bank Schedule'!S:S, SMALL(IF('Bank Schedule'!$K$2:$K$825="Vacant", ROW('Bank Schedule'!$K$2:$K$825)), ROW(4:4))), "")</f>
        <v/>
      </c>
      <c r="S7" s="320" t="str">
        <f t="array" ref="S7">IFERROR(INDEX('Bank Schedule'!T:T, SMALL(IF('Bank Schedule'!$K$2:$K$825="Vacant", ROW('Bank Schedule'!$K$2:$K$825)), ROW(4:4))), "")</f>
        <v/>
      </c>
      <c r="T7" s="320" t="str">
        <f t="array" ref="T7">IFERROR(INDEX('Bank Schedule'!U:U, SMALL(IF('Bank Schedule'!$K$2:$K$825="Vacant", ROW('Bank Schedule'!$K$2:$K$825)), ROW(4:4))), "")</f>
        <v/>
      </c>
      <c r="U7" s="320" t="str">
        <f t="array" ref="U7">IFERROR(INDEX('Bank Schedule'!V:V, SMALL(IF('Bank Schedule'!$K$2:$K$825="Vacant", ROW('Bank Schedule'!$K$2:$K$825)), ROW(4:4))), "")</f>
        <v/>
      </c>
      <c r="V7" s="320" t="str">
        <f t="array" ref="V7">IFERROR(INDEX('Bank Schedule'!W:W, SMALL(IF('Bank Schedule'!$K$2:$K$825="Vacant", ROW('Bank Schedule'!$K$2:$K$825)), ROW(4:4))), "")</f>
        <v/>
      </c>
      <c r="W7" s="319" t="str">
        <f t="array" ref="W7">IFERROR(INDEX('Bank Schedule'!X:X, SMALL(IF('Bank Schedule'!$K$2:$K$825="Vacant", ROW('Bank Schedule'!$K$2:$K$825)), ROW(4:4))), "")</f>
        <v/>
      </c>
      <c r="X7" s="11" t="str">
        <f t="array" ref="X7">IFERROR(INDEX('Bank Schedule'!Y:Y, SMALL(IF('Bank Schedule'!$K$2:$K$825="Vacant", ROW('Bank Schedule'!$K$2:$K$825)), ROW(4:4))), "")</f>
        <v/>
      </c>
      <c r="Y7" s="11" t="str">
        <f t="array" ref="Y7">IFERROR(INDEX('Bank Schedule'!Z:Z, SMALL(IF('Bank Schedule'!$K$2:$K$825="Vacant", ROW('Bank Schedule'!$K$2:$K$825)), ROW(4:4))), "")</f>
        <v/>
      </c>
      <c r="Z7" s="11" t="str">
        <f t="array" ref="Z7">IFERROR(INDEX('Bank Schedule'!AA:AA, SMALL(IF('Bank Schedule'!$K$2:$K$825="Vacant", ROW('Bank Schedule'!$K$2:$K$825)), ROW(4:4))), "")</f>
        <v/>
      </c>
      <c r="AA7" s="11" t="str">
        <f t="array" ref="AA7">IFERROR(INDEX('Bank Schedule'!AB:AB, SMALL(IF('Bank Schedule'!$K$2:$K$825="Vacant", ROW('Bank Schedule'!$K$2:$K$825)), ROW(4:4))), "")</f>
        <v/>
      </c>
      <c r="AB7" s="25" t="str">
        <f t="array" ref="AB7">IFERROR(INDEX('Bank Schedule'!AC:AC, SMALL(IF('Bank Schedule'!$K$2:$K$825="Vacant", ROW('Bank Schedule'!$K$2:$K$825)), ROW(4:4))), "")</f>
        <v/>
      </c>
      <c r="AC7" s="299" t="str">
        <f t="array" ref="AC7">IFERROR(INDEX('Bank Schedule'!AD:AD, SMALL(IF('Bank Schedule'!$K$2:$K$825="Vacant", ROW('Bank Schedule'!$K$2:$K$825)), ROW(4:4))), "")</f>
        <v/>
      </c>
      <c r="AD7" s="11" t="str">
        <f t="array" ref="AD7">IFERROR(INDEX('Bank Schedule'!AE:AE, SMALL(IF('Bank Schedule'!$K$2:$K$825="Vacant", ROW('Bank Schedule'!$K$2:$K$825)), ROW(4:4))), "")</f>
        <v/>
      </c>
      <c r="AE7" s="11" t="str">
        <f t="array" ref="AE7">IFERROR(INDEX('Bank Schedule'!AF:AF, SMALL(IF('Bank Schedule'!$K$2:$K$825="Vacant", ROW('Bank Schedule'!$K$2:$K$825)), ROW(4:4))), "")</f>
        <v/>
      </c>
      <c r="AF7" s="11" t="str">
        <f t="array" ref="AF7">IFERROR(INDEX('Bank Schedule'!AG:AG, SMALL(IF('Bank Schedule'!$K$2:$K$825="Vacant", ROW('Bank Schedule'!$K$2:$K$825)), ROW(4:4))), "")</f>
        <v/>
      </c>
      <c r="AG7" s="4"/>
    </row>
    <row r="8" spans="1:33" ht="28.5" hidden="1" customHeight="1">
      <c r="A8" s="2" t="str">
        <f t="array" ref="A8">IFERROR(INDEX('Bank Schedule'!A:A, SMALL(IF('Bank Schedule'!$K$2:$K$825="Vacant", ROW('Bank Schedule'!$K$2:$K$825)), ROW(5:5))), "")</f>
        <v/>
      </c>
      <c r="B8" s="11" t="str">
        <f t="array" ref="B8">IFERROR(INDEX('Bank Schedule'!B:B, SMALL(IF('Bank Schedule'!$K$2:$K$825="Vacant", ROW('Bank Schedule'!$K$2:$K$825)), ROW(5:5))), "")</f>
        <v/>
      </c>
      <c r="C8" s="11" t="str">
        <f t="array" ref="C8">IFERROR(INDEX('Bank Schedule'!C:C, SMALL(IF('Bank Schedule'!$K$2:$K$825="Vacant", ROW('Bank Schedule'!$K$2:$K$825)), ROW(5:5))), "")</f>
        <v/>
      </c>
      <c r="D8" s="11" t="str">
        <f t="array" ref="D8">IFERROR(INDEX('Bank Schedule'!D:D, SMALL(IF('Bank Schedule'!$K$2:$K$825="Vacant", ROW('Bank Schedule'!$K$2:$K$825)), ROW(5:5))), "")</f>
        <v/>
      </c>
      <c r="E8" s="25" t="str">
        <f t="array" ref="E8">IFERROR(INDEX('Bank Schedule'!E:E, SMALL(IF('Bank Schedule'!$K$2:$K$825="Vacant", ROW('Bank Schedule'!$K$2:$K$825)), ROW(5:5))), "")</f>
        <v/>
      </c>
      <c r="F8" s="25" t="str">
        <f t="array" ref="F8">IFERROR(INDEX('Bank Schedule'!F:F, SMALL(IF('Bank Schedule'!$K$2:$K$825="Vacant", ROW('Bank Schedule'!$K$2:$K$825)), ROW(5:5))), "")</f>
        <v/>
      </c>
      <c r="G8" s="25" t="str">
        <f t="array" ref="G8">IFERROR(INDEX('Bank Schedule'!G:G, SMALL(IF('Bank Schedule'!$K$2:$K$825="Vacant", ROW('Bank Schedule'!$K$2:$K$825)), ROW(5:5))), "")</f>
        <v/>
      </c>
      <c r="H8" s="55" t="str">
        <f t="array" ref="H8">IFERROR(INDEX('Bank Schedule'!H:H, SMALL(IF('Bank Schedule'!$K$2:$K$825="Vacant", ROW('Bank Schedule'!$K$2:$K$825)), ROW(5:5))), "")</f>
        <v/>
      </c>
      <c r="I8" s="55" t="str">
        <f t="array" ref="I8">IFERROR(INDEX('Bank Schedule'!I:I, SMALL(IF('Bank Schedule'!$K$2:$K$825="Vacant", ROW('Bank Schedule'!$K$2:$K$825)), ROW(5:5))), "")</f>
        <v/>
      </c>
      <c r="J8" s="11" t="str">
        <f t="array" ref="J8">IFERROR(INDEX('Bank Schedule'!K:K, SMALL(IF('Bank Schedule'!$K$2:$K$825="Vacant", ROW('Bank Schedule'!$K$2:$K$825)), ROW(5:5))), "")</f>
        <v/>
      </c>
      <c r="K8" s="11" t="str">
        <f t="array" ref="K8">IFERROR(INDEX('Bank Schedule'!L:L, SMALL(IF('Bank Schedule'!$K$2:$K$825="Vacant", ROW('Bank Schedule'!$K$2:$K$825)), ROW(5:5))), "")</f>
        <v/>
      </c>
      <c r="L8" s="11" t="str">
        <f t="array" ref="L8">IFERROR(INDEX('Bank Schedule'!M:M, SMALL(IF('Bank Schedule'!$K$2:$K$825="Vacant", ROW('Bank Schedule'!$K$2:$K$825)), ROW(5:5))), "")</f>
        <v/>
      </c>
      <c r="M8" s="106" t="str">
        <f t="array" ref="M8">IFERROR(INDEX('Bank Schedule'!N:N, SMALL(IF('Bank Schedule'!$K$2:$K$825="Vacant", ROW('Bank Schedule'!$K$2:$K$825)), ROW(5:5))), "")</f>
        <v/>
      </c>
      <c r="N8" s="11" t="str">
        <f t="array" ref="N8">IFERROR(INDEX('Bank Schedule'!O:O, SMALL(IF('Bank Schedule'!$K$2:$K$825="Vacant", ROW('Bank Schedule'!$K$2:$K$825)), ROW(5:5))), "")</f>
        <v/>
      </c>
      <c r="O8" s="11" t="str">
        <f t="array" ref="O8">IFERROR(INDEX('Bank Schedule'!P:P, SMALL(IF('Bank Schedule'!$K$2:$K$825="Vacant", ROW('Bank Schedule'!$K$2:$K$825)), ROW(5:5))), "")</f>
        <v/>
      </c>
      <c r="P8" s="11" t="str">
        <f t="array" ref="P8">IFERROR(INDEX('Bank Schedule'!Q:Q, SMALL(IF('Bank Schedule'!$K$2:$K$825="Vacant", ROW('Bank Schedule'!$K$2:$K$825)), ROW(5:5))), "")</f>
        <v/>
      </c>
      <c r="Q8" s="11" t="str">
        <f t="array" ref="Q8">IFERROR(INDEX('Bank Schedule'!R:R, SMALL(IF('Bank Schedule'!$K$2:$K$825="Vacant", ROW('Bank Schedule'!$K$2:$K$825)), ROW(5:5))), "")</f>
        <v/>
      </c>
      <c r="R8" s="11" t="str">
        <f t="array" ref="R8">IFERROR(INDEX('Bank Schedule'!S:S, SMALL(IF('Bank Schedule'!$K$2:$K$825="Vacant", ROW('Bank Schedule'!$K$2:$K$825)), ROW(5:5))), "")</f>
        <v/>
      </c>
      <c r="S8" s="320" t="str">
        <f t="array" ref="S8">IFERROR(INDEX('Bank Schedule'!T:T, SMALL(IF('Bank Schedule'!$K$2:$K$825="Vacant", ROW('Bank Schedule'!$K$2:$K$825)), ROW(5:5))), "")</f>
        <v/>
      </c>
      <c r="T8" s="320" t="str">
        <f t="array" ref="T8">IFERROR(INDEX('Bank Schedule'!U:U, SMALL(IF('Bank Schedule'!$K$2:$K$825="Vacant", ROW('Bank Schedule'!$K$2:$K$825)), ROW(5:5))), "")</f>
        <v/>
      </c>
      <c r="U8" s="320" t="str">
        <f t="array" ref="U8">IFERROR(INDEX('Bank Schedule'!V:V, SMALL(IF('Bank Schedule'!$K$2:$K$825="Vacant", ROW('Bank Schedule'!$K$2:$K$825)), ROW(5:5))), "")</f>
        <v/>
      </c>
      <c r="V8" s="320" t="str">
        <f t="array" ref="V8">IFERROR(INDEX('Bank Schedule'!W:W, SMALL(IF('Bank Schedule'!$K$2:$K$825="Vacant", ROW('Bank Schedule'!$K$2:$K$825)), ROW(5:5))), "")</f>
        <v/>
      </c>
      <c r="W8" s="319" t="str">
        <f t="array" ref="W8">IFERROR(INDEX('Bank Schedule'!X:X, SMALL(IF('Bank Schedule'!$K$2:$K$825="Vacant", ROW('Bank Schedule'!$K$2:$K$825)), ROW(5:5))), "")</f>
        <v/>
      </c>
      <c r="X8" s="11" t="str">
        <f t="array" ref="X8">IFERROR(INDEX('Bank Schedule'!Y:Y, SMALL(IF('Bank Schedule'!$K$2:$K$825="Vacant", ROW('Bank Schedule'!$K$2:$K$825)), ROW(5:5))), "")</f>
        <v/>
      </c>
      <c r="Y8" s="11" t="str">
        <f t="array" ref="Y8">IFERROR(INDEX('Bank Schedule'!Z:Z, SMALL(IF('Bank Schedule'!$K$2:$K$825="Vacant", ROW('Bank Schedule'!$K$2:$K$825)), ROW(5:5))), "")</f>
        <v/>
      </c>
      <c r="Z8" s="11" t="str">
        <f t="array" ref="Z8">IFERROR(INDEX('Bank Schedule'!AA:AA, SMALL(IF('Bank Schedule'!$K$2:$K$825="Vacant", ROW('Bank Schedule'!$K$2:$K$825)), ROW(5:5))), "")</f>
        <v/>
      </c>
      <c r="AA8" s="11" t="str">
        <f t="array" ref="AA8">IFERROR(INDEX('Bank Schedule'!AB:AB, SMALL(IF('Bank Schedule'!$K$2:$K$825="Vacant", ROW('Bank Schedule'!$K$2:$K$825)), ROW(5:5))), "")</f>
        <v/>
      </c>
      <c r="AB8" s="25" t="str">
        <f t="array" ref="AB8">IFERROR(INDEX('Bank Schedule'!AC:AC, SMALL(IF('Bank Schedule'!$K$2:$K$825="Vacant", ROW('Bank Schedule'!$K$2:$K$825)), ROW(5:5))), "")</f>
        <v/>
      </c>
      <c r="AC8" s="299" t="str">
        <f t="array" ref="AC8">IFERROR(INDEX('Bank Schedule'!AD:AD, SMALL(IF('Bank Schedule'!$K$2:$K$825="Vacant", ROW('Bank Schedule'!$K$2:$K$825)), ROW(5:5))), "")</f>
        <v/>
      </c>
      <c r="AD8" s="11" t="str">
        <f t="array" ref="AD8">IFERROR(INDEX('Bank Schedule'!AE:AE, SMALL(IF('Bank Schedule'!$K$2:$K$825="Vacant", ROW('Bank Schedule'!$K$2:$K$825)), ROW(5:5))), "")</f>
        <v/>
      </c>
      <c r="AE8" s="11" t="str">
        <f t="array" ref="AE8">IFERROR(INDEX('Bank Schedule'!AF:AF, SMALL(IF('Bank Schedule'!$K$2:$K$825="Vacant", ROW('Bank Schedule'!$K$2:$K$825)), ROW(5:5))), "")</f>
        <v/>
      </c>
      <c r="AF8" s="11"/>
      <c r="AG8" s="4"/>
    </row>
    <row r="9" spans="1:33" ht="28.5" customHeight="1">
      <c r="A9" s="2" t="str">
        <f t="array" ref="A9">IFERROR(INDEX('Bank Schedule'!A:A, SMALL(IF('Bank Schedule'!$K$2:$K$825="Vacant", ROW('Bank Schedule'!$K$2:$K$825)), ROW(6:6))), "")</f>
        <v/>
      </c>
      <c r="B9" s="11" t="str">
        <f t="array" ref="B9">IFERROR(INDEX('Bank Schedule'!B:B, SMALL(IF('Bank Schedule'!$K$2:$K$825="Vacant", ROW('Bank Schedule'!$K$2:$K$825)), ROW(6:6))), "")</f>
        <v/>
      </c>
      <c r="C9" s="11" t="str">
        <f t="array" ref="C9">IFERROR(INDEX('Bank Schedule'!C:C, SMALL(IF('Bank Schedule'!$K$2:$K$825="Vacant", ROW('Bank Schedule'!$K$2:$K$825)), ROW(6:6))), "")</f>
        <v/>
      </c>
      <c r="D9" s="11" t="str">
        <f t="array" ref="D9">IFERROR(INDEX('Bank Schedule'!D:D, SMALL(IF('Bank Schedule'!$K$2:$K$825="Vacant", ROW('Bank Schedule'!$K$2:$K$825)), ROW(6:6))), "")</f>
        <v/>
      </c>
      <c r="E9" s="25" t="str">
        <f t="array" ref="E9">IFERROR(INDEX('Bank Schedule'!E:E, SMALL(IF('Bank Schedule'!$K$2:$K$825="Vacant", ROW('Bank Schedule'!$K$2:$K$825)), ROW(6:6))), "")</f>
        <v/>
      </c>
      <c r="F9" s="25" t="str">
        <f t="array" ref="F9">IFERROR(INDEX('Bank Schedule'!F:F, SMALL(IF('Bank Schedule'!$K$2:$K$825="Vacant", ROW('Bank Schedule'!$K$2:$K$825)), ROW(6:6))), "")</f>
        <v/>
      </c>
      <c r="G9" s="25" t="str">
        <f t="array" ref="G9">IFERROR(INDEX('Bank Schedule'!G:G, SMALL(IF('Bank Schedule'!$K$2:$K$825="Vacant", ROW('Bank Schedule'!$K$2:$K$825)), ROW(6:6))), "")</f>
        <v/>
      </c>
      <c r="H9" s="55" t="str">
        <f t="array" ref="H9">IFERROR(INDEX('Bank Schedule'!H:H, SMALL(IF('Bank Schedule'!$K$2:$K$825="Vacant", ROW('Bank Schedule'!$K$2:$K$825)), ROW(6:6))), "")</f>
        <v/>
      </c>
      <c r="I9" s="55" t="str">
        <f t="array" ref="I9">IFERROR(INDEX('Bank Schedule'!I:I, SMALL(IF('Bank Schedule'!$K$2:$K$825="Vacant", ROW('Bank Schedule'!$K$2:$K$825)), ROW(6:6))), "")</f>
        <v/>
      </c>
      <c r="J9" s="11" t="str">
        <f t="array" ref="J9">IFERROR(INDEX('Bank Schedule'!K:K, SMALL(IF('Bank Schedule'!$K$2:$K$825="Vacant", ROW('Bank Schedule'!$K$2:$K$825)), ROW(6:6))), "")</f>
        <v/>
      </c>
      <c r="K9" s="11" t="str">
        <f t="array" ref="K9">IFERROR(INDEX('Bank Schedule'!L:L, SMALL(IF('Bank Schedule'!$K$2:$K$825="Vacant", ROW('Bank Schedule'!$K$2:$K$825)), ROW(6:6))), "")</f>
        <v/>
      </c>
      <c r="L9" s="11" t="str">
        <f t="array" ref="L9">IFERROR(INDEX('Bank Schedule'!M:M, SMALL(IF('Bank Schedule'!$K$2:$K$825="Vacant", ROW('Bank Schedule'!$K$2:$K$825)), ROW(6:6))), "")</f>
        <v/>
      </c>
      <c r="M9" s="106" t="str">
        <f t="array" ref="M9">IFERROR(INDEX('Bank Schedule'!N:N, SMALL(IF('Bank Schedule'!$K$2:$K$825="Vacant", ROW('Bank Schedule'!$K$2:$K$825)), ROW(6:6))), "")</f>
        <v/>
      </c>
      <c r="N9" s="11" t="str">
        <f t="array" ref="N9">IFERROR(INDEX('Bank Schedule'!O:O, SMALL(IF('Bank Schedule'!$K$2:$K$825="Vacant", ROW('Bank Schedule'!$K$2:$K$825)), ROW(6:6))), "")</f>
        <v/>
      </c>
      <c r="O9" s="11" t="str">
        <f t="array" ref="O9">IFERROR(INDEX('Bank Schedule'!P:P, SMALL(IF('Bank Schedule'!$K$2:$K$825="Vacant", ROW('Bank Schedule'!$K$2:$K$825)), ROW(6:6))), "")</f>
        <v/>
      </c>
      <c r="P9" s="11" t="str">
        <f t="array" ref="P9">IFERROR(INDEX('Bank Schedule'!Q:Q, SMALL(IF('Bank Schedule'!$K$2:$K$825="Vacant", ROW('Bank Schedule'!$K$2:$K$825)), ROW(6:6))), "")</f>
        <v/>
      </c>
      <c r="Q9" s="11" t="str">
        <f t="array" ref="Q9">IFERROR(INDEX('Bank Schedule'!R:R, SMALL(IF('Bank Schedule'!$K$2:$K$825="Vacant", ROW('Bank Schedule'!$K$2:$K$825)), ROW(6:6))), "")</f>
        <v/>
      </c>
      <c r="R9" s="11" t="str">
        <f t="array" ref="R9">IFERROR(INDEX('Bank Schedule'!S:S, SMALL(IF('Bank Schedule'!$K$2:$K$825="Vacant", ROW('Bank Schedule'!$K$2:$K$825)), ROW(6:6))), "")</f>
        <v/>
      </c>
      <c r="S9" s="320" t="str">
        <f t="array" ref="S9">IFERROR(INDEX('Bank Schedule'!T:T, SMALL(IF('Bank Schedule'!$K$2:$K$825="Vacant", ROW('Bank Schedule'!$K$2:$K$825)), ROW(6:6))), "")</f>
        <v/>
      </c>
      <c r="T9" s="320" t="str">
        <f t="array" ref="T9">IFERROR(INDEX('Bank Schedule'!U:U, SMALL(IF('Bank Schedule'!$K$2:$K$825="Vacant", ROW('Bank Schedule'!$K$2:$K$825)), ROW(6:6))), "")</f>
        <v/>
      </c>
      <c r="U9" s="320" t="str">
        <f t="array" ref="U9">IFERROR(INDEX('Bank Schedule'!V:V, SMALL(IF('Bank Schedule'!$K$2:$K$825="Vacant", ROW('Bank Schedule'!$K$2:$K$825)), ROW(6:6))), "")</f>
        <v/>
      </c>
      <c r="V9" s="320" t="str">
        <f t="array" ref="V9">IFERROR(INDEX('Bank Schedule'!W:W, SMALL(IF('Bank Schedule'!$K$2:$K$825="Vacant", ROW('Bank Schedule'!$K$2:$K$825)), ROW(6:6))), "")</f>
        <v/>
      </c>
      <c r="W9" s="319" t="str">
        <f t="array" ref="W9">IFERROR(INDEX('Bank Schedule'!X:X, SMALL(IF('Bank Schedule'!$K$2:$K$825="Vacant", ROW('Bank Schedule'!$K$2:$K$825)), ROW(6:6))), "")</f>
        <v/>
      </c>
      <c r="X9" s="11" t="str">
        <f t="array" ref="X9">IFERROR(INDEX('Bank Schedule'!Y:Y, SMALL(IF('Bank Schedule'!$K$2:$K$825="Vacant", ROW('Bank Schedule'!$K$2:$K$825)), ROW(6:6))), "")</f>
        <v/>
      </c>
      <c r="Y9" s="11" t="str">
        <f t="array" ref="Y9">IFERROR(INDEX('Bank Schedule'!Z:Z, SMALL(IF('Bank Schedule'!$K$2:$K$825="Vacant", ROW('Bank Schedule'!$K$2:$K$825)), ROW(6:6))), "")</f>
        <v/>
      </c>
      <c r="Z9" s="11" t="str">
        <f t="array" ref="Z9">IFERROR(INDEX('Bank Schedule'!AA:AA, SMALL(IF('Bank Schedule'!$K$2:$K$825="Vacant", ROW('Bank Schedule'!$K$2:$K$825)), ROW(6:6))), "")</f>
        <v/>
      </c>
      <c r="AA9" s="11" t="str">
        <f t="array" ref="AA9">IFERROR(INDEX('Bank Schedule'!AB:AB, SMALL(IF('Bank Schedule'!$K$2:$K$825="Vacant", ROW('Bank Schedule'!$K$2:$K$825)), ROW(6:6))), "")</f>
        <v/>
      </c>
      <c r="AB9" s="25" t="str">
        <f t="array" ref="AB9">IFERROR(INDEX('Bank Schedule'!AC:AC, SMALL(IF('Bank Schedule'!$K$2:$K$825="Vacant", ROW('Bank Schedule'!$K$2:$K$825)), ROW(6:6))), "")</f>
        <v/>
      </c>
      <c r="AC9" s="299" t="str">
        <f t="array" ref="AC9">IFERROR(INDEX('Bank Schedule'!AD:AD, SMALL(IF('Bank Schedule'!$K$2:$K$825="Vacant", ROW('Bank Schedule'!$K$2:$K$825)), ROW(6:6))), "")</f>
        <v/>
      </c>
      <c r="AD9" s="11" t="str">
        <f t="array" ref="AD9">IFERROR(INDEX('Bank Schedule'!AE:AE, SMALL(IF('Bank Schedule'!$K$2:$K$825="Vacant", ROW('Bank Schedule'!$K$2:$K$825)), ROW(6:6))), "")</f>
        <v/>
      </c>
      <c r="AE9" s="11" t="str">
        <f t="array" ref="AE9">IFERROR(INDEX('Bank Schedule'!AF:AF, SMALL(IF('Bank Schedule'!$K$2:$K$825="Vacant", ROW('Bank Schedule'!$K$2:$K$825)), ROW(6:6))), "")</f>
        <v/>
      </c>
      <c r="AF9" s="11"/>
      <c r="AG9" s="4"/>
    </row>
    <row r="10" spans="1:33" ht="28.5" hidden="1" customHeight="1">
      <c r="A10" s="2" t="str">
        <f t="array" ref="A10">IFERROR(INDEX('Bank Schedule'!A:A, SMALL(IF('Bank Schedule'!$K$2:$K$825="Vacant", ROW('Bank Schedule'!$K$2:$K$825)), ROW(7:7))), "")</f>
        <v/>
      </c>
      <c r="B10" s="11" t="str">
        <f t="array" ref="B10">IFERROR(INDEX('Bank Schedule'!B:B, SMALL(IF('Bank Schedule'!$K$2:$K$825="Vacant", ROW('Bank Schedule'!$K$2:$K$825)), ROW(7:7))), "")</f>
        <v/>
      </c>
      <c r="C10" s="11" t="str">
        <f t="array" ref="C10">IFERROR(INDEX('Bank Schedule'!C:C, SMALL(IF('Bank Schedule'!$K$2:$K$825="Vacant", ROW('Bank Schedule'!$K$2:$K$825)), ROW(7:7))), "")</f>
        <v/>
      </c>
      <c r="D10" s="11" t="str">
        <f t="array" ref="D10">IFERROR(INDEX('Bank Schedule'!D:D, SMALL(IF('Bank Schedule'!$K$2:$K$825="Vacant", ROW('Bank Schedule'!$K$2:$K$825)), ROW(7:7))), "")</f>
        <v/>
      </c>
      <c r="E10" s="25" t="str">
        <f t="array" ref="E10">IFERROR(INDEX('Bank Schedule'!E:E, SMALL(IF('Bank Schedule'!$K$2:$K$825="Vacant", ROW('Bank Schedule'!$K$2:$K$825)), ROW(7:7))), "")</f>
        <v/>
      </c>
      <c r="F10" s="25" t="str">
        <f t="array" ref="F10">IFERROR(INDEX('Bank Schedule'!F:F, SMALL(IF('Bank Schedule'!$K$2:$K$825="Vacant", ROW('Bank Schedule'!$K$2:$K$825)), ROW(7:7))), "")</f>
        <v/>
      </c>
      <c r="G10" s="25" t="str">
        <f t="array" ref="G10">IFERROR(INDEX('Bank Schedule'!G:G, SMALL(IF('Bank Schedule'!$K$2:$K$825="Vacant", ROW('Bank Schedule'!$K$2:$K$825)), ROW(7:7))), "")</f>
        <v/>
      </c>
      <c r="H10" s="55" t="str">
        <f t="array" ref="H10">IFERROR(INDEX('Bank Schedule'!H:H, SMALL(IF('Bank Schedule'!$K$2:$K$825="Vacant", ROW('Bank Schedule'!$K$2:$K$825)), ROW(7:7))), "")</f>
        <v/>
      </c>
      <c r="I10" s="55" t="str">
        <f t="array" ref="I10">IFERROR(INDEX('Bank Schedule'!I:I, SMALL(IF('Bank Schedule'!$K$2:$K$825="Vacant", ROW('Bank Schedule'!$K$2:$K$825)), ROW(7:7))), "")</f>
        <v/>
      </c>
      <c r="J10" s="11" t="str">
        <f t="array" ref="J10">IFERROR(INDEX('Bank Schedule'!K:K, SMALL(IF('Bank Schedule'!$K$2:$K$825="Vacant", ROW('Bank Schedule'!$K$2:$K$825)), ROW(7:7))), "")</f>
        <v/>
      </c>
      <c r="K10" s="11" t="str">
        <f t="array" ref="K10">IFERROR(INDEX('Bank Schedule'!L:L, SMALL(IF('Bank Schedule'!$K$2:$K$825="Vacant", ROW('Bank Schedule'!$K$2:$K$825)), ROW(7:7))), "")</f>
        <v/>
      </c>
      <c r="L10" s="11" t="str">
        <f t="array" ref="L10">IFERROR(INDEX('Bank Schedule'!M:M, SMALL(IF('Bank Schedule'!$K$2:$K$825="Vacant", ROW('Bank Schedule'!$K$2:$K$825)), ROW(7:7))), "")</f>
        <v/>
      </c>
      <c r="M10" s="106" t="str">
        <f t="array" ref="M10">IFERROR(INDEX('Bank Schedule'!N:N, SMALL(IF('Bank Schedule'!$K$2:$K$825="Vacant", ROW('Bank Schedule'!$K$2:$K$825)), ROW(7:7))), "")</f>
        <v/>
      </c>
      <c r="N10" s="11" t="str">
        <f t="array" ref="N10">IFERROR(INDEX('Bank Schedule'!O:O, SMALL(IF('Bank Schedule'!$K$2:$K$825="Vacant", ROW('Bank Schedule'!$K$2:$K$825)), ROW(7:7))), "")</f>
        <v/>
      </c>
      <c r="O10" s="11" t="str">
        <f t="array" ref="O10">IFERROR(INDEX('Bank Schedule'!P:P, SMALL(IF('Bank Schedule'!$K$2:$K$825="Vacant", ROW('Bank Schedule'!$K$2:$K$825)), ROW(7:7))), "")</f>
        <v/>
      </c>
      <c r="P10" s="11" t="str">
        <f t="array" ref="P10">IFERROR(INDEX('Bank Schedule'!Q:Q, SMALL(IF('Bank Schedule'!$K$2:$K$825="Vacant", ROW('Bank Schedule'!$K$2:$K$825)), ROW(7:7))), "")</f>
        <v/>
      </c>
      <c r="Q10" s="11" t="str">
        <f t="array" ref="Q10">IFERROR(INDEX('Bank Schedule'!R:R, SMALL(IF('Bank Schedule'!$K$2:$K$825="Vacant", ROW('Bank Schedule'!$K$2:$K$825)), ROW(7:7))), "")</f>
        <v/>
      </c>
      <c r="R10" s="11" t="str">
        <f t="array" ref="R10">IFERROR(INDEX('Bank Schedule'!S:S, SMALL(IF('Bank Schedule'!$K$2:$K$825="Vacant", ROW('Bank Schedule'!$K$2:$K$825)), ROW(7:7))), "")</f>
        <v/>
      </c>
      <c r="S10" s="320" t="str">
        <f t="array" ref="S10">IFERROR(INDEX('Bank Schedule'!T:T, SMALL(IF('Bank Schedule'!$K$2:$K$825="Vacant", ROW('Bank Schedule'!$K$2:$K$825)), ROW(7:7))), "")</f>
        <v/>
      </c>
      <c r="T10" s="320" t="str">
        <f t="array" ref="T10">IFERROR(INDEX('Bank Schedule'!U:U, SMALL(IF('Bank Schedule'!$K$2:$K$825="Vacant", ROW('Bank Schedule'!$K$2:$K$825)), ROW(7:7))), "")</f>
        <v/>
      </c>
      <c r="U10" s="320" t="str">
        <f t="array" ref="U10">IFERROR(INDEX('Bank Schedule'!V:V, SMALL(IF('Bank Schedule'!$K$2:$K$825="Vacant", ROW('Bank Schedule'!$K$2:$K$825)), ROW(7:7))), "")</f>
        <v/>
      </c>
      <c r="V10" s="320" t="str">
        <f t="array" ref="V10">IFERROR(INDEX('Bank Schedule'!W:W, SMALL(IF('Bank Schedule'!$K$2:$K$825="Vacant", ROW('Bank Schedule'!$K$2:$K$825)), ROW(7:7))), "")</f>
        <v/>
      </c>
      <c r="W10" s="319" t="str">
        <f t="array" ref="W10">IFERROR(INDEX('Bank Schedule'!X:X, SMALL(IF('Bank Schedule'!$K$2:$K$825="Vacant", ROW('Bank Schedule'!$K$2:$K$825)), ROW(7:7))), "")</f>
        <v/>
      </c>
      <c r="X10" s="11" t="str">
        <f t="array" ref="X10">IFERROR(INDEX('Bank Schedule'!Y:Y, SMALL(IF('Bank Schedule'!$K$2:$K$825="Vacant", ROW('Bank Schedule'!$K$2:$K$825)), ROW(7:7))), "")</f>
        <v/>
      </c>
      <c r="Y10" s="11" t="str">
        <f t="array" ref="Y10">IFERROR(INDEX('Bank Schedule'!Z:Z, SMALL(IF('Bank Schedule'!$K$2:$K$825="Vacant", ROW('Bank Schedule'!$K$2:$K$825)), ROW(7:7))), "")</f>
        <v/>
      </c>
      <c r="Z10" s="11" t="str">
        <f t="array" ref="Z10">IFERROR(INDEX('Bank Schedule'!AA:AA, SMALL(IF('Bank Schedule'!$K$2:$K$825="Vacant", ROW('Bank Schedule'!$K$2:$K$825)), ROW(7:7))), "")</f>
        <v/>
      </c>
      <c r="AA10" s="11" t="str">
        <f t="array" ref="AA10">IFERROR(INDEX('Bank Schedule'!AB:AB, SMALL(IF('Bank Schedule'!$K$2:$K$825="Vacant", ROW('Bank Schedule'!$K$2:$K$825)), ROW(7:7))), "")</f>
        <v/>
      </c>
      <c r="AB10" s="25" t="str">
        <f t="array" ref="AB10">IFERROR(INDEX('Bank Schedule'!AC:AC, SMALL(IF('Bank Schedule'!$K$2:$K$825="Vacant", ROW('Bank Schedule'!$K$2:$K$825)), ROW(7:7))), "")</f>
        <v/>
      </c>
      <c r="AC10" s="299" t="str">
        <f t="array" ref="AC10">IFERROR(INDEX('Bank Schedule'!AD:AD, SMALL(IF('Bank Schedule'!$K$2:$K$825="Vacant", ROW('Bank Schedule'!$K$2:$K$825)), ROW(7:7))), "")</f>
        <v/>
      </c>
      <c r="AD10" s="11" t="str">
        <f t="array" ref="AD10">IFERROR(INDEX('Bank Schedule'!AE:AE, SMALL(IF('Bank Schedule'!$K$2:$K$825="Vacant", ROW('Bank Schedule'!$K$2:$K$825)), ROW(7:7))), "")</f>
        <v/>
      </c>
      <c r="AE10" s="11" t="str">
        <f t="array" ref="AE10">IFERROR(INDEX('Bank Schedule'!AF:AF, SMALL(IF('Bank Schedule'!$K$2:$K$825="Vacant", ROW('Bank Schedule'!$K$2:$K$825)), ROW(7:7))), "")</f>
        <v/>
      </c>
      <c r="AF10" s="11" t="str">
        <f t="array" ref="AF10">IFERROR(INDEX('Bank Schedule'!AG:AG, SMALL(IF('Bank Schedule'!$K$2:$K$825="Vacant", ROW('Bank Schedule'!$K$2:$K$825)), ROW(7:7))), "")</f>
        <v/>
      </c>
      <c r="AG10" s="4"/>
    </row>
    <row r="11" spans="1:33" ht="28.5" hidden="1" customHeight="1">
      <c r="A11" s="2" t="str">
        <f t="array" ref="A11">IFERROR(INDEX('Bank Schedule'!A:A, SMALL(IF('Bank Schedule'!$K$2:$K$825="Vacant", ROW('Bank Schedule'!$K$2:$K$825)), ROW(8:8))), "")</f>
        <v/>
      </c>
      <c r="B11" s="11" t="str">
        <f t="array" ref="B11">IFERROR(INDEX('Bank Schedule'!B:B, SMALL(IF('Bank Schedule'!$K$2:$K$825="Vacant", ROW('Bank Schedule'!$K$2:$K$825)), ROW(8:8))), "")</f>
        <v/>
      </c>
      <c r="C11" s="11" t="str">
        <f t="array" ref="C11">IFERROR(INDEX('Bank Schedule'!C:C, SMALL(IF('Bank Schedule'!$K$2:$K$825="Vacant", ROW('Bank Schedule'!$K$2:$K$825)), ROW(8:8))), "")</f>
        <v/>
      </c>
      <c r="D11" s="11" t="str">
        <f t="array" ref="D11">IFERROR(INDEX('Bank Schedule'!D:D, SMALL(IF('Bank Schedule'!$K$2:$K$825="Vacant", ROW('Bank Schedule'!$K$2:$K$825)), ROW(8:8))), "")</f>
        <v/>
      </c>
      <c r="E11" s="25" t="str">
        <f t="array" ref="E11">IFERROR(INDEX('Bank Schedule'!E:E, SMALL(IF('Bank Schedule'!$K$2:$K$825="Vacant", ROW('Bank Schedule'!$K$2:$K$825)), ROW(8:8))), "")</f>
        <v/>
      </c>
      <c r="F11" s="25" t="str">
        <f t="array" ref="F11">IFERROR(INDEX('Bank Schedule'!F:F, SMALL(IF('Bank Schedule'!$K$2:$K$825="Vacant", ROW('Bank Schedule'!$K$2:$K$825)), ROW(8:8))), "")</f>
        <v/>
      </c>
      <c r="G11" s="25" t="str">
        <f t="array" ref="G11">IFERROR(INDEX('Bank Schedule'!G:G, SMALL(IF('Bank Schedule'!$K$2:$K$825="Vacant", ROW('Bank Schedule'!$K$2:$K$825)), ROW(8:8))), "")</f>
        <v/>
      </c>
      <c r="H11" s="55" t="str">
        <f t="array" ref="H11">IFERROR(INDEX('Bank Schedule'!H:H, SMALL(IF('Bank Schedule'!$K$2:$K$825="Vacant", ROW('Bank Schedule'!$K$2:$K$825)), ROW(8:8))), "")</f>
        <v/>
      </c>
      <c r="I11" s="55" t="str">
        <f t="array" ref="I11">IFERROR(INDEX('Bank Schedule'!I:I, SMALL(IF('Bank Schedule'!$K$2:$K$825="Vacant", ROW('Bank Schedule'!$K$2:$K$825)), ROW(8:8))), "")</f>
        <v/>
      </c>
      <c r="J11" s="11" t="str">
        <f t="array" ref="J11">IFERROR(INDEX('Bank Schedule'!K:K, SMALL(IF('Bank Schedule'!$K$2:$K$825="Vacant", ROW('Bank Schedule'!$K$2:$K$825)), ROW(8:8))), "")</f>
        <v/>
      </c>
      <c r="K11" s="11" t="str">
        <f t="array" ref="K11">IFERROR(INDEX('Bank Schedule'!L:L, SMALL(IF('Bank Schedule'!$K$2:$K$825="Vacant", ROW('Bank Schedule'!$K$2:$K$825)), ROW(8:8))), "")</f>
        <v/>
      </c>
      <c r="L11" s="11" t="str">
        <f t="array" ref="L11">IFERROR(INDEX('Bank Schedule'!M:M, SMALL(IF('Bank Schedule'!$K$2:$K$825="Vacant", ROW('Bank Schedule'!$K$2:$K$825)), ROW(8:8))), "")</f>
        <v/>
      </c>
      <c r="M11" s="106" t="str">
        <f t="array" ref="M11">IFERROR(INDEX('Bank Schedule'!N:N, SMALL(IF('Bank Schedule'!$K$2:$K$825="Vacant", ROW('Bank Schedule'!$K$2:$K$825)), ROW(8:8))), "")</f>
        <v/>
      </c>
      <c r="N11" s="11" t="str">
        <f t="array" ref="N11">IFERROR(INDEX('Bank Schedule'!O:O, SMALL(IF('Bank Schedule'!$K$2:$K$825="Vacant", ROW('Bank Schedule'!$K$2:$K$825)), ROW(8:8))), "")</f>
        <v/>
      </c>
      <c r="O11" s="11" t="str">
        <f t="array" ref="O11">IFERROR(INDEX('Bank Schedule'!P:P, SMALL(IF('Bank Schedule'!$K$2:$K$825="Vacant", ROW('Bank Schedule'!$K$2:$K$825)), ROW(8:8))), "")</f>
        <v/>
      </c>
      <c r="P11" s="11" t="str">
        <f t="array" ref="P11">IFERROR(INDEX('Bank Schedule'!Q:Q, SMALL(IF('Bank Schedule'!$K$2:$K$825="Vacant", ROW('Bank Schedule'!$K$2:$K$825)), ROW(8:8))), "")</f>
        <v/>
      </c>
      <c r="Q11" s="11" t="str">
        <f t="array" ref="Q11">IFERROR(INDEX('Bank Schedule'!R:R, SMALL(IF('Bank Schedule'!$K$2:$K$825="Vacant", ROW('Bank Schedule'!$K$2:$K$825)), ROW(8:8))), "")</f>
        <v/>
      </c>
      <c r="R11" s="11" t="str">
        <f t="array" ref="R11">IFERROR(INDEX('Bank Schedule'!S:S, SMALL(IF('Bank Schedule'!$K$2:$K$825="Vacant", ROW('Bank Schedule'!$K$2:$K$825)), ROW(8:8))), "")</f>
        <v/>
      </c>
      <c r="S11" s="320" t="str">
        <f t="array" ref="S11">IFERROR(INDEX('Bank Schedule'!T:T, SMALL(IF('Bank Schedule'!$K$2:$K$825="Vacant", ROW('Bank Schedule'!$K$2:$K$825)), ROW(8:8))), "")</f>
        <v/>
      </c>
      <c r="T11" s="320" t="str">
        <f t="array" ref="T11">IFERROR(INDEX('Bank Schedule'!U:U, SMALL(IF('Bank Schedule'!$K$2:$K$825="Vacant", ROW('Bank Schedule'!$K$2:$K$825)), ROW(8:8))), "")</f>
        <v/>
      </c>
      <c r="U11" s="320" t="str">
        <f t="array" ref="U11">IFERROR(INDEX('Bank Schedule'!V:V, SMALL(IF('Bank Schedule'!$K$2:$K$825="Vacant", ROW('Bank Schedule'!$K$2:$K$825)), ROW(8:8))), "")</f>
        <v/>
      </c>
      <c r="V11" s="320" t="str">
        <f t="array" ref="V11">IFERROR(INDEX('Bank Schedule'!W:W, SMALL(IF('Bank Schedule'!$K$2:$K$825="Vacant", ROW('Bank Schedule'!$K$2:$K$825)), ROW(8:8))), "")</f>
        <v/>
      </c>
      <c r="W11" s="319" t="str">
        <f t="array" ref="W11">IFERROR(INDEX('Bank Schedule'!X:X, SMALL(IF('Bank Schedule'!$K$2:$K$825="Vacant", ROW('Bank Schedule'!$K$2:$K$825)), ROW(8:8))), "")</f>
        <v/>
      </c>
      <c r="X11" s="11" t="str">
        <f t="array" ref="X11">IFERROR(INDEX('Bank Schedule'!Y:Y, SMALL(IF('Bank Schedule'!$K$2:$K$825="Vacant", ROW('Bank Schedule'!$K$2:$K$825)), ROW(8:8))), "")</f>
        <v/>
      </c>
      <c r="Y11" s="11" t="str">
        <f t="array" ref="Y11">IFERROR(INDEX('Bank Schedule'!Z:Z, SMALL(IF('Bank Schedule'!$K$2:$K$825="Vacant", ROW('Bank Schedule'!$K$2:$K$825)), ROW(8:8))), "")</f>
        <v/>
      </c>
      <c r="Z11" s="11" t="str">
        <f t="array" ref="Z11">IFERROR(INDEX('Bank Schedule'!AA:AA, SMALL(IF('Bank Schedule'!$K$2:$K$825="Vacant", ROW('Bank Schedule'!$K$2:$K$825)), ROW(8:8))), "")</f>
        <v/>
      </c>
      <c r="AA11" s="11" t="str">
        <f t="array" ref="AA11">IFERROR(INDEX('Bank Schedule'!AB:AB, SMALL(IF('Bank Schedule'!$K$2:$K$825="Vacant", ROW('Bank Schedule'!$K$2:$K$825)), ROW(8:8))), "")</f>
        <v/>
      </c>
      <c r="AB11" s="25" t="str">
        <f t="array" ref="AB11">IFERROR(INDEX('Bank Schedule'!AC:AC, SMALL(IF('Bank Schedule'!$K$2:$K$825="Vacant", ROW('Bank Schedule'!$K$2:$K$825)), ROW(8:8))), "")</f>
        <v/>
      </c>
      <c r="AC11" s="299" t="str">
        <f t="array" ref="AC11">IFERROR(INDEX('Bank Schedule'!AD:AD, SMALL(IF('Bank Schedule'!$K$2:$K$825="Vacant", ROW('Bank Schedule'!$K$2:$K$825)), ROW(8:8))), "")</f>
        <v/>
      </c>
      <c r="AD11" s="11" t="str">
        <f t="array" ref="AD11">IFERROR(INDEX('Bank Schedule'!AE:AE, SMALL(IF('Bank Schedule'!$K$2:$K$825="Vacant", ROW('Bank Schedule'!$K$2:$K$825)), ROW(8:8))), "")</f>
        <v/>
      </c>
      <c r="AE11" s="11" t="str">
        <f t="array" ref="AE11">IFERROR(INDEX('Bank Schedule'!AF:AF, SMALL(IF('Bank Schedule'!$K$2:$K$825="Vacant", ROW('Bank Schedule'!$K$2:$K$825)), ROW(8:8))), "")</f>
        <v/>
      </c>
      <c r="AF11" s="11"/>
      <c r="AG11" s="4"/>
    </row>
    <row r="12" spans="1:33" ht="28.5" hidden="1" customHeight="1">
      <c r="A12" s="2" t="str">
        <f t="array" ref="A12">IFERROR(INDEX('Bank Schedule'!A:A, SMALL(IF('Bank Schedule'!$K$2:$K$825="Vacant", ROW('Bank Schedule'!$K$2:$K$825)), ROW(9:9))), "")</f>
        <v/>
      </c>
      <c r="B12" s="11" t="str">
        <f t="array" ref="B12">IFERROR(INDEX('Bank Schedule'!B:B, SMALL(IF('Bank Schedule'!$K$2:$K$825="Vacant", ROW('Bank Schedule'!$K$2:$K$825)), ROW(9:9))), "")</f>
        <v/>
      </c>
      <c r="C12" s="11" t="str">
        <f t="array" ref="C12">IFERROR(INDEX('Bank Schedule'!C:C, SMALL(IF('Bank Schedule'!$K$2:$K$825="Vacant", ROW('Bank Schedule'!$K$2:$K$825)), ROW(9:9))), "")</f>
        <v/>
      </c>
      <c r="D12" s="11" t="str">
        <f t="array" ref="D12">IFERROR(INDEX('Bank Schedule'!D:D, SMALL(IF('Bank Schedule'!$K$2:$K$825="Vacant", ROW('Bank Schedule'!$K$2:$K$825)), ROW(9:9))), "")</f>
        <v/>
      </c>
      <c r="E12" s="25" t="str">
        <f t="array" ref="E12">IFERROR(INDEX('Bank Schedule'!E:E, SMALL(IF('Bank Schedule'!$K$2:$K$825="Vacant", ROW('Bank Schedule'!$K$2:$K$825)), ROW(9:9))), "")</f>
        <v/>
      </c>
      <c r="F12" s="25" t="str">
        <f t="array" ref="F12">IFERROR(INDEX('Bank Schedule'!F:F, SMALL(IF('Bank Schedule'!$K$2:$K$825="Vacant", ROW('Bank Schedule'!$K$2:$K$825)), ROW(9:9))), "")</f>
        <v/>
      </c>
      <c r="G12" s="25" t="str">
        <f t="array" ref="G12">IFERROR(INDEX('Bank Schedule'!G:G, SMALL(IF('Bank Schedule'!$K$2:$K$825="Vacant", ROW('Bank Schedule'!$K$2:$K$825)), ROW(9:9))), "")</f>
        <v/>
      </c>
      <c r="H12" s="55" t="str">
        <f t="array" ref="H12">IFERROR(INDEX('Bank Schedule'!H:H, SMALL(IF('Bank Schedule'!$K$2:$K$825="Vacant", ROW('Bank Schedule'!$K$2:$K$825)), ROW(9:9))), "")</f>
        <v/>
      </c>
      <c r="I12" s="55" t="str">
        <f t="array" ref="I12">IFERROR(INDEX('Bank Schedule'!I:I, SMALL(IF('Bank Schedule'!$K$2:$K$825="Vacant", ROW('Bank Schedule'!$K$2:$K$825)), ROW(9:9))), "")</f>
        <v/>
      </c>
      <c r="J12" s="11" t="str">
        <f t="array" ref="J12">IFERROR(INDEX('Bank Schedule'!K:K, SMALL(IF('Bank Schedule'!$K$2:$K$825="Vacant", ROW('Bank Schedule'!$K$2:$K$825)), ROW(9:9))), "")</f>
        <v/>
      </c>
      <c r="K12" s="11" t="str">
        <f t="array" ref="K12">IFERROR(INDEX('Bank Schedule'!L:L, SMALL(IF('Bank Schedule'!$K$2:$K$825="Vacant", ROW('Bank Schedule'!$K$2:$K$825)), ROW(9:9))), "")</f>
        <v/>
      </c>
      <c r="L12" s="11" t="str">
        <f t="array" ref="L12">IFERROR(INDEX('Bank Schedule'!M:M, SMALL(IF('Bank Schedule'!$K$2:$K$825="Vacant", ROW('Bank Schedule'!$K$2:$K$825)), ROW(9:9))), "")</f>
        <v/>
      </c>
      <c r="M12" s="106" t="str">
        <f t="array" ref="M12">IFERROR(INDEX('Bank Schedule'!N:N, SMALL(IF('Bank Schedule'!$K$2:$K$825="Vacant", ROW('Bank Schedule'!$K$2:$K$825)), ROW(9:9))), "")</f>
        <v/>
      </c>
      <c r="N12" s="11" t="str">
        <f t="array" ref="N12">IFERROR(INDEX('Bank Schedule'!O:O, SMALL(IF('Bank Schedule'!$K$2:$K$825="Vacant", ROW('Bank Schedule'!$K$2:$K$825)), ROW(9:9))), "")</f>
        <v/>
      </c>
      <c r="O12" s="11" t="str">
        <f t="array" ref="O12">IFERROR(INDEX('Bank Schedule'!P:P, SMALL(IF('Bank Schedule'!$K$2:$K$825="Vacant", ROW('Bank Schedule'!$K$2:$K$825)), ROW(9:9))), "")</f>
        <v/>
      </c>
      <c r="P12" s="11" t="str">
        <f t="array" ref="P12">IFERROR(INDEX('Bank Schedule'!Q:Q, SMALL(IF('Bank Schedule'!$K$2:$K$825="Vacant", ROW('Bank Schedule'!$K$2:$K$825)), ROW(9:9))), "")</f>
        <v/>
      </c>
      <c r="Q12" s="11" t="str">
        <f t="array" ref="Q12">IFERROR(INDEX('Bank Schedule'!R:R, SMALL(IF('Bank Schedule'!$K$2:$K$825="Vacant", ROW('Bank Schedule'!$K$2:$K$825)), ROW(9:9))), "")</f>
        <v/>
      </c>
      <c r="R12" s="11" t="str">
        <f t="array" ref="R12">IFERROR(INDEX('Bank Schedule'!S:S, SMALL(IF('Bank Schedule'!$K$2:$K$825="Vacant", ROW('Bank Schedule'!$K$2:$K$825)), ROW(9:9))), "")</f>
        <v/>
      </c>
      <c r="S12" s="320" t="str">
        <f t="array" ref="S12">IFERROR(INDEX('Bank Schedule'!T:T, SMALL(IF('Bank Schedule'!$K$2:$K$825="Vacant", ROW('Bank Schedule'!$K$2:$K$825)), ROW(9:9))), "")</f>
        <v/>
      </c>
      <c r="T12" s="320" t="str">
        <f t="array" ref="T12">IFERROR(INDEX('Bank Schedule'!U:U, SMALL(IF('Bank Schedule'!$K$2:$K$825="Vacant", ROW('Bank Schedule'!$K$2:$K$825)), ROW(9:9))), "")</f>
        <v/>
      </c>
      <c r="U12" s="320" t="str">
        <f t="array" ref="U12">IFERROR(INDEX('Bank Schedule'!V:V, SMALL(IF('Bank Schedule'!$K$2:$K$825="Vacant", ROW('Bank Schedule'!$K$2:$K$825)), ROW(9:9))), "")</f>
        <v/>
      </c>
      <c r="V12" s="320" t="str">
        <f t="array" ref="V12">IFERROR(INDEX('Bank Schedule'!W:W, SMALL(IF('Bank Schedule'!$K$2:$K$825="Vacant", ROW('Bank Schedule'!$K$2:$K$825)), ROW(9:9))), "")</f>
        <v/>
      </c>
      <c r="W12" s="319" t="str">
        <f t="array" ref="W12">IFERROR(INDEX('Bank Schedule'!X:X, SMALL(IF('Bank Schedule'!$K$2:$K$825="Vacant", ROW('Bank Schedule'!$K$2:$K$825)), ROW(9:9))), "")</f>
        <v/>
      </c>
      <c r="X12" s="11" t="str">
        <f t="array" ref="X12">IFERROR(INDEX('Bank Schedule'!Y:Y, SMALL(IF('Bank Schedule'!$K$2:$K$825="Vacant", ROW('Bank Schedule'!$K$2:$K$825)), ROW(9:9))), "")</f>
        <v/>
      </c>
      <c r="Y12" s="11" t="str">
        <f t="array" ref="Y12">IFERROR(INDEX('Bank Schedule'!Z:Z, SMALL(IF('Bank Schedule'!$K$2:$K$825="Vacant", ROW('Bank Schedule'!$K$2:$K$825)), ROW(9:9))), "")</f>
        <v/>
      </c>
      <c r="Z12" s="11" t="str">
        <f t="array" ref="Z12">IFERROR(INDEX('Bank Schedule'!AA:AA, SMALL(IF('Bank Schedule'!$K$2:$K$825="Vacant", ROW('Bank Schedule'!$K$2:$K$825)), ROW(9:9))), "")</f>
        <v/>
      </c>
      <c r="AA12" s="11" t="str">
        <f t="array" ref="AA12">IFERROR(INDEX('Bank Schedule'!AB:AB, SMALL(IF('Bank Schedule'!$K$2:$K$825="Vacant", ROW('Bank Schedule'!$K$2:$K$825)), ROW(9:9))), "")</f>
        <v/>
      </c>
      <c r="AB12" s="25" t="str">
        <f t="array" ref="AB12">IFERROR(INDEX('Bank Schedule'!AC:AC, SMALL(IF('Bank Schedule'!$K$2:$K$825="Vacant", ROW('Bank Schedule'!$K$2:$K$825)), ROW(9:9))), "")</f>
        <v/>
      </c>
      <c r="AC12" s="299" t="str">
        <f t="array" ref="AC12">IFERROR(INDEX('Bank Schedule'!AD:AD, SMALL(IF('Bank Schedule'!$K$2:$K$825="Vacant", ROW('Bank Schedule'!$K$2:$K$825)), ROW(9:9))), "")</f>
        <v/>
      </c>
      <c r="AD12" s="11" t="str">
        <f t="array" ref="AD12">IFERROR(INDEX('Bank Schedule'!AE:AE, SMALL(IF('Bank Schedule'!$K$2:$K$825="Vacant", ROW('Bank Schedule'!$K$2:$K$825)), ROW(9:9))), "")</f>
        <v/>
      </c>
      <c r="AE12" s="11" t="str">
        <f t="array" ref="AE12">IFERROR(INDEX('Bank Schedule'!AF:AF, SMALL(IF('Bank Schedule'!$K$2:$K$825="Vacant", ROW('Bank Schedule'!$K$2:$K$825)), ROW(9:9))), "")</f>
        <v/>
      </c>
      <c r="AF12" s="11" t="str">
        <f t="array" ref="AF12">IFERROR(INDEX('Bank Schedule'!AG:AG, SMALL(IF('Bank Schedule'!$K$2:$K$825="Vacant", ROW('Bank Schedule'!$K$2:$K$825)), ROW(9:9))), "")</f>
        <v/>
      </c>
      <c r="AG12" s="4"/>
    </row>
    <row r="13" spans="1:33" ht="28.5" hidden="1" customHeight="1">
      <c r="A13" s="2" t="str">
        <f t="array" ref="A13">IFERROR(INDEX('Bank Schedule'!A:A, SMALL(IF('Bank Schedule'!$K$2:$K$825="Vacant", ROW('Bank Schedule'!$K$2:$K$825)), ROW(10:10))), "")</f>
        <v/>
      </c>
      <c r="B13" s="11" t="str">
        <f t="array" ref="B13">IFERROR(INDEX('Bank Schedule'!B:B, SMALL(IF('Bank Schedule'!$K$2:$K$825="Vacant", ROW('Bank Schedule'!$K$2:$K$825)), ROW(10:10))), "")</f>
        <v/>
      </c>
      <c r="C13" s="11" t="str">
        <f t="array" ref="C13">IFERROR(INDEX('Bank Schedule'!C:C, SMALL(IF('Bank Schedule'!$K$2:$K$825="Vacant", ROW('Bank Schedule'!$K$2:$K$825)), ROW(10:10))), "")</f>
        <v/>
      </c>
      <c r="D13" s="11" t="str">
        <f t="array" ref="D13">IFERROR(INDEX('Bank Schedule'!D:D, SMALL(IF('Bank Schedule'!$K$2:$K$825="Vacant", ROW('Bank Schedule'!$K$2:$K$825)), ROW(10:10))), "")</f>
        <v/>
      </c>
      <c r="E13" s="25" t="str">
        <f t="array" ref="E13">IFERROR(INDEX('Bank Schedule'!E:E, SMALL(IF('Bank Schedule'!$K$2:$K$825="Vacant", ROW('Bank Schedule'!$K$2:$K$825)), ROW(10:10))), "")</f>
        <v/>
      </c>
      <c r="F13" s="25" t="str">
        <f t="array" ref="F13">IFERROR(INDEX('Bank Schedule'!F:F, SMALL(IF('Bank Schedule'!$K$2:$K$825="Vacant", ROW('Bank Schedule'!$K$2:$K$825)), ROW(10:10))), "")</f>
        <v/>
      </c>
      <c r="G13" s="25" t="str">
        <f t="array" ref="G13">IFERROR(INDEX('Bank Schedule'!G:G, SMALL(IF('Bank Schedule'!$K$2:$K$825="Vacant", ROW('Bank Schedule'!$K$2:$K$825)), ROW(10:10))), "")</f>
        <v/>
      </c>
      <c r="H13" s="55" t="str">
        <f t="array" ref="H13">IFERROR(INDEX('Bank Schedule'!H:H, SMALL(IF('Bank Schedule'!$K$2:$K$825="Vacant", ROW('Bank Schedule'!$K$2:$K$825)), ROW(10:10))), "")</f>
        <v/>
      </c>
      <c r="I13" s="55" t="str">
        <f t="array" ref="I13">IFERROR(INDEX('Bank Schedule'!I:I, SMALL(IF('Bank Schedule'!$K$2:$K$825="Vacant", ROW('Bank Schedule'!$K$2:$K$825)), ROW(10:10))), "")</f>
        <v/>
      </c>
      <c r="J13" s="11" t="str">
        <f t="array" ref="J13">IFERROR(INDEX('Bank Schedule'!K:K, SMALL(IF('Bank Schedule'!$K$2:$K$825="Vacant", ROW('Bank Schedule'!$K$2:$K$825)), ROW(10:10))), "")</f>
        <v/>
      </c>
      <c r="K13" s="11" t="str">
        <f t="array" ref="K13">IFERROR(INDEX('Bank Schedule'!L:L, SMALL(IF('Bank Schedule'!$K$2:$K$825="Vacant", ROW('Bank Schedule'!$K$2:$K$825)), ROW(10:10))), "")</f>
        <v/>
      </c>
      <c r="L13" s="11" t="str">
        <f t="array" ref="L13">IFERROR(INDEX('Bank Schedule'!M:M, SMALL(IF('Bank Schedule'!$K$2:$K$825="Vacant", ROW('Bank Schedule'!$K$2:$K$825)), ROW(10:10))), "")</f>
        <v/>
      </c>
      <c r="M13" s="106" t="str">
        <f t="array" ref="M13">IFERROR(INDEX('Bank Schedule'!N:N, SMALL(IF('Bank Schedule'!$K$2:$K$825="Vacant", ROW('Bank Schedule'!$K$2:$K$825)), ROW(10:10))), "")</f>
        <v/>
      </c>
      <c r="N13" s="11" t="str">
        <f t="array" ref="N13">IFERROR(INDEX('Bank Schedule'!O:O, SMALL(IF('Bank Schedule'!$K$2:$K$825="Vacant", ROW('Bank Schedule'!$K$2:$K$825)), ROW(10:10))), "")</f>
        <v/>
      </c>
      <c r="O13" s="11" t="str">
        <f t="array" ref="O13">IFERROR(INDEX('Bank Schedule'!P:P, SMALL(IF('Bank Schedule'!$K$2:$K$825="Vacant", ROW('Bank Schedule'!$K$2:$K$825)), ROW(10:10))), "")</f>
        <v/>
      </c>
      <c r="P13" s="11" t="str">
        <f t="array" ref="P13">IFERROR(INDEX('Bank Schedule'!Q:Q, SMALL(IF('Bank Schedule'!$K$2:$K$825="Vacant", ROW('Bank Schedule'!$K$2:$K$825)), ROW(10:10))), "")</f>
        <v/>
      </c>
      <c r="Q13" s="11" t="str">
        <f t="array" ref="Q13">IFERROR(INDEX('Bank Schedule'!R:R, SMALL(IF('Bank Schedule'!$K$2:$K$825="Vacant", ROW('Bank Schedule'!$K$2:$K$825)), ROW(10:10))), "")</f>
        <v/>
      </c>
      <c r="R13" s="11" t="str">
        <f t="array" ref="R13">IFERROR(INDEX('Bank Schedule'!S:S, SMALL(IF('Bank Schedule'!$K$2:$K$825="Vacant", ROW('Bank Schedule'!$K$2:$K$825)), ROW(10:10))), "")</f>
        <v/>
      </c>
      <c r="S13" s="320" t="str">
        <f t="array" ref="S13">IFERROR(INDEX('Bank Schedule'!T:T, SMALL(IF('Bank Schedule'!$K$2:$K$825="Vacant", ROW('Bank Schedule'!$K$2:$K$825)), ROW(10:10))), "")</f>
        <v/>
      </c>
      <c r="T13" s="320" t="str">
        <f t="array" ref="T13">IFERROR(INDEX('Bank Schedule'!U:U, SMALL(IF('Bank Schedule'!$K$2:$K$825="Vacant", ROW('Bank Schedule'!$K$2:$K$825)), ROW(10:10))), "")</f>
        <v/>
      </c>
      <c r="U13" s="320" t="str">
        <f t="array" ref="U13">IFERROR(INDEX('Bank Schedule'!V:V, SMALL(IF('Bank Schedule'!$K$2:$K$825="Vacant", ROW('Bank Schedule'!$K$2:$K$825)), ROW(10:10))), "")</f>
        <v/>
      </c>
      <c r="V13" s="320" t="str">
        <f t="array" ref="V13">IFERROR(INDEX('Bank Schedule'!W:W, SMALL(IF('Bank Schedule'!$K$2:$K$825="Vacant", ROW('Bank Schedule'!$K$2:$K$825)), ROW(10:10))), "")</f>
        <v/>
      </c>
      <c r="W13" s="319" t="str">
        <f t="array" ref="W13">IFERROR(INDEX('Bank Schedule'!X:X, SMALL(IF('Bank Schedule'!$K$2:$K$825="Vacant", ROW('Bank Schedule'!$K$2:$K$825)), ROW(10:10))), "")</f>
        <v/>
      </c>
      <c r="X13" s="11" t="str">
        <f t="array" ref="X13">IFERROR(INDEX('Bank Schedule'!Y:Y, SMALL(IF('Bank Schedule'!$K$2:$K$825="Vacant", ROW('Bank Schedule'!$K$2:$K$825)), ROW(10:10))), "")</f>
        <v/>
      </c>
      <c r="Y13" s="11" t="str">
        <f t="array" ref="Y13">IFERROR(INDEX('Bank Schedule'!Z:Z, SMALL(IF('Bank Schedule'!$K$2:$K$825="Vacant", ROW('Bank Schedule'!$K$2:$K$825)), ROW(10:10))), "")</f>
        <v/>
      </c>
      <c r="Z13" s="11" t="str">
        <f t="array" ref="Z13">IFERROR(INDEX('Bank Schedule'!AA:AA, SMALL(IF('Bank Schedule'!$K$2:$K$825="Vacant", ROW('Bank Schedule'!$K$2:$K$825)), ROW(10:10))), "")</f>
        <v/>
      </c>
      <c r="AA13" s="11" t="str">
        <f t="array" ref="AA13">IFERROR(INDEX('Bank Schedule'!AB:AB, SMALL(IF('Bank Schedule'!$K$2:$K$825="Vacant", ROW('Bank Schedule'!$K$2:$K$825)), ROW(10:10))), "")</f>
        <v/>
      </c>
      <c r="AB13" s="25" t="str">
        <f t="array" ref="AB13">IFERROR(INDEX('Bank Schedule'!AC:AC, SMALL(IF('Bank Schedule'!$K$2:$K$825="Vacant", ROW('Bank Schedule'!$K$2:$K$825)), ROW(10:10))), "")</f>
        <v/>
      </c>
      <c r="AC13" s="299" t="str">
        <f t="array" ref="AC13">IFERROR(INDEX('Bank Schedule'!AD:AD, SMALL(IF('Bank Schedule'!$K$2:$K$825="Vacant", ROW('Bank Schedule'!$K$2:$K$825)), ROW(10:10))), "")</f>
        <v/>
      </c>
      <c r="AD13" s="11" t="str">
        <f t="array" ref="AD13">IFERROR(INDEX('Bank Schedule'!AE:AE, SMALL(IF('Bank Schedule'!$K$2:$K$825="Vacant", ROW('Bank Schedule'!$K$2:$K$825)), ROW(10:10))), "")</f>
        <v/>
      </c>
      <c r="AE13" s="11" t="str">
        <f t="array" ref="AE13">IFERROR(INDEX('Bank Schedule'!AF:AF, SMALL(IF('Bank Schedule'!$K$2:$K$825="Vacant", ROW('Bank Schedule'!$K$2:$K$825)), ROW(10:10))), "")</f>
        <v/>
      </c>
      <c r="AF13" s="11" t="str">
        <f t="array" ref="AF13">IFERROR(INDEX('Bank Schedule'!AG:AG, SMALL(IF('Bank Schedule'!$K$2:$K$825="Vacant", ROW('Bank Schedule'!$K$2:$K$825)), ROW(10:10))), "")</f>
        <v/>
      </c>
      <c r="AG13" s="4"/>
    </row>
    <row r="14" spans="1:33" ht="28.5" hidden="1" customHeight="1">
      <c r="A14" s="2" t="str">
        <f t="array" ref="A14">IFERROR(INDEX('Bank Schedule'!A:A, SMALL(IF('Bank Schedule'!$K$2:$K$825="Vacant", ROW('Bank Schedule'!$K$2:$K$825)), ROW(11:11))), "")</f>
        <v/>
      </c>
      <c r="B14" s="11" t="str">
        <f t="array" ref="B14">IFERROR(INDEX('Bank Schedule'!B:B, SMALL(IF('Bank Schedule'!$K$2:$K$825="Vacant", ROW('Bank Schedule'!$K$2:$K$825)), ROW(11:11))), "")</f>
        <v/>
      </c>
      <c r="C14" s="11" t="str">
        <f t="array" ref="C14">IFERROR(INDEX('Bank Schedule'!C:C, SMALL(IF('Bank Schedule'!$K$2:$K$825="Vacant", ROW('Bank Schedule'!$K$2:$K$825)), ROW(11:11))), "")</f>
        <v/>
      </c>
      <c r="D14" s="11" t="str">
        <f t="array" ref="D14">IFERROR(INDEX('Bank Schedule'!D:D, SMALL(IF('Bank Schedule'!$K$2:$K$825="Vacant", ROW('Bank Schedule'!$K$2:$K$825)), ROW(11:11))), "")</f>
        <v/>
      </c>
      <c r="E14" s="25" t="str">
        <f t="array" ref="E14">IFERROR(INDEX('Bank Schedule'!E:E, SMALL(IF('Bank Schedule'!$K$2:$K$825="Vacant", ROW('Bank Schedule'!$K$2:$K$825)), ROW(11:11))), "")</f>
        <v/>
      </c>
      <c r="F14" s="25" t="str">
        <f t="array" ref="F14">IFERROR(INDEX('Bank Schedule'!F:F, SMALL(IF('Bank Schedule'!$K$2:$K$825="Vacant", ROW('Bank Schedule'!$K$2:$K$825)), ROW(11:11))), "")</f>
        <v/>
      </c>
      <c r="G14" s="25" t="str">
        <f t="array" ref="G14">IFERROR(INDEX('Bank Schedule'!G:G, SMALL(IF('Bank Schedule'!$K$2:$K$825="Vacant", ROW('Bank Schedule'!$K$2:$K$825)), ROW(11:11))), "")</f>
        <v/>
      </c>
      <c r="H14" s="55" t="str">
        <f t="array" ref="H14">IFERROR(INDEX('Bank Schedule'!H:H, SMALL(IF('Bank Schedule'!$K$2:$K$825="Vacant", ROW('Bank Schedule'!$K$2:$K$825)), ROW(11:11))), "")</f>
        <v/>
      </c>
      <c r="I14" s="55" t="str">
        <f t="array" ref="I14">IFERROR(INDEX('Bank Schedule'!I:I, SMALL(IF('Bank Schedule'!$K$2:$K$825="Vacant", ROW('Bank Schedule'!$K$2:$K$825)), ROW(11:11))), "")</f>
        <v/>
      </c>
      <c r="J14" s="11" t="str">
        <f t="array" ref="J14">IFERROR(INDEX('Bank Schedule'!K:K, SMALL(IF('Bank Schedule'!$K$2:$K$825="Vacant", ROW('Bank Schedule'!$K$2:$K$825)), ROW(11:11))), "")</f>
        <v/>
      </c>
      <c r="K14" s="11" t="str">
        <f t="array" ref="K14">IFERROR(INDEX('Bank Schedule'!L:L, SMALL(IF('Bank Schedule'!$K$2:$K$825="Vacant", ROW('Bank Schedule'!$K$2:$K$825)), ROW(11:11))), "")</f>
        <v/>
      </c>
      <c r="L14" s="11" t="str">
        <f t="array" ref="L14">IFERROR(INDEX('Bank Schedule'!M:M, SMALL(IF('Bank Schedule'!$K$2:$K$825="Vacant", ROW('Bank Schedule'!$K$2:$K$825)), ROW(11:11))), "")</f>
        <v/>
      </c>
      <c r="M14" s="106" t="str">
        <f t="array" ref="M14">IFERROR(INDEX('Bank Schedule'!N:N, SMALL(IF('Bank Schedule'!$K$2:$K$825="Vacant", ROW('Bank Schedule'!$K$2:$K$825)), ROW(11:11))), "")</f>
        <v/>
      </c>
      <c r="N14" s="11" t="str">
        <f t="array" ref="N14">IFERROR(INDEX('Bank Schedule'!O:O, SMALL(IF('Bank Schedule'!$K$2:$K$825="Vacant", ROW('Bank Schedule'!$K$2:$K$825)), ROW(11:11))), "")</f>
        <v/>
      </c>
      <c r="O14" s="11" t="str">
        <f t="array" ref="O14">IFERROR(INDEX('Bank Schedule'!P:P, SMALL(IF('Bank Schedule'!$K$2:$K$825="Vacant", ROW('Bank Schedule'!$K$2:$K$825)), ROW(11:11))), "")</f>
        <v/>
      </c>
      <c r="P14" s="11" t="str">
        <f t="array" ref="P14">IFERROR(INDEX('Bank Schedule'!Q:Q, SMALL(IF('Bank Schedule'!$K$2:$K$825="Vacant", ROW('Bank Schedule'!$K$2:$K$825)), ROW(11:11))), "")</f>
        <v/>
      </c>
      <c r="Q14" s="11" t="str">
        <f t="array" ref="Q14">IFERROR(INDEX('Bank Schedule'!R:R, SMALL(IF('Bank Schedule'!$K$2:$K$825="Vacant", ROW('Bank Schedule'!$K$2:$K$825)), ROW(11:11))), "")</f>
        <v/>
      </c>
      <c r="R14" s="11" t="str">
        <f t="array" ref="R14">IFERROR(INDEX('Bank Schedule'!S:S, SMALL(IF('Bank Schedule'!$K$2:$K$825="Vacant", ROW('Bank Schedule'!$K$2:$K$825)), ROW(11:11))), "")</f>
        <v/>
      </c>
      <c r="S14" s="320" t="str">
        <f t="array" ref="S14">IFERROR(INDEX('Bank Schedule'!T:T, SMALL(IF('Bank Schedule'!$K$2:$K$825="Vacant", ROW('Bank Schedule'!$K$2:$K$825)), ROW(11:11))), "")</f>
        <v/>
      </c>
      <c r="T14" s="320" t="str">
        <f t="array" ref="T14">IFERROR(INDEX('Bank Schedule'!U:U, SMALL(IF('Bank Schedule'!$K$2:$K$825="Vacant", ROW('Bank Schedule'!$K$2:$K$825)), ROW(11:11))), "")</f>
        <v/>
      </c>
      <c r="U14" s="320" t="str">
        <f t="array" ref="U14">IFERROR(INDEX('Bank Schedule'!V:V, SMALL(IF('Bank Schedule'!$K$2:$K$825="Vacant", ROW('Bank Schedule'!$K$2:$K$825)), ROW(11:11))), "")</f>
        <v/>
      </c>
      <c r="V14" s="320" t="str">
        <f t="array" ref="V14">IFERROR(INDEX('Bank Schedule'!W:W, SMALL(IF('Bank Schedule'!$K$2:$K$825="Vacant", ROW('Bank Schedule'!$K$2:$K$825)), ROW(11:11))), "")</f>
        <v/>
      </c>
      <c r="W14" s="319" t="str">
        <f t="array" ref="W14">IFERROR(INDEX('Bank Schedule'!X:X, SMALL(IF('Bank Schedule'!$K$2:$K$825="Vacant", ROW('Bank Schedule'!$K$2:$K$825)), ROW(11:11))), "")</f>
        <v/>
      </c>
      <c r="X14" s="11" t="str">
        <f t="array" ref="X14">IFERROR(INDEX('Bank Schedule'!Y:Y, SMALL(IF('Bank Schedule'!$K$2:$K$825="Vacant", ROW('Bank Schedule'!$K$2:$K$825)), ROW(11:11))), "")</f>
        <v/>
      </c>
      <c r="Y14" s="11" t="str">
        <f t="array" ref="Y14">IFERROR(INDEX('Bank Schedule'!Z:Z, SMALL(IF('Bank Schedule'!$K$2:$K$825="Vacant", ROW('Bank Schedule'!$K$2:$K$825)), ROW(11:11))), "")</f>
        <v/>
      </c>
      <c r="Z14" s="11" t="str">
        <f t="array" ref="Z14">IFERROR(INDEX('Bank Schedule'!AA:AA, SMALL(IF('Bank Schedule'!$K$2:$K$825="Vacant", ROW('Bank Schedule'!$K$2:$K$825)), ROW(11:11))), "")</f>
        <v/>
      </c>
      <c r="AA14" s="11" t="str">
        <f t="array" ref="AA14">IFERROR(INDEX('Bank Schedule'!AB:AB, SMALL(IF('Bank Schedule'!$K$2:$K$825="Vacant", ROW('Bank Schedule'!$K$2:$K$825)), ROW(11:11))), "")</f>
        <v/>
      </c>
      <c r="AB14" s="25" t="str">
        <f t="array" ref="AB14">IFERROR(INDEX('Bank Schedule'!AC:AC, SMALL(IF('Bank Schedule'!$K$2:$K$825="Vacant", ROW('Bank Schedule'!$K$2:$K$825)), ROW(11:11))), "")</f>
        <v/>
      </c>
      <c r="AC14" s="299" t="str">
        <f t="array" ref="AC14">IFERROR(INDEX('Bank Schedule'!AD:AD, SMALL(IF('Bank Schedule'!$K$2:$K$825="Vacant", ROW('Bank Schedule'!$K$2:$K$825)), ROW(11:11))), "")</f>
        <v/>
      </c>
      <c r="AD14" s="11" t="str">
        <f t="array" ref="AD14">IFERROR(INDEX('Bank Schedule'!AE:AE, SMALL(IF('Bank Schedule'!$K$2:$K$825="Vacant", ROW('Bank Schedule'!$K$2:$K$825)), ROW(11:11))), "")</f>
        <v/>
      </c>
      <c r="AE14" s="11" t="str">
        <f t="array" ref="AE14">IFERROR(INDEX('Bank Schedule'!AF:AF, SMALL(IF('Bank Schedule'!$K$2:$K$825="Vacant", ROW('Bank Schedule'!$K$2:$K$825)), ROW(11:11))), "")</f>
        <v/>
      </c>
      <c r="AF14" s="11" t="str">
        <f t="array" ref="AF14">IFERROR(INDEX('Bank Schedule'!AG:AG, SMALL(IF('Bank Schedule'!$K$2:$K$825="Vacant", ROW('Bank Schedule'!$K$2:$K$825)), ROW(11:11))), "")</f>
        <v/>
      </c>
      <c r="AG14" s="4"/>
    </row>
    <row r="15" spans="1:33" ht="28.5" hidden="1" customHeight="1">
      <c r="A15" s="2" t="str">
        <f t="array" ref="A15">IFERROR(INDEX('Bank Schedule'!A:A, SMALL(IF('Bank Schedule'!$K$2:$K$825="Vacant", ROW('Bank Schedule'!$K$2:$K$825)), ROW(12:12))), "")</f>
        <v/>
      </c>
      <c r="B15" s="11" t="str">
        <f t="array" ref="B15">IFERROR(INDEX('Bank Schedule'!B:B, SMALL(IF('Bank Schedule'!$K$2:$K$825="Vacant", ROW('Bank Schedule'!$K$2:$K$825)), ROW(12:12))), "")</f>
        <v/>
      </c>
      <c r="C15" s="11" t="str">
        <f t="array" ref="C15">IFERROR(INDEX('Bank Schedule'!C:C, SMALL(IF('Bank Schedule'!$K$2:$K$825="Vacant", ROW('Bank Schedule'!$K$2:$K$825)), ROW(12:12))), "")</f>
        <v/>
      </c>
      <c r="D15" s="11" t="str">
        <f t="array" ref="D15">IFERROR(INDEX('Bank Schedule'!D:D, SMALL(IF('Bank Schedule'!$K$2:$K$825="Vacant", ROW('Bank Schedule'!$K$2:$K$825)), ROW(12:12))), "")</f>
        <v/>
      </c>
      <c r="E15" s="25" t="str">
        <f t="array" ref="E15">IFERROR(INDEX('Bank Schedule'!E:E, SMALL(IF('Bank Schedule'!$K$2:$K$825="Vacant", ROW('Bank Schedule'!$K$2:$K$825)), ROW(12:12))), "")</f>
        <v/>
      </c>
      <c r="F15" s="25" t="str">
        <f t="array" ref="F15">IFERROR(INDEX('Bank Schedule'!F:F, SMALL(IF('Bank Schedule'!$K$2:$K$825="Vacant", ROW('Bank Schedule'!$K$2:$K$825)), ROW(12:12))), "")</f>
        <v/>
      </c>
      <c r="G15" s="25" t="str">
        <f t="array" ref="G15">IFERROR(INDEX('Bank Schedule'!G:G, SMALL(IF('Bank Schedule'!$K$2:$K$825="Vacant", ROW('Bank Schedule'!$K$2:$K$825)), ROW(12:12))), "")</f>
        <v/>
      </c>
      <c r="H15" s="55" t="str">
        <f t="array" ref="H15">IFERROR(INDEX('Bank Schedule'!H:H, SMALL(IF('Bank Schedule'!$K$2:$K$825="Vacant", ROW('Bank Schedule'!$K$2:$K$825)), ROW(12:12))), "")</f>
        <v/>
      </c>
      <c r="I15" s="55" t="str">
        <f t="array" ref="I15">IFERROR(INDEX('Bank Schedule'!I:I, SMALL(IF('Bank Schedule'!$K$2:$K$825="Vacant", ROW('Bank Schedule'!$K$2:$K$825)), ROW(12:12))), "")</f>
        <v/>
      </c>
      <c r="J15" s="11" t="str">
        <f t="array" ref="J15">IFERROR(INDEX('Bank Schedule'!K:K, SMALL(IF('Bank Schedule'!$K$2:$K$825="Vacant", ROW('Bank Schedule'!$K$2:$K$825)), ROW(12:12))), "")</f>
        <v/>
      </c>
      <c r="K15" s="11" t="str">
        <f t="array" ref="K15">IFERROR(INDEX('Bank Schedule'!L:L, SMALL(IF('Bank Schedule'!$K$2:$K$825="Vacant", ROW('Bank Schedule'!$K$2:$K$825)), ROW(12:12))), "")</f>
        <v/>
      </c>
      <c r="L15" s="11" t="str">
        <f t="array" ref="L15">IFERROR(INDEX('Bank Schedule'!M:M, SMALL(IF('Bank Schedule'!$K$2:$K$825="Vacant", ROW('Bank Schedule'!$K$2:$K$825)), ROW(12:12))), "")</f>
        <v/>
      </c>
      <c r="M15" s="106" t="str">
        <f t="array" ref="M15">IFERROR(INDEX('Bank Schedule'!N:N, SMALL(IF('Bank Schedule'!$K$2:$K$825="Vacant", ROW('Bank Schedule'!$K$2:$K$825)), ROW(12:12))), "")</f>
        <v/>
      </c>
      <c r="N15" s="11" t="str">
        <f t="array" ref="N15">IFERROR(INDEX('Bank Schedule'!O:O, SMALL(IF('Bank Schedule'!$K$2:$K$825="Vacant", ROW('Bank Schedule'!$K$2:$K$825)), ROW(12:12))), "")</f>
        <v/>
      </c>
      <c r="O15" s="11" t="str">
        <f t="array" ref="O15">IFERROR(INDEX('Bank Schedule'!P:P, SMALL(IF('Bank Schedule'!$K$2:$K$825="Vacant", ROW('Bank Schedule'!$K$2:$K$825)), ROW(12:12))), "")</f>
        <v/>
      </c>
      <c r="P15" s="11" t="str">
        <f t="array" ref="P15">IFERROR(INDEX('Bank Schedule'!Q:Q, SMALL(IF('Bank Schedule'!$K$2:$K$825="Vacant", ROW('Bank Schedule'!$K$2:$K$825)), ROW(12:12))), "")</f>
        <v/>
      </c>
      <c r="Q15" s="11" t="str">
        <f t="array" ref="Q15">IFERROR(INDEX('Bank Schedule'!R:R, SMALL(IF('Bank Schedule'!$K$2:$K$825="Vacant", ROW('Bank Schedule'!$K$2:$K$825)), ROW(12:12))), "")</f>
        <v/>
      </c>
      <c r="R15" s="11" t="str">
        <f t="array" ref="R15">IFERROR(INDEX('Bank Schedule'!S:S, SMALL(IF('Bank Schedule'!$K$2:$K$825="Vacant", ROW('Bank Schedule'!$K$2:$K$825)), ROW(12:12))), "")</f>
        <v/>
      </c>
      <c r="S15" s="320" t="str">
        <f t="array" ref="S15">IFERROR(INDEX('Bank Schedule'!T:T, SMALL(IF('Bank Schedule'!$K$2:$K$825="Vacant", ROW('Bank Schedule'!$K$2:$K$825)), ROW(12:12))), "")</f>
        <v/>
      </c>
      <c r="T15" s="320" t="str">
        <f t="array" ref="T15">IFERROR(INDEX('Bank Schedule'!U:U, SMALL(IF('Bank Schedule'!$K$2:$K$825="Vacant", ROW('Bank Schedule'!$K$2:$K$825)), ROW(12:12))), "")</f>
        <v/>
      </c>
      <c r="U15" s="320" t="str">
        <f t="array" ref="U15">IFERROR(INDEX('Bank Schedule'!V:V, SMALL(IF('Bank Schedule'!$K$2:$K$825="Vacant", ROW('Bank Schedule'!$K$2:$K$825)), ROW(12:12))), "")</f>
        <v/>
      </c>
      <c r="V15" s="320" t="str">
        <f t="array" ref="V15">IFERROR(INDEX('Bank Schedule'!W:W, SMALL(IF('Bank Schedule'!$K$2:$K$825="Vacant", ROW('Bank Schedule'!$K$2:$K$825)), ROW(12:12))), "")</f>
        <v/>
      </c>
      <c r="W15" s="319" t="str">
        <f t="array" ref="W15">IFERROR(INDEX('Bank Schedule'!X:X, SMALL(IF('Bank Schedule'!$K$2:$K$825="Vacant", ROW('Bank Schedule'!$K$2:$K$825)), ROW(12:12))), "")</f>
        <v/>
      </c>
      <c r="X15" s="11" t="str">
        <f t="array" ref="X15">IFERROR(INDEX('Bank Schedule'!Y:Y, SMALL(IF('Bank Schedule'!$K$2:$K$825="Vacant", ROW('Bank Schedule'!$K$2:$K$825)), ROW(12:12))), "")</f>
        <v/>
      </c>
      <c r="Y15" s="11" t="str">
        <f t="array" ref="Y15">IFERROR(INDEX('Bank Schedule'!Z:Z, SMALL(IF('Bank Schedule'!$K$2:$K$825="Vacant", ROW('Bank Schedule'!$K$2:$K$825)), ROW(12:12))), "")</f>
        <v/>
      </c>
      <c r="Z15" s="11" t="str">
        <f t="array" ref="Z15">IFERROR(INDEX('Bank Schedule'!AA:AA, SMALL(IF('Bank Schedule'!$K$2:$K$825="Vacant", ROW('Bank Schedule'!$K$2:$K$825)), ROW(12:12))), "")</f>
        <v/>
      </c>
      <c r="AA15" s="11" t="str">
        <f t="array" ref="AA15">IFERROR(INDEX('Bank Schedule'!AB:AB, SMALL(IF('Bank Schedule'!$K$2:$K$825="Vacant", ROW('Bank Schedule'!$K$2:$K$825)), ROW(12:12))), "")</f>
        <v/>
      </c>
      <c r="AB15" s="25" t="str">
        <f t="array" ref="AB15">IFERROR(INDEX('Bank Schedule'!AC:AC, SMALL(IF('Bank Schedule'!$K$2:$K$825="Vacant", ROW('Bank Schedule'!$K$2:$K$825)), ROW(12:12))), "")</f>
        <v/>
      </c>
      <c r="AC15" s="299" t="str">
        <f t="array" ref="AC15">IFERROR(INDEX('Bank Schedule'!AD:AD, SMALL(IF('Bank Schedule'!$K$2:$K$825="Vacant", ROW('Bank Schedule'!$K$2:$K$825)), ROW(12:12))), "")</f>
        <v/>
      </c>
      <c r="AD15" s="11" t="str">
        <f t="array" ref="AD15">IFERROR(INDEX('Bank Schedule'!AE:AE, SMALL(IF('Bank Schedule'!$K$2:$K$825="Vacant", ROW('Bank Schedule'!$K$2:$K$825)), ROW(12:12))), "")</f>
        <v/>
      </c>
      <c r="AE15" s="11" t="str">
        <f t="array" ref="AE15">IFERROR(INDEX('Bank Schedule'!AF:AF, SMALL(IF('Bank Schedule'!$K$2:$K$825="Vacant", ROW('Bank Schedule'!$K$2:$K$825)), ROW(12:12))), "")</f>
        <v/>
      </c>
      <c r="AF15" s="11" t="str">
        <f t="array" ref="AF15">IFERROR(INDEX('Bank Schedule'!AG:AG, SMALL(IF('Bank Schedule'!$K$2:$K$825="Vacant", ROW('Bank Schedule'!$K$2:$K$825)), ROW(12:12))), "")</f>
        <v/>
      </c>
      <c r="AG15" s="4"/>
    </row>
    <row r="16" spans="1:33" ht="28.5" hidden="1" customHeight="1">
      <c r="A16" s="2" t="str">
        <f t="array" ref="A16">IFERROR(INDEX('Bank Schedule'!A:A, SMALL(IF('Bank Schedule'!$K$2:$K$825="Vacant", ROW('Bank Schedule'!$K$2:$K$825)), ROW(13:13))), "")</f>
        <v/>
      </c>
      <c r="B16" s="11" t="str">
        <f t="array" ref="B16">IFERROR(INDEX('Bank Schedule'!B:B, SMALL(IF('Bank Schedule'!$K$2:$K$825="Vacant", ROW('Bank Schedule'!$K$2:$K$825)), ROW(13:13))), "")</f>
        <v/>
      </c>
      <c r="C16" s="11" t="str">
        <f t="array" ref="C16">IFERROR(INDEX('Bank Schedule'!C:C, SMALL(IF('Bank Schedule'!$K$2:$K$825="Vacant", ROW('Bank Schedule'!$K$2:$K$825)), ROW(13:13))), "")</f>
        <v/>
      </c>
      <c r="D16" s="11" t="str">
        <f t="array" ref="D16">IFERROR(INDEX('Bank Schedule'!D:D, SMALL(IF('Bank Schedule'!$K$2:$K$825="Vacant", ROW('Bank Schedule'!$K$2:$K$825)), ROW(13:13))), "")</f>
        <v/>
      </c>
      <c r="E16" s="25" t="str">
        <f t="array" ref="E16">IFERROR(INDEX('Bank Schedule'!E:E, SMALL(IF('Bank Schedule'!$K$2:$K$825="Vacant", ROW('Bank Schedule'!$K$2:$K$825)), ROW(13:13))), "")</f>
        <v/>
      </c>
      <c r="F16" s="25" t="str">
        <f t="array" ref="F16">IFERROR(INDEX('Bank Schedule'!F:F, SMALL(IF('Bank Schedule'!$K$2:$K$825="Vacant", ROW('Bank Schedule'!$K$2:$K$825)), ROW(13:13))), "")</f>
        <v/>
      </c>
      <c r="G16" s="25" t="str">
        <f t="array" ref="G16">IFERROR(INDEX('Bank Schedule'!G:G, SMALL(IF('Bank Schedule'!$K$2:$K$825="Vacant", ROW('Bank Schedule'!$K$2:$K$825)), ROW(13:13))), "")</f>
        <v/>
      </c>
      <c r="H16" s="55" t="str">
        <f t="array" ref="H16">IFERROR(INDEX('Bank Schedule'!H:H, SMALL(IF('Bank Schedule'!$K$2:$K$825="Vacant", ROW('Bank Schedule'!$K$2:$K$825)), ROW(13:13))), "")</f>
        <v/>
      </c>
      <c r="I16" s="55" t="str">
        <f t="array" ref="I16">IFERROR(INDEX('Bank Schedule'!I:I, SMALL(IF('Bank Schedule'!$K$2:$K$825="Vacant", ROW('Bank Schedule'!$K$2:$K$825)), ROW(13:13))), "")</f>
        <v/>
      </c>
      <c r="J16" s="11" t="str">
        <f t="array" ref="J16">IFERROR(INDEX('Bank Schedule'!K:K, SMALL(IF('Bank Schedule'!$K$2:$K$825="Vacant", ROW('Bank Schedule'!$K$2:$K$825)), ROW(13:13))), "")</f>
        <v/>
      </c>
      <c r="K16" s="11" t="str">
        <f t="array" ref="K16">IFERROR(INDEX('Bank Schedule'!L:L, SMALL(IF('Bank Schedule'!$K$2:$K$825="Vacant", ROW('Bank Schedule'!$K$2:$K$825)), ROW(13:13))), "")</f>
        <v/>
      </c>
      <c r="L16" s="11" t="str">
        <f t="array" ref="L16">IFERROR(INDEX('Bank Schedule'!M:M, SMALL(IF('Bank Schedule'!$K$2:$K$825="Vacant", ROW('Bank Schedule'!$K$2:$K$825)), ROW(13:13))), "")</f>
        <v/>
      </c>
      <c r="M16" s="106" t="str">
        <f t="array" ref="M16">IFERROR(INDEX('Bank Schedule'!N:N, SMALL(IF('Bank Schedule'!$K$2:$K$825="Vacant", ROW('Bank Schedule'!$K$2:$K$825)), ROW(13:13))), "")</f>
        <v/>
      </c>
      <c r="N16" s="11" t="str">
        <f t="array" ref="N16">IFERROR(INDEX('Bank Schedule'!O:O, SMALL(IF('Bank Schedule'!$K$2:$K$825="Vacant", ROW('Bank Schedule'!$K$2:$K$825)), ROW(13:13))), "")</f>
        <v/>
      </c>
      <c r="O16" s="11" t="str">
        <f t="array" ref="O16">IFERROR(INDEX('Bank Schedule'!P:P, SMALL(IF('Bank Schedule'!$K$2:$K$825="Vacant", ROW('Bank Schedule'!$K$2:$K$825)), ROW(13:13))), "")</f>
        <v/>
      </c>
      <c r="P16" s="11" t="str">
        <f t="array" ref="P16">IFERROR(INDEX('Bank Schedule'!Q:Q, SMALL(IF('Bank Schedule'!$K$2:$K$825="Vacant", ROW('Bank Schedule'!$K$2:$K$825)), ROW(13:13))), "")</f>
        <v/>
      </c>
      <c r="Q16" s="11" t="str">
        <f t="array" ref="Q16">IFERROR(INDEX('Bank Schedule'!R:R, SMALL(IF('Bank Schedule'!$K$2:$K$825="Vacant", ROW('Bank Schedule'!$K$2:$K$825)), ROW(13:13))), "")</f>
        <v/>
      </c>
      <c r="R16" s="11" t="str">
        <f t="array" ref="R16">IFERROR(INDEX('Bank Schedule'!S:S, SMALL(IF('Bank Schedule'!$K$2:$K$825="Vacant", ROW('Bank Schedule'!$K$2:$K$825)), ROW(13:13))), "")</f>
        <v/>
      </c>
      <c r="S16" s="320" t="str">
        <f t="array" ref="S16">IFERROR(INDEX('Bank Schedule'!T:T, SMALL(IF('Bank Schedule'!$K$2:$K$825="Vacant", ROW('Bank Schedule'!$K$2:$K$825)), ROW(13:13))), "")</f>
        <v/>
      </c>
      <c r="T16" s="320" t="str">
        <f t="array" ref="T16">IFERROR(INDEX('Bank Schedule'!U:U, SMALL(IF('Bank Schedule'!$K$2:$K$825="Vacant", ROW('Bank Schedule'!$K$2:$K$825)), ROW(13:13))), "")</f>
        <v/>
      </c>
      <c r="U16" s="320" t="str">
        <f t="array" ref="U16">IFERROR(INDEX('Bank Schedule'!V:V, SMALL(IF('Bank Schedule'!$K$2:$K$825="Vacant", ROW('Bank Schedule'!$K$2:$K$825)), ROW(13:13))), "")</f>
        <v/>
      </c>
      <c r="V16" s="320" t="str">
        <f t="array" ref="V16">IFERROR(INDEX('Bank Schedule'!W:W, SMALL(IF('Bank Schedule'!$K$2:$K$825="Vacant", ROW('Bank Schedule'!$K$2:$K$825)), ROW(13:13))), "")</f>
        <v/>
      </c>
      <c r="W16" s="319" t="str">
        <f t="array" ref="W16">IFERROR(INDEX('Bank Schedule'!X:X, SMALL(IF('Bank Schedule'!$K$2:$K$825="Vacant", ROW('Bank Schedule'!$K$2:$K$825)), ROW(13:13))), "")</f>
        <v/>
      </c>
      <c r="X16" s="11" t="str">
        <f t="array" ref="X16">IFERROR(INDEX('Bank Schedule'!Y:Y, SMALL(IF('Bank Schedule'!$K$2:$K$825="Vacant", ROW('Bank Schedule'!$K$2:$K$825)), ROW(13:13))), "")</f>
        <v/>
      </c>
      <c r="Y16" s="11" t="str">
        <f t="array" ref="Y16">IFERROR(INDEX('Bank Schedule'!Z:Z, SMALL(IF('Bank Schedule'!$K$2:$K$825="Vacant", ROW('Bank Schedule'!$K$2:$K$825)), ROW(13:13))), "")</f>
        <v/>
      </c>
      <c r="Z16" s="11" t="str">
        <f t="array" ref="Z16">IFERROR(INDEX('Bank Schedule'!AA:AA, SMALL(IF('Bank Schedule'!$K$2:$K$825="Vacant", ROW('Bank Schedule'!$K$2:$K$825)), ROW(13:13))), "")</f>
        <v/>
      </c>
      <c r="AA16" s="11" t="str">
        <f t="array" ref="AA16">IFERROR(INDEX('Bank Schedule'!AB:AB, SMALL(IF('Bank Schedule'!$K$2:$K$825="Vacant", ROW('Bank Schedule'!$K$2:$K$825)), ROW(13:13))), "")</f>
        <v/>
      </c>
      <c r="AB16" s="25" t="str">
        <f t="array" ref="AB16">IFERROR(INDEX('Bank Schedule'!AC:AC, SMALL(IF('Bank Schedule'!$K$2:$K$825="Vacant", ROW('Bank Schedule'!$K$2:$K$825)), ROW(13:13))), "")</f>
        <v/>
      </c>
      <c r="AC16" s="299" t="str">
        <f t="array" ref="AC16">IFERROR(INDEX('Bank Schedule'!AD:AD, SMALL(IF('Bank Schedule'!$K$2:$K$825="Vacant", ROW('Bank Schedule'!$K$2:$K$825)), ROW(13:13))), "")</f>
        <v/>
      </c>
      <c r="AD16" s="11" t="str">
        <f t="array" ref="AD16">IFERROR(INDEX('Bank Schedule'!AE:AE, SMALL(IF('Bank Schedule'!$K$2:$K$825="Vacant", ROW('Bank Schedule'!$K$2:$K$825)), ROW(13:13))), "")</f>
        <v/>
      </c>
      <c r="AE16" s="11" t="str">
        <f t="array" ref="AE16">IFERROR(INDEX('Bank Schedule'!AF:AF, SMALL(IF('Bank Schedule'!$K$2:$K$825="Vacant", ROW('Bank Schedule'!$K$2:$K$825)), ROW(13:13))), "")</f>
        <v/>
      </c>
      <c r="AF16" s="11" t="str">
        <f t="array" ref="AF16">IFERROR(INDEX('Bank Schedule'!AG:AG, SMALL(IF('Bank Schedule'!$K$2:$K$825="Vacant", ROW('Bank Schedule'!$K$2:$K$825)), ROW(13:13))), "")</f>
        <v/>
      </c>
      <c r="AG16" s="4"/>
    </row>
    <row r="17" spans="1:33" ht="28.5" hidden="1" customHeight="1">
      <c r="A17" s="2" t="str">
        <f t="array" ref="A17">IFERROR(INDEX('Bank Schedule'!A:A, SMALL(IF('Bank Schedule'!$K$2:$K$825="Vacant", ROW('Bank Schedule'!$K$2:$K$825)), ROW(14:14))), "")</f>
        <v/>
      </c>
      <c r="B17" s="11" t="str">
        <f t="array" ref="B17">IFERROR(INDEX('Bank Schedule'!B:B, SMALL(IF('Bank Schedule'!$K$2:$K$825="Vacant", ROW('Bank Schedule'!$K$2:$K$825)), ROW(14:14))), "")</f>
        <v/>
      </c>
      <c r="C17" s="11" t="str">
        <f t="array" ref="C17">IFERROR(INDEX('Bank Schedule'!C:C, SMALL(IF('Bank Schedule'!$K$2:$K$825="Vacant", ROW('Bank Schedule'!$K$2:$K$825)), ROW(14:14))), "")</f>
        <v/>
      </c>
      <c r="D17" s="11" t="str">
        <f t="array" ref="D17">IFERROR(INDEX('Bank Schedule'!D:D, SMALL(IF('Bank Schedule'!$K$2:$K$825="Vacant", ROW('Bank Schedule'!$K$2:$K$825)), ROW(14:14))), "")</f>
        <v/>
      </c>
      <c r="E17" s="25" t="str">
        <f t="array" ref="E17">IFERROR(INDEX('Bank Schedule'!E:E, SMALL(IF('Bank Schedule'!$K$2:$K$825="Vacant", ROW('Bank Schedule'!$K$2:$K$825)), ROW(14:14))), "")</f>
        <v/>
      </c>
      <c r="F17" s="25" t="str">
        <f t="array" ref="F17">IFERROR(INDEX('Bank Schedule'!F:F, SMALL(IF('Bank Schedule'!$K$2:$K$825="Vacant", ROW('Bank Schedule'!$K$2:$K$825)), ROW(14:14))), "")</f>
        <v/>
      </c>
      <c r="G17" s="25" t="str">
        <f t="array" ref="G17">IFERROR(INDEX('Bank Schedule'!G:G, SMALL(IF('Bank Schedule'!$K$2:$K$825="Vacant", ROW('Bank Schedule'!$K$2:$K$825)), ROW(14:14))), "")</f>
        <v/>
      </c>
      <c r="H17" s="55" t="str">
        <f t="array" ref="H17">IFERROR(INDEX('Bank Schedule'!H:H, SMALL(IF('Bank Schedule'!$K$2:$K$825="Vacant", ROW('Bank Schedule'!$K$2:$K$825)), ROW(14:14))), "")</f>
        <v/>
      </c>
      <c r="I17" s="55" t="str">
        <f t="array" ref="I17">IFERROR(INDEX('Bank Schedule'!I:I, SMALL(IF('Bank Schedule'!$K$2:$K$825="Vacant", ROW('Bank Schedule'!$K$2:$K$825)), ROW(14:14))), "")</f>
        <v/>
      </c>
      <c r="J17" s="11" t="str">
        <f t="array" ref="J17">IFERROR(INDEX('Bank Schedule'!K:K, SMALL(IF('Bank Schedule'!$K$2:$K$825="Vacant", ROW('Bank Schedule'!$K$2:$K$825)), ROW(14:14))), "")</f>
        <v/>
      </c>
      <c r="K17" s="11" t="str">
        <f t="array" ref="K17">IFERROR(INDEX('Bank Schedule'!L:L, SMALL(IF('Bank Schedule'!$K$2:$K$825="Vacant", ROW('Bank Schedule'!$K$2:$K$825)), ROW(14:14))), "")</f>
        <v/>
      </c>
      <c r="L17" s="11" t="str">
        <f t="array" ref="L17">IFERROR(INDEX('Bank Schedule'!M:M, SMALL(IF('Bank Schedule'!$K$2:$K$825="Vacant", ROW('Bank Schedule'!$K$2:$K$825)), ROW(14:14))), "")</f>
        <v/>
      </c>
      <c r="M17" s="106" t="str">
        <f t="array" ref="M17">IFERROR(INDEX('Bank Schedule'!N:N, SMALL(IF('Bank Schedule'!$K$2:$K$825="Vacant", ROW('Bank Schedule'!$K$2:$K$825)), ROW(14:14))), "")</f>
        <v/>
      </c>
      <c r="N17" s="11" t="str">
        <f t="array" ref="N17">IFERROR(INDEX('Bank Schedule'!O:O, SMALL(IF('Bank Schedule'!$K$2:$K$825="Vacant", ROW('Bank Schedule'!$K$2:$K$825)), ROW(14:14))), "")</f>
        <v/>
      </c>
      <c r="O17" s="11" t="str">
        <f t="array" ref="O17">IFERROR(INDEX('Bank Schedule'!P:P, SMALL(IF('Bank Schedule'!$K$2:$K$825="Vacant", ROW('Bank Schedule'!$K$2:$K$825)), ROW(14:14))), "")</f>
        <v/>
      </c>
      <c r="P17" s="11" t="str">
        <f t="array" ref="P17">IFERROR(INDEX('Bank Schedule'!Q:Q, SMALL(IF('Bank Schedule'!$K$2:$K$825="Vacant", ROW('Bank Schedule'!$K$2:$K$825)), ROW(14:14))), "")</f>
        <v/>
      </c>
      <c r="Q17" s="11" t="str">
        <f t="array" ref="Q17">IFERROR(INDEX('Bank Schedule'!R:R, SMALL(IF('Bank Schedule'!$K$2:$K$825="Vacant", ROW('Bank Schedule'!$K$2:$K$825)), ROW(14:14))), "")</f>
        <v/>
      </c>
      <c r="R17" s="11" t="str">
        <f t="array" ref="R17">IFERROR(INDEX('Bank Schedule'!S:S, SMALL(IF('Bank Schedule'!$K$2:$K$825="Vacant", ROW('Bank Schedule'!$K$2:$K$825)), ROW(14:14))), "")</f>
        <v/>
      </c>
      <c r="S17" s="320" t="str">
        <f t="array" ref="S17">IFERROR(INDEX('Bank Schedule'!T:T, SMALL(IF('Bank Schedule'!$K$2:$K$825="Vacant", ROW('Bank Schedule'!$K$2:$K$825)), ROW(14:14))), "")</f>
        <v/>
      </c>
      <c r="T17" s="320" t="str">
        <f t="array" ref="T17">IFERROR(INDEX('Bank Schedule'!U:U, SMALL(IF('Bank Schedule'!$K$2:$K$825="Vacant", ROW('Bank Schedule'!$K$2:$K$825)), ROW(14:14))), "")</f>
        <v/>
      </c>
      <c r="U17" s="320" t="str">
        <f t="array" ref="U17">IFERROR(INDEX('Bank Schedule'!V:V, SMALL(IF('Bank Schedule'!$K$2:$K$825="Vacant", ROW('Bank Schedule'!$K$2:$K$825)), ROW(14:14))), "")</f>
        <v/>
      </c>
      <c r="V17" s="320" t="str">
        <f t="array" ref="V17">IFERROR(INDEX('Bank Schedule'!W:W, SMALL(IF('Bank Schedule'!$K$2:$K$825="Vacant", ROW('Bank Schedule'!$K$2:$K$825)), ROW(14:14))), "")</f>
        <v/>
      </c>
      <c r="W17" s="319" t="str">
        <f t="array" ref="W17">IFERROR(INDEX('Bank Schedule'!X:X, SMALL(IF('Bank Schedule'!$K$2:$K$825="Vacant", ROW('Bank Schedule'!$K$2:$K$825)), ROW(14:14))), "")</f>
        <v/>
      </c>
      <c r="X17" s="11" t="str">
        <f t="array" ref="X17">IFERROR(INDEX('Bank Schedule'!Y:Y, SMALL(IF('Bank Schedule'!$K$2:$K$825="Vacant", ROW('Bank Schedule'!$K$2:$K$825)), ROW(14:14))), "")</f>
        <v/>
      </c>
      <c r="Y17" s="11" t="str">
        <f t="array" ref="Y17">IFERROR(INDEX('Bank Schedule'!Z:Z, SMALL(IF('Bank Schedule'!$K$2:$K$825="Vacant", ROW('Bank Schedule'!$K$2:$K$825)), ROW(14:14))), "")</f>
        <v/>
      </c>
      <c r="Z17" s="11" t="str">
        <f t="array" ref="Z17">IFERROR(INDEX('Bank Schedule'!AA:AA, SMALL(IF('Bank Schedule'!$K$2:$K$825="Vacant", ROW('Bank Schedule'!$K$2:$K$825)), ROW(14:14))), "")</f>
        <v/>
      </c>
      <c r="AA17" s="11" t="str">
        <f t="array" ref="AA17">IFERROR(INDEX('Bank Schedule'!AB:AB, SMALL(IF('Bank Schedule'!$K$2:$K$825="Vacant", ROW('Bank Schedule'!$K$2:$K$825)), ROW(14:14))), "")</f>
        <v/>
      </c>
      <c r="AB17" s="25" t="str">
        <f t="array" ref="AB17">IFERROR(INDEX('Bank Schedule'!AC:AC, SMALL(IF('Bank Schedule'!$K$2:$K$825="Vacant", ROW('Bank Schedule'!$K$2:$K$825)), ROW(14:14))), "")</f>
        <v/>
      </c>
      <c r="AC17" s="299" t="str">
        <f t="array" ref="AC17">IFERROR(INDEX('Bank Schedule'!AD:AD, SMALL(IF('Bank Schedule'!$K$2:$K$825="Vacant", ROW('Bank Schedule'!$K$2:$K$825)), ROW(14:14))), "")</f>
        <v/>
      </c>
      <c r="AD17" s="11" t="str">
        <f t="array" ref="AD17">IFERROR(INDEX('Bank Schedule'!AE:AE, SMALL(IF('Bank Schedule'!$K$2:$K$825="Vacant", ROW('Bank Schedule'!$K$2:$K$825)), ROW(14:14))), "")</f>
        <v/>
      </c>
      <c r="AE17" s="11" t="str">
        <f t="array" ref="AE17">IFERROR(INDEX('Bank Schedule'!AF:AF, SMALL(IF('Bank Schedule'!$K$2:$K$825="Vacant", ROW('Bank Schedule'!$K$2:$K$825)), ROW(14:14))), "")</f>
        <v/>
      </c>
      <c r="AF17" s="11" t="str">
        <f t="array" ref="AF17">IFERROR(INDEX('Bank Schedule'!AG:AG, SMALL(IF('Bank Schedule'!$K$2:$K$825="Vacant", ROW('Bank Schedule'!$K$2:$K$825)), ROW(14:14))), "")</f>
        <v/>
      </c>
      <c r="AG17" s="4"/>
    </row>
    <row r="18" spans="1:33" ht="28.5" hidden="1" customHeight="1">
      <c r="A18" s="2" t="str">
        <f t="array" ref="A18">IFERROR(INDEX('Bank Schedule'!A:A, SMALL(IF('Bank Schedule'!$K$2:$K$825="Vacant", ROW('Bank Schedule'!$K$2:$K$825)), ROW(15:15))), "")</f>
        <v/>
      </c>
      <c r="B18" s="11" t="str">
        <f t="array" ref="B18">IFERROR(INDEX('Bank Schedule'!B:B, SMALL(IF('Bank Schedule'!$K$2:$K$825="Vacant", ROW('Bank Schedule'!$K$2:$K$825)), ROW(15:15))), "")</f>
        <v/>
      </c>
      <c r="C18" s="11" t="str">
        <f t="array" ref="C18">IFERROR(INDEX('Bank Schedule'!C:C, SMALL(IF('Bank Schedule'!$K$2:$K$825="Vacant", ROW('Bank Schedule'!$K$2:$K$825)), ROW(15:15))), "")</f>
        <v/>
      </c>
      <c r="D18" s="11" t="str">
        <f t="array" ref="D18">IFERROR(INDEX('Bank Schedule'!D:D, SMALL(IF('Bank Schedule'!$K$2:$K$825="Vacant", ROW('Bank Schedule'!$K$2:$K$825)), ROW(15:15))), "")</f>
        <v/>
      </c>
      <c r="E18" s="25" t="str">
        <f t="array" ref="E18">IFERROR(INDEX('Bank Schedule'!E:E, SMALL(IF('Bank Schedule'!$K$2:$K$825="Vacant", ROW('Bank Schedule'!$K$2:$K$825)), ROW(15:15))), "")</f>
        <v/>
      </c>
      <c r="F18" s="25" t="str">
        <f t="array" ref="F18">IFERROR(INDEX('Bank Schedule'!F:F, SMALL(IF('Bank Schedule'!$K$2:$K$825="Vacant", ROW('Bank Schedule'!$K$2:$K$825)), ROW(15:15))), "")</f>
        <v/>
      </c>
      <c r="G18" s="25" t="str">
        <f t="array" ref="G18">IFERROR(INDEX('Bank Schedule'!G:G, SMALL(IF('Bank Schedule'!$K$2:$K$825="Vacant", ROW('Bank Schedule'!$K$2:$K$825)), ROW(15:15))), "")</f>
        <v/>
      </c>
      <c r="H18" s="55" t="str">
        <f t="array" ref="H18">IFERROR(INDEX('Bank Schedule'!H:H, SMALL(IF('Bank Schedule'!$K$2:$K$825="Vacant", ROW('Bank Schedule'!$K$2:$K$825)), ROW(15:15))), "")</f>
        <v/>
      </c>
      <c r="I18" s="55" t="str">
        <f t="array" ref="I18">IFERROR(INDEX('Bank Schedule'!I:I, SMALL(IF('Bank Schedule'!$K$2:$K$825="Vacant", ROW('Bank Schedule'!$K$2:$K$825)), ROW(15:15))), "")</f>
        <v/>
      </c>
      <c r="J18" s="11" t="str">
        <f t="array" ref="J18">IFERROR(INDEX('Bank Schedule'!K:K, SMALL(IF('Bank Schedule'!$K$2:$K$825="Vacant", ROW('Bank Schedule'!$K$2:$K$825)), ROW(15:15))), "")</f>
        <v/>
      </c>
      <c r="K18" s="11" t="str">
        <f t="array" ref="K18">IFERROR(INDEX('Bank Schedule'!L:L, SMALL(IF('Bank Schedule'!$K$2:$K$825="Vacant", ROW('Bank Schedule'!$K$2:$K$825)), ROW(15:15))), "")</f>
        <v/>
      </c>
      <c r="L18" s="11" t="str">
        <f t="array" ref="L18">IFERROR(INDEX('Bank Schedule'!M:M, SMALL(IF('Bank Schedule'!$K$2:$K$825="Vacant", ROW('Bank Schedule'!$K$2:$K$825)), ROW(15:15))), "")</f>
        <v/>
      </c>
      <c r="M18" s="106" t="str">
        <f t="array" ref="M18">IFERROR(INDEX('Bank Schedule'!N:N, SMALL(IF('Bank Schedule'!$K$2:$K$825="Vacant", ROW('Bank Schedule'!$K$2:$K$825)), ROW(15:15))), "")</f>
        <v/>
      </c>
      <c r="N18" s="11" t="str">
        <f t="array" ref="N18">IFERROR(INDEX('Bank Schedule'!O:O, SMALL(IF('Bank Schedule'!$K$2:$K$825="Vacant", ROW('Bank Schedule'!$K$2:$K$825)), ROW(15:15))), "")</f>
        <v/>
      </c>
      <c r="O18" s="11" t="str">
        <f t="array" ref="O18">IFERROR(INDEX('Bank Schedule'!P:P, SMALL(IF('Bank Schedule'!$K$2:$K$825="Vacant", ROW('Bank Schedule'!$K$2:$K$825)), ROW(15:15))), "")</f>
        <v/>
      </c>
      <c r="P18" s="11" t="str">
        <f t="array" ref="P18">IFERROR(INDEX('Bank Schedule'!Q:Q, SMALL(IF('Bank Schedule'!$K$2:$K$825="Vacant", ROW('Bank Schedule'!$K$2:$K$825)), ROW(15:15))), "")</f>
        <v/>
      </c>
      <c r="Q18" s="11" t="str">
        <f t="array" ref="Q18">IFERROR(INDEX('Bank Schedule'!R:R, SMALL(IF('Bank Schedule'!$K$2:$K$825="Vacant", ROW('Bank Schedule'!$K$2:$K$825)), ROW(15:15))), "")</f>
        <v/>
      </c>
      <c r="R18" s="11" t="str">
        <f t="array" ref="R18">IFERROR(INDEX('Bank Schedule'!S:S, SMALL(IF('Bank Schedule'!$K$2:$K$825="Vacant", ROW('Bank Schedule'!$K$2:$K$825)), ROW(15:15))), "")</f>
        <v/>
      </c>
      <c r="S18" s="320" t="str">
        <f t="array" ref="S18">IFERROR(INDEX('Bank Schedule'!T:T, SMALL(IF('Bank Schedule'!$K$2:$K$825="Vacant", ROW('Bank Schedule'!$K$2:$K$825)), ROW(15:15))), "")</f>
        <v/>
      </c>
      <c r="T18" s="320" t="str">
        <f t="array" ref="T18">IFERROR(INDEX('Bank Schedule'!U:U, SMALL(IF('Bank Schedule'!$K$2:$K$825="Vacant", ROW('Bank Schedule'!$K$2:$K$825)), ROW(15:15))), "")</f>
        <v/>
      </c>
      <c r="U18" s="320" t="str">
        <f t="array" ref="U18">IFERROR(INDEX('Bank Schedule'!V:V, SMALL(IF('Bank Schedule'!$K$2:$K$825="Vacant", ROW('Bank Schedule'!$K$2:$K$825)), ROW(15:15))), "")</f>
        <v/>
      </c>
      <c r="V18" s="320" t="str">
        <f t="array" ref="V18">IFERROR(INDEX('Bank Schedule'!W:W, SMALL(IF('Bank Schedule'!$K$2:$K$825="Vacant", ROW('Bank Schedule'!$K$2:$K$825)), ROW(15:15))), "")</f>
        <v/>
      </c>
      <c r="W18" s="319" t="str">
        <f t="array" ref="W18">IFERROR(INDEX('Bank Schedule'!X:X, SMALL(IF('Bank Schedule'!$K$2:$K$825="Vacant", ROW('Bank Schedule'!$K$2:$K$825)), ROW(15:15))), "")</f>
        <v/>
      </c>
      <c r="X18" s="11" t="str">
        <f t="array" ref="X18">IFERROR(INDEX('Bank Schedule'!Y:Y, SMALL(IF('Bank Schedule'!$K$2:$K$825="Vacant", ROW('Bank Schedule'!$K$2:$K$825)), ROW(15:15))), "")</f>
        <v/>
      </c>
      <c r="Y18" s="11" t="str">
        <f t="array" ref="Y18">IFERROR(INDEX('Bank Schedule'!Z:Z, SMALL(IF('Bank Schedule'!$K$2:$K$825="Vacant", ROW('Bank Schedule'!$K$2:$K$825)), ROW(15:15))), "")</f>
        <v/>
      </c>
      <c r="Z18" s="11" t="str">
        <f t="array" ref="Z18">IFERROR(INDEX('Bank Schedule'!AA:AA, SMALL(IF('Bank Schedule'!$K$2:$K$825="Vacant", ROW('Bank Schedule'!$K$2:$K$825)), ROW(15:15))), "")</f>
        <v/>
      </c>
      <c r="AA18" s="11" t="str">
        <f t="array" ref="AA18">IFERROR(INDEX('Bank Schedule'!AB:AB, SMALL(IF('Bank Schedule'!$K$2:$K$825="Vacant", ROW('Bank Schedule'!$K$2:$K$825)), ROW(15:15))), "")</f>
        <v/>
      </c>
      <c r="AB18" s="25" t="str">
        <f t="array" ref="AB18">IFERROR(INDEX('Bank Schedule'!AC:AC, SMALL(IF('Bank Schedule'!$K$2:$K$825="Vacant", ROW('Bank Schedule'!$K$2:$K$825)), ROW(15:15))), "")</f>
        <v/>
      </c>
      <c r="AC18" s="299" t="str">
        <f t="array" ref="AC18">IFERROR(INDEX('Bank Schedule'!AD:AD, SMALL(IF('Bank Schedule'!$K$2:$K$825="Vacant", ROW('Bank Schedule'!$K$2:$K$825)), ROW(15:15))), "")</f>
        <v/>
      </c>
      <c r="AD18" s="11" t="str">
        <f t="array" ref="AD18">IFERROR(INDEX('Bank Schedule'!AE:AE, SMALL(IF('Bank Schedule'!$K$2:$K$825="Vacant", ROW('Bank Schedule'!$K$2:$K$825)), ROW(15:15))), "")</f>
        <v/>
      </c>
      <c r="AE18" s="11" t="str">
        <f t="array" ref="AE18">IFERROR(INDEX('Bank Schedule'!AF:AF, SMALL(IF('Bank Schedule'!$K$2:$K$825="Vacant", ROW('Bank Schedule'!$K$2:$K$825)), ROW(15:15))), "")</f>
        <v/>
      </c>
      <c r="AF18" s="11" t="str">
        <f t="array" ref="AF18">IFERROR(INDEX('Bank Schedule'!AG:AG, SMALL(IF('Bank Schedule'!$K$2:$K$825="Vacant", ROW('Bank Schedule'!$K$2:$K$825)), ROW(15:15))), "")</f>
        <v/>
      </c>
      <c r="AG18" s="4"/>
    </row>
    <row r="19" spans="1:33" ht="28.5" hidden="1" customHeight="1">
      <c r="A19" s="2" t="str">
        <f t="array" ref="A19">IFERROR(INDEX('Bank Schedule'!A:A, SMALL(IF('Bank Schedule'!$K$2:$K$825="Vacant", ROW('Bank Schedule'!$K$2:$K$825)), ROW(16:16))), "")</f>
        <v/>
      </c>
      <c r="B19" s="11" t="str">
        <f t="array" ref="B19">IFERROR(INDEX('Bank Schedule'!B:B, SMALL(IF('Bank Schedule'!$K$2:$K$825="Vacant", ROW('Bank Schedule'!$K$2:$K$825)), ROW(16:16))), "")</f>
        <v/>
      </c>
      <c r="C19" s="11" t="str">
        <f t="array" ref="C19">IFERROR(INDEX('Bank Schedule'!C:C, SMALL(IF('Bank Schedule'!$K$2:$K$825="Vacant", ROW('Bank Schedule'!$K$2:$K$825)), ROW(16:16))), "")</f>
        <v/>
      </c>
      <c r="D19" s="11" t="str">
        <f t="array" ref="D19">IFERROR(INDEX('Bank Schedule'!D:D, SMALL(IF('Bank Schedule'!$K$2:$K$825="Vacant", ROW('Bank Schedule'!$K$2:$K$825)), ROW(16:16))), "")</f>
        <v/>
      </c>
      <c r="E19" s="25" t="str">
        <f t="array" ref="E19">IFERROR(INDEX('Bank Schedule'!E:E, SMALL(IF('Bank Schedule'!$K$2:$K$825="Vacant", ROW('Bank Schedule'!$K$2:$K$825)), ROW(16:16))), "")</f>
        <v/>
      </c>
      <c r="F19" s="25" t="str">
        <f t="array" ref="F19">IFERROR(INDEX('Bank Schedule'!F:F, SMALL(IF('Bank Schedule'!$K$2:$K$825="Vacant", ROW('Bank Schedule'!$K$2:$K$825)), ROW(16:16))), "")</f>
        <v/>
      </c>
      <c r="G19" s="25" t="str">
        <f t="array" ref="G19">IFERROR(INDEX('Bank Schedule'!G:G, SMALL(IF('Bank Schedule'!$K$2:$K$825="Vacant", ROW('Bank Schedule'!$K$2:$K$825)), ROW(16:16))), "")</f>
        <v/>
      </c>
      <c r="H19" s="55" t="str">
        <f t="array" ref="H19">IFERROR(INDEX('Bank Schedule'!H:H, SMALL(IF('Bank Schedule'!$K$2:$K$825="Vacant", ROW('Bank Schedule'!$K$2:$K$825)), ROW(16:16))), "")</f>
        <v/>
      </c>
      <c r="I19" s="55" t="str">
        <f t="array" ref="I19">IFERROR(INDEX('Bank Schedule'!I:I, SMALL(IF('Bank Schedule'!$K$2:$K$825="Vacant", ROW('Bank Schedule'!$K$2:$K$825)), ROW(16:16))), "")</f>
        <v/>
      </c>
      <c r="J19" s="11" t="str">
        <f t="array" ref="J19">IFERROR(INDEX('Bank Schedule'!K:K, SMALL(IF('Bank Schedule'!$K$2:$K$825="Vacant", ROW('Bank Schedule'!$K$2:$K$825)), ROW(16:16))), "")</f>
        <v/>
      </c>
      <c r="K19" s="11" t="str">
        <f t="array" ref="K19">IFERROR(INDEX('Bank Schedule'!L:L, SMALL(IF('Bank Schedule'!$K$2:$K$825="Vacant", ROW('Bank Schedule'!$K$2:$K$825)), ROW(16:16))), "")</f>
        <v/>
      </c>
      <c r="L19" s="11" t="str">
        <f t="array" ref="L19">IFERROR(INDEX('Bank Schedule'!M:M, SMALL(IF('Bank Schedule'!$K$2:$K$825="Vacant", ROW('Bank Schedule'!$K$2:$K$825)), ROW(16:16))), "")</f>
        <v/>
      </c>
      <c r="M19" s="106" t="str">
        <f t="array" ref="M19">IFERROR(INDEX('Bank Schedule'!N:N, SMALL(IF('Bank Schedule'!$K$2:$K$825="Vacant", ROW('Bank Schedule'!$K$2:$K$825)), ROW(16:16))), "")</f>
        <v/>
      </c>
      <c r="N19" s="11" t="str">
        <f t="array" ref="N19">IFERROR(INDEX('Bank Schedule'!O:O, SMALL(IF('Bank Schedule'!$K$2:$K$825="Vacant", ROW('Bank Schedule'!$K$2:$K$825)), ROW(16:16))), "")</f>
        <v/>
      </c>
      <c r="O19" s="11" t="str">
        <f t="array" ref="O19">IFERROR(INDEX('Bank Schedule'!P:P, SMALL(IF('Bank Schedule'!$K$2:$K$825="Vacant", ROW('Bank Schedule'!$K$2:$K$825)), ROW(16:16))), "")</f>
        <v/>
      </c>
      <c r="P19" s="11" t="str">
        <f t="array" ref="P19">IFERROR(INDEX('Bank Schedule'!Q:Q, SMALL(IF('Bank Schedule'!$K$2:$K$825="Vacant", ROW('Bank Schedule'!$K$2:$K$825)), ROW(16:16))), "")</f>
        <v/>
      </c>
      <c r="Q19" s="11" t="str">
        <f t="array" ref="Q19">IFERROR(INDEX('Bank Schedule'!R:R, SMALL(IF('Bank Schedule'!$K$2:$K$825="Vacant", ROW('Bank Schedule'!$K$2:$K$825)), ROW(16:16))), "")</f>
        <v/>
      </c>
      <c r="R19" s="11" t="str">
        <f t="array" ref="R19">IFERROR(INDEX('Bank Schedule'!S:S, SMALL(IF('Bank Schedule'!$K$2:$K$825="Vacant", ROW('Bank Schedule'!$K$2:$K$825)), ROW(16:16))), "")</f>
        <v/>
      </c>
      <c r="S19" s="320" t="str">
        <f t="array" ref="S19">IFERROR(INDEX('Bank Schedule'!T:T, SMALL(IF('Bank Schedule'!$K$2:$K$825="Vacant", ROW('Bank Schedule'!$K$2:$K$825)), ROW(16:16))), "")</f>
        <v/>
      </c>
      <c r="T19" s="320" t="str">
        <f t="array" ref="T19">IFERROR(INDEX('Bank Schedule'!U:U, SMALL(IF('Bank Schedule'!$K$2:$K$825="Vacant", ROW('Bank Schedule'!$K$2:$K$825)), ROW(16:16))), "")</f>
        <v/>
      </c>
      <c r="U19" s="320" t="str">
        <f t="array" ref="U19">IFERROR(INDEX('Bank Schedule'!V:V, SMALL(IF('Bank Schedule'!$K$2:$K$825="Vacant", ROW('Bank Schedule'!$K$2:$K$825)), ROW(16:16))), "")</f>
        <v/>
      </c>
      <c r="V19" s="320" t="str">
        <f t="array" ref="V19">IFERROR(INDEX('Bank Schedule'!W:W, SMALL(IF('Bank Schedule'!$K$2:$K$825="Vacant", ROW('Bank Schedule'!$K$2:$K$825)), ROW(16:16))), "")</f>
        <v/>
      </c>
      <c r="W19" s="319" t="str">
        <f t="array" ref="W19">IFERROR(INDEX('Bank Schedule'!X:X, SMALL(IF('Bank Schedule'!$K$2:$K$825="Vacant", ROW('Bank Schedule'!$K$2:$K$825)), ROW(16:16))), "")</f>
        <v/>
      </c>
      <c r="X19" s="11" t="str">
        <f t="array" ref="X19">IFERROR(INDEX('Bank Schedule'!Y:Y, SMALL(IF('Bank Schedule'!$K$2:$K$825="Vacant", ROW('Bank Schedule'!$K$2:$K$825)), ROW(16:16))), "")</f>
        <v/>
      </c>
      <c r="Y19" s="11" t="str">
        <f t="array" ref="Y19">IFERROR(INDEX('Bank Schedule'!Z:Z, SMALL(IF('Bank Schedule'!$K$2:$K$825="Vacant", ROW('Bank Schedule'!$K$2:$K$825)), ROW(16:16))), "")</f>
        <v/>
      </c>
      <c r="Z19" s="11" t="str">
        <f t="array" ref="Z19">IFERROR(INDEX('Bank Schedule'!AA:AA, SMALL(IF('Bank Schedule'!$K$2:$K$825="Vacant", ROW('Bank Schedule'!$K$2:$K$825)), ROW(16:16))), "")</f>
        <v/>
      </c>
      <c r="AA19" s="11" t="str">
        <f t="array" ref="AA19">IFERROR(INDEX('Bank Schedule'!AB:AB, SMALL(IF('Bank Schedule'!$K$2:$K$825="Vacant", ROW('Bank Schedule'!$K$2:$K$825)), ROW(16:16))), "")</f>
        <v/>
      </c>
      <c r="AB19" s="25" t="str">
        <f t="array" ref="AB19">IFERROR(INDEX('Bank Schedule'!AC:AC, SMALL(IF('Bank Schedule'!$K$2:$K$825="Vacant", ROW('Bank Schedule'!$K$2:$K$825)), ROW(16:16))), "")</f>
        <v/>
      </c>
      <c r="AC19" s="299" t="str">
        <f t="array" ref="AC19">IFERROR(INDEX('Bank Schedule'!AD:AD, SMALL(IF('Bank Schedule'!$K$2:$K$825="Vacant", ROW('Bank Schedule'!$K$2:$K$825)), ROW(16:16))), "")</f>
        <v/>
      </c>
      <c r="AD19" s="11" t="str">
        <f t="array" ref="AD19">IFERROR(INDEX('Bank Schedule'!AE:AE, SMALL(IF('Bank Schedule'!$K$2:$K$825="Vacant", ROW('Bank Schedule'!$K$2:$K$825)), ROW(16:16))), "")</f>
        <v/>
      </c>
      <c r="AE19" s="11" t="str">
        <f t="array" ref="AE19">IFERROR(INDEX('Bank Schedule'!AF:AF, SMALL(IF('Bank Schedule'!$K$2:$K$825="Vacant", ROW('Bank Schedule'!$K$2:$K$825)), ROW(16:16))), "")</f>
        <v/>
      </c>
      <c r="AF19" s="11" t="str">
        <f t="array" ref="AF19">IFERROR(INDEX('Bank Schedule'!AG:AG, SMALL(IF('Bank Schedule'!$K$2:$K$825="Vacant", ROW('Bank Schedule'!$K$2:$K$825)), ROW(16:16))), "")</f>
        <v/>
      </c>
      <c r="AG19" s="4"/>
    </row>
    <row r="20" spans="1:33" ht="28.5" hidden="1" customHeight="1">
      <c r="A20" s="2" t="str">
        <f t="array" ref="A20">IFERROR(INDEX('Bank Schedule'!A:A, SMALL(IF('Bank Schedule'!$K$2:$K$825="Vacant", ROW('Bank Schedule'!$K$2:$K$825)), ROW(17:17))), "")</f>
        <v/>
      </c>
      <c r="B20" s="11" t="str">
        <f t="array" ref="B20">IFERROR(INDEX('Bank Schedule'!B:B, SMALL(IF('Bank Schedule'!$K$2:$K$825="Vacant", ROW('Bank Schedule'!$K$2:$K$825)), ROW(17:17))), "")</f>
        <v/>
      </c>
      <c r="C20" s="11" t="str">
        <f t="array" ref="C20">IFERROR(INDEX('Bank Schedule'!C:C, SMALL(IF('Bank Schedule'!$K$2:$K$825="Vacant", ROW('Bank Schedule'!$K$2:$K$825)), ROW(17:17))), "")</f>
        <v/>
      </c>
      <c r="D20" s="11" t="str">
        <f t="array" ref="D20">IFERROR(INDEX('Bank Schedule'!D:D, SMALL(IF('Bank Schedule'!$K$2:$K$825="Vacant", ROW('Bank Schedule'!$K$2:$K$825)), ROW(17:17))), "")</f>
        <v/>
      </c>
      <c r="E20" s="25" t="str">
        <f t="array" ref="E20">IFERROR(INDEX('Bank Schedule'!E:E, SMALL(IF('Bank Schedule'!$K$2:$K$825="Vacant", ROW('Bank Schedule'!$K$2:$K$825)), ROW(17:17))), "")</f>
        <v/>
      </c>
      <c r="F20" s="25" t="str">
        <f t="array" ref="F20">IFERROR(INDEX('Bank Schedule'!F:F, SMALL(IF('Bank Schedule'!$K$2:$K$825="Vacant", ROW('Bank Schedule'!$K$2:$K$825)), ROW(17:17))), "")</f>
        <v/>
      </c>
      <c r="G20" s="25" t="str">
        <f t="array" ref="G20">IFERROR(INDEX('Bank Schedule'!G:G, SMALL(IF('Bank Schedule'!$K$2:$K$825="Vacant", ROW('Bank Schedule'!$K$2:$K$825)), ROW(17:17))), "")</f>
        <v/>
      </c>
      <c r="H20" s="55" t="str">
        <f t="array" ref="H20">IFERROR(INDEX('Bank Schedule'!H:H, SMALL(IF('Bank Schedule'!$K$2:$K$825="Vacant", ROW('Bank Schedule'!$K$2:$K$825)), ROW(17:17))), "")</f>
        <v/>
      </c>
      <c r="I20" s="55" t="str">
        <f t="array" ref="I20">IFERROR(INDEX('Bank Schedule'!I:I, SMALL(IF('Bank Schedule'!$K$2:$K$825="Vacant", ROW('Bank Schedule'!$K$2:$K$825)), ROW(17:17))), "")</f>
        <v/>
      </c>
      <c r="J20" s="11" t="str">
        <f t="array" ref="J20">IFERROR(INDEX('Bank Schedule'!K:K, SMALL(IF('Bank Schedule'!$K$2:$K$825="Vacant", ROW('Bank Schedule'!$K$2:$K$825)), ROW(17:17))), "")</f>
        <v/>
      </c>
      <c r="K20" s="11" t="str">
        <f t="array" ref="K20">IFERROR(INDEX('Bank Schedule'!L:L, SMALL(IF('Bank Schedule'!$K$2:$K$825="Vacant", ROW('Bank Schedule'!$K$2:$K$825)), ROW(17:17))), "")</f>
        <v/>
      </c>
      <c r="L20" s="11" t="str">
        <f t="array" ref="L20">IFERROR(INDEX('Bank Schedule'!M:M, SMALL(IF('Bank Schedule'!$K$2:$K$825="Vacant", ROW('Bank Schedule'!$K$2:$K$825)), ROW(17:17))), "")</f>
        <v/>
      </c>
      <c r="M20" s="106" t="str">
        <f t="array" ref="M20">IFERROR(INDEX('Bank Schedule'!N:N, SMALL(IF('Bank Schedule'!$K$2:$K$825="Vacant", ROW('Bank Schedule'!$K$2:$K$825)), ROW(17:17))), "")</f>
        <v/>
      </c>
      <c r="N20" s="11" t="str">
        <f t="array" ref="N20">IFERROR(INDEX('Bank Schedule'!O:O, SMALL(IF('Bank Schedule'!$K$2:$K$825="Vacant", ROW('Bank Schedule'!$K$2:$K$825)), ROW(17:17))), "")</f>
        <v/>
      </c>
      <c r="O20" s="11" t="str">
        <f t="array" ref="O20">IFERROR(INDEX('Bank Schedule'!P:P, SMALL(IF('Bank Schedule'!$K$2:$K$825="Vacant", ROW('Bank Schedule'!$K$2:$K$825)), ROW(17:17))), "")</f>
        <v/>
      </c>
      <c r="P20" s="11" t="str">
        <f t="array" ref="P20">IFERROR(INDEX('Bank Schedule'!Q:Q, SMALL(IF('Bank Schedule'!$K$2:$K$825="Vacant", ROW('Bank Schedule'!$K$2:$K$825)), ROW(17:17))), "")</f>
        <v/>
      </c>
      <c r="Q20" s="11" t="str">
        <f t="array" ref="Q20">IFERROR(INDEX('Bank Schedule'!R:R, SMALL(IF('Bank Schedule'!$K$2:$K$825="Vacant", ROW('Bank Schedule'!$K$2:$K$825)), ROW(17:17))), "")</f>
        <v/>
      </c>
      <c r="R20" s="11" t="str">
        <f t="array" ref="R20">IFERROR(INDEX('Bank Schedule'!S:S, SMALL(IF('Bank Schedule'!$K$2:$K$825="Vacant", ROW('Bank Schedule'!$K$2:$K$825)), ROW(17:17))), "")</f>
        <v/>
      </c>
      <c r="S20" s="320" t="str">
        <f t="array" ref="S20">IFERROR(INDEX('Bank Schedule'!T:T, SMALL(IF('Bank Schedule'!$K$2:$K$825="Vacant", ROW('Bank Schedule'!$K$2:$K$825)), ROW(17:17))), "")</f>
        <v/>
      </c>
      <c r="T20" s="320" t="str">
        <f t="array" ref="T20">IFERROR(INDEX('Bank Schedule'!U:U, SMALL(IF('Bank Schedule'!$K$2:$K$825="Vacant", ROW('Bank Schedule'!$K$2:$K$825)), ROW(17:17))), "")</f>
        <v/>
      </c>
      <c r="U20" s="320" t="str">
        <f t="array" ref="U20">IFERROR(INDEX('Bank Schedule'!V:V, SMALL(IF('Bank Schedule'!$K$2:$K$825="Vacant", ROW('Bank Schedule'!$K$2:$K$825)), ROW(17:17))), "")</f>
        <v/>
      </c>
      <c r="V20" s="320" t="str">
        <f t="array" ref="V20">IFERROR(INDEX('Bank Schedule'!W:W, SMALL(IF('Bank Schedule'!$K$2:$K$825="Vacant", ROW('Bank Schedule'!$K$2:$K$825)), ROW(17:17))), "")</f>
        <v/>
      </c>
      <c r="W20" s="319" t="str">
        <f t="array" ref="W20">IFERROR(INDEX('Bank Schedule'!X:X, SMALL(IF('Bank Schedule'!$K$2:$K$825="Vacant", ROW('Bank Schedule'!$K$2:$K$825)), ROW(17:17))), "")</f>
        <v/>
      </c>
      <c r="X20" s="11" t="str">
        <f t="array" ref="X20">IFERROR(INDEX('Bank Schedule'!Y:Y, SMALL(IF('Bank Schedule'!$K$2:$K$825="Vacant", ROW('Bank Schedule'!$K$2:$K$825)), ROW(17:17))), "")</f>
        <v/>
      </c>
      <c r="Y20" s="11" t="str">
        <f t="array" ref="Y20">IFERROR(INDEX('Bank Schedule'!Z:Z, SMALL(IF('Bank Schedule'!$K$2:$K$825="Vacant", ROW('Bank Schedule'!$K$2:$K$825)), ROW(17:17))), "")</f>
        <v/>
      </c>
      <c r="Z20" s="11" t="str">
        <f t="array" ref="Z20">IFERROR(INDEX('Bank Schedule'!AA:AA, SMALL(IF('Bank Schedule'!$K$2:$K$825="Vacant", ROW('Bank Schedule'!$K$2:$K$825)), ROW(17:17))), "")</f>
        <v/>
      </c>
      <c r="AA20" s="11" t="str">
        <f t="array" ref="AA20">IFERROR(INDEX('Bank Schedule'!AB:AB, SMALL(IF('Bank Schedule'!$K$2:$K$825="Vacant", ROW('Bank Schedule'!$K$2:$K$825)), ROW(17:17))), "")</f>
        <v/>
      </c>
      <c r="AB20" s="25" t="str">
        <f t="array" ref="AB20">IFERROR(INDEX('Bank Schedule'!AC:AC, SMALL(IF('Bank Schedule'!$K$2:$K$825="Vacant", ROW('Bank Schedule'!$K$2:$K$825)), ROW(17:17))), "")</f>
        <v/>
      </c>
      <c r="AC20" s="299" t="str">
        <f t="array" ref="AC20">IFERROR(INDEX('Bank Schedule'!AD:AD, SMALL(IF('Bank Schedule'!$K$2:$K$825="Vacant", ROW('Bank Schedule'!$K$2:$K$825)), ROW(17:17))), "")</f>
        <v/>
      </c>
      <c r="AD20" s="11" t="str">
        <f t="array" ref="AD20">IFERROR(INDEX('Bank Schedule'!AE:AE, SMALL(IF('Bank Schedule'!$K$2:$K$825="Vacant", ROW('Bank Schedule'!$K$2:$K$825)), ROW(17:17))), "")</f>
        <v/>
      </c>
      <c r="AE20" s="11" t="str">
        <f t="array" ref="AE20">IFERROR(INDEX('Bank Schedule'!AF:AF, SMALL(IF('Bank Schedule'!$K$2:$K$825="Vacant", ROW('Bank Schedule'!$K$2:$K$825)), ROW(17:17))), "")</f>
        <v/>
      </c>
      <c r="AF20" s="11" t="str">
        <f t="array" ref="AF20">IFERROR(INDEX('Bank Schedule'!AG:AG, SMALL(IF('Bank Schedule'!$K$2:$K$825="Vacant", ROW('Bank Schedule'!$K$2:$K$825)), ROW(17:17))), "")</f>
        <v/>
      </c>
      <c r="AG20" s="4"/>
    </row>
    <row r="21" spans="1:33" ht="28.5" hidden="1" customHeight="1">
      <c r="A21" s="2" t="str">
        <f t="array" ref="A21">IFERROR(INDEX('Bank Schedule'!A:A, SMALL(IF('Bank Schedule'!$K$2:$K$825="Vacant", ROW('Bank Schedule'!$K$2:$K$825)), ROW(18:18))), "")</f>
        <v/>
      </c>
      <c r="B21" s="11" t="str">
        <f t="array" ref="B21">IFERROR(INDEX('Bank Schedule'!B:B, SMALL(IF('Bank Schedule'!$K$2:$K$825="Vacant", ROW('Bank Schedule'!$K$2:$K$825)), ROW(18:18))), "")</f>
        <v/>
      </c>
      <c r="C21" s="11" t="str">
        <f t="array" ref="C21">IFERROR(INDEX('Bank Schedule'!C:C, SMALL(IF('Bank Schedule'!$K$2:$K$825="Vacant", ROW('Bank Schedule'!$K$2:$K$825)), ROW(18:18))), "")</f>
        <v/>
      </c>
      <c r="D21" s="11" t="str">
        <f t="array" ref="D21">IFERROR(INDEX('Bank Schedule'!D:D, SMALL(IF('Bank Schedule'!$K$2:$K$825="Vacant", ROW('Bank Schedule'!$K$2:$K$825)), ROW(18:18))), "")</f>
        <v/>
      </c>
      <c r="E21" s="25" t="str">
        <f t="array" ref="E21">IFERROR(INDEX('Bank Schedule'!E:E, SMALL(IF('Bank Schedule'!$K$2:$K$825="Vacant", ROW('Bank Schedule'!$K$2:$K$825)), ROW(18:18))), "")</f>
        <v/>
      </c>
      <c r="F21" s="25" t="str">
        <f t="array" ref="F21">IFERROR(INDEX('Bank Schedule'!F:F, SMALL(IF('Bank Schedule'!$K$2:$K$825="Vacant", ROW('Bank Schedule'!$K$2:$K$825)), ROW(18:18))), "")</f>
        <v/>
      </c>
      <c r="G21" s="25" t="str">
        <f t="array" ref="G21">IFERROR(INDEX('Bank Schedule'!G:G, SMALL(IF('Bank Schedule'!$K$2:$K$825="Vacant", ROW('Bank Schedule'!$K$2:$K$825)), ROW(18:18))), "")</f>
        <v/>
      </c>
      <c r="H21" s="55" t="str">
        <f t="array" ref="H21">IFERROR(INDEX('Bank Schedule'!H:H, SMALL(IF('Bank Schedule'!$K$2:$K$825="Vacant", ROW('Bank Schedule'!$K$2:$K$825)), ROW(18:18))), "")</f>
        <v/>
      </c>
      <c r="I21" s="55" t="str">
        <f t="array" ref="I21">IFERROR(INDEX('Bank Schedule'!I:I, SMALL(IF('Bank Schedule'!$K$2:$K$825="Vacant", ROW('Bank Schedule'!$K$2:$K$825)), ROW(18:18))), "")</f>
        <v/>
      </c>
      <c r="J21" s="11" t="str">
        <f t="array" ref="J21">IFERROR(INDEX('Bank Schedule'!K:K, SMALL(IF('Bank Schedule'!$K$2:$K$825="Vacant", ROW('Bank Schedule'!$K$2:$K$825)), ROW(18:18))), "")</f>
        <v/>
      </c>
      <c r="K21" s="11" t="str">
        <f t="array" ref="K21">IFERROR(INDEX('Bank Schedule'!L:L, SMALL(IF('Bank Schedule'!$K$2:$K$825="Vacant", ROW('Bank Schedule'!$K$2:$K$825)), ROW(18:18))), "")</f>
        <v/>
      </c>
      <c r="L21" s="11" t="str">
        <f t="array" ref="L21">IFERROR(INDEX('Bank Schedule'!M:M, SMALL(IF('Bank Schedule'!$K$2:$K$825="Vacant", ROW('Bank Schedule'!$K$2:$K$825)), ROW(18:18))), "")</f>
        <v/>
      </c>
      <c r="M21" s="106" t="str">
        <f t="array" ref="M21">IFERROR(INDEX('Bank Schedule'!N:N, SMALL(IF('Bank Schedule'!$K$2:$K$825="Vacant", ROW('Bank Schedule'!$K$2:$K$825)), ROW(18:18))), "")</f>
        <v/>
      </c>
      <c r="N21" s="11" t="str">
        <f t="array" ref="N21">IFERROR(INDEX('Bank Schedule'!O:O, SMALL(IF('Bank Schedule'!$K$2:$K$825="Vacant", ROW('Bank Schedule'!$K$2:$K$825)), ROW(18:18))), "")</f>
        <v/>
      </c>
      <c r="O21" s="11" t="str">
        <f t="array" ref="O21">IFERROR(INDEX('Bank Schedule'!P:P, SMALL(IF('Bank Schedule'!$K$2:$K$825="Vacant", ROW('Bank Schedule'!$K$2:$K$825)), ROW(18:18))), "")</f>
        <v/>
      </c>
      <c r="P21" s="11" t="str">
        <f t="array" ref="P21">IFERROR(INDEX('Bank Schedule'!Q:Q, SMALL(IF('Bank Schedule'!$K$2:$K$825="Vacant", ROW('Bank Schedule'!$K$2:$K$825)), ROW(18:18))), "")</f>
        <v/>
      </c>
      <c r="Q21" s="11" t="str">
        <f t="array" ref="Q21">IFERROR(INDEX('Bank Schedule'!R:R, SMALL(IF('Bank Schedule'!$K$2:$K$825="Vacant", ROW('Bank Schedule'!$K$2:$K$825)), ROW(18:18))), "")</f>
        <v/>
      </c>
      <c r="R21" s="11" t="str">
        <f t="array" ref="R21">IFERROR(INDEX('Bank Schedule'!S:S, SMALL(IF('Bank Schedule'!$K$2:$K$825="Vacant", ROW('Bank Schedule'!$K$2:$K$825)), ROW(18:18))), "")</f>
        <v/>
      </c>
      <c r="S21" s="320" t="str">
        <f t="array" ref="S21">IFERROR(INDEX('Bank Schedule'!T:T, SMALL(IF('Bank Schedule'!$K$2:$K$825="Vacant", ROW('Bank Schedule'!$K$2:$K$825)), ROW(18:18))), "")</f>
        <v/>
      </c>
      <c r="T21" s="320" t="str">
        <f t="array" ref="T21">IFERROR(INDEX('Bank Schedule'!U:U, SMALL(IF('Bank Schedule'!$K$2:$K$825="Vacant", ROW('Bank Schedule'!$K$2:$K$825)), ROW(18:18))), "")</f>
        <v/>
      </c>
      <c r="U21" s="320" t="str">
        <f t="array" ref="U21">IFERROR(INDEX('Bank Schedule'!V:V, SMALL(IF('Bank Schedule'!$K$2:$K$825="Vacant", ROW('Bank Schedule'!$K$2:$K$825)), ROW(18:18))), "")</f>
        <v/>
      </c>
      <c r="V21" s="320" t="str">
        <f t="array" ref="V21">IFERROR(INDEX('Bank Schedule'!W:W, SMALL(IF('Bank Schedule'!$K$2:$K$825="Vacant", ROW('Bank Schedule'!$K$2:$K$825)), ROW(18:18))), "")</f>
        <v/>
      </c>
      <c r="W21" s="319" t="str">
        <f t="array" ref="W21">IFERROR(INDEX('Bank Schedule'!X:X, SMALL(IF('Bank Schedule'!$K$2:$K$825="Vacant", ROW('Bank Schedule'!$K$2:$K$825)), ROW(18:18))), "")</f>
        <v/>
      </c>
      <c r="X21" s="11" t="str">
        <f t="array" ref="X21">IFERROR(INDEX('Bank Schedule'!Y:Y, SMALL(IF('Bank Schedule'!$K$2:$K$825="Vacant", ROW('Bank Schedule'!$K$2:$K$825)), ROW(18:18))), "")</f>
        <v/>
      </c>
      <c r="Y21" s="11" t="str">
        <f t="array" ref="Y21">IFERROR(INDEX('Bank Schedule'!Z:Z, SMALL(IF('Bank Schedule'!$K$2:$K$825="Vacant", ROW('Bank Schedule'!$K$2:$K$825)), ROW(18:18))), "")</f>
        <v/>
      </c>
      <c r="Z21" s="11" t="str">
        <f t="array" ref="Z21">IFERROR(INDEX('Bank Schedule'!AA:AA, SMALL(IF('Bank Schedule'!$K$2:$K$825="Vacant", ROW('Bank Schedule'!$K$2:$K$825)), ROW(18:18))), "")</f>
        <v/>
      </c>
      <c r="AA21" s="11" t="str">
        <f t="array" ref="AA21">IFERROR(INDEX('Bank Schedule'!AB:AB, SMALL(IF('Bank Schedule'!$K$2:$K$825="Vacant", ROW('Bank Schedule'!$K$2:$K$825)), ROW(18:18))), "")</f>
        <v/>
      </c>
      <c r="AB21" s="25" t="str">
        <f t="array" ref="AB21">IFERROR(INDEX('Bank Schedule'!AC:AC, SMALL(IF('Bank Schedule'!$K$2:$K$825="Vacant", ROW('Bank Schedule'!$K$2:$K$825)), ROW(18:18))), "")</f>
        <v/>
      </c>
      <c r="AC21" s="299" t="str">
        <f t="array" ref="AC21">IFERROR(INDEX('Bank Schedule'!AD:AD, SMALL(IF('Bank Schedule'!$K$2:$K$825="Vacant", ROW('Bank Schedule'!$K$2:$K$825)), ROW(18:18))), "")</f>
        <v/>
      </c>
      <c r="AD21" s="11" t="str">
        <f t="array" ref="AD21">IFERROR(INDEX('Bank Schedule'!AE:AE, SMALL(IF('Bank Schedule'!$K$2:$K$825="Vacant", ROW('Bank Schedule'!$K$2:$K$825)), ROW(18:18))), "")</f>
        <v/>
      </c>
      <c r="AE21" s="11" t="str">
        <f t="array" ref="AE21">IFERROR(INDEX('Bank Schedule'!AF:AF, SMALL(IF('Bank Schedule'!$K$2:$K$825="Vacant", ROW('Bank Schedule'!$K$2:$K$825)), ROW(18:18))), "")</f>
        <v/>
      </c>
      <c r="AF21" s="11" t="str">
        <f t="array" ref="AF21">IFERROR(INDEX('Bank Schedule'!AG:AG, SMALL(IF('Bank Schedule'!$K$2:$K$825="Vacant", ROW('Bank Schedule'!$K$2:$K$825)), ROW(18:18))), "")</f>
        <v/>
      </c>
      <c r="AG21" s="4"/>
    </row>
    <row r="22" spans="1:33" ht="28.5" hidden="1" customHeight="1">
      <c r="A22" s="2" t="str">
        <f t="array" ref="A22">IFERROR(INDEX('Bank Schedule'!A:A, SMALL(IF('Bank Schedule'!$K$2:$K$825="Vacant", ROW('Bank Schedule'!$K$2:$K$825)), ROW(19:19))), "")</f>
        <v/>
      </c>
      <c r="B22" s="11" t="str">
        <f t="array" ref="B22">IFERROR(INDEX('Bank Schedule'!B:B, SMALL(IF('Bank Schedule'!$K$2:$K$825="Vacant", ROW('Bank Schedule'!$K$2:$K$825)), ROW(19:19))), "")</f>
        <v/>
      </c>
      <c r="C22" s="11" t="str">
        <f t="array" ref="C22">IFERROR(INDEX('Bank Schedule'!C:C, SMALL(IF('Bank Schedule'!$K$2:$K$825="Vacant", ROW('Bank Schedule'!$K$2:$K$825)), ROW(19:19))), "")</f>
        <v/>
      </c>
      <c r="D22" s="11" t="str">
        <f t="array" ref="D22">IFERROR(INDEX('Bank Schedule'!D:D, SMALL(IF('Bank Schedule'!$K$2:$K$825="Vacant", ROW('Bank Schedule'!$K$2:$K$825)), ROW(19:19))), "")</f>
        <v/>
      </c>
      <c r="E22" s="25" t="str">
        <f t="array" ref="E22">IFERROR(INDEX('Bank Schedule'!E:E, SMALL(IF('Bank Schedule'!$K$2:$K$825="Vacant", ROW('Bank Schedule'!$K$2:$K$825)), ROW(19:19))), "")</f>
        <v/>
      </c>
      <c r="F22" s="25" t="str">
        <f t="array" ref="F22">IFERROR(INDEX('Bank Schedule'!F:F, SMALL(IF('Bank Schedule'!$K$2:$K$825="Vacant", ROW('Bank Schedule'!$K$2:$K$825)), ROW(19:19))), "")</f>
        <v/>
      </c>
      <c r="G22" s="25" t="str">
        <f t="array" ref="G22">IFERROR(INDEX('Bank Schedule'!G:G, SMALL(IF('Bank Schedule'!$K$2:$K$825="Vacant", ROW('Bank Schedule'!$K$2:$K$825)), ROW(19:19))), "")</f>
        <v/>
      </c>
      <c r="H22" s="55" t="str">
        <f t="array" ref="H22">IFERROR(INDEX('Bank Schedule'!H:H, SMALL(IF('Bank Schedule'!$K$2:$K$825="Vacant", ROW('Bank Schedule'!$K$2:$K$825)), ROW(19:19))), "")</f>
        <v/>
      </c>
      <c r="I22" s="55" t="str">
        <f t="array" ref="I22">IFERROR(INDEX('Bank Schedule'!I:I, SMALL(IF('Bank Schedule'!$K$2:$K$825="Vacant", ROW('Bank Schedule'!$K$2:$K$825)), ROW(19:19))), "")</f>
        <v/>
      </c>
      <c r="J22" s="11" t="str">
        <f t="array" ref="J22">IFERROR(INDEX('Bank Schedule'!K:K, SMALL(IF('Bank Schedule'!$K$2:$K$825="Vacant", ROW('Bank Schedule'!$K$2:$K$825)), ROW(19:19))), "")</f>
        <v/>
      </c>
      <c r="K22" s="11" t="str">
        <f t="array" ref="K22">IFERROR(INDEX('Bank Schedule'!L:L, SMALL(IF('Bank Schedule'!$K$2:$K$825="Vacant", ROW('Bank Schedule'!$K$2:$K$825)), ROW(19:19))), "")</f>
        <v/>
      </c>
      <c r="L22" s="11" t="str">
        <f t="array" ref="L22">IFERROR(INDEX('Bank Schedule'!M:M, SMALL(IF('Bank Schedule'!$K$2:$K$825="Vacant", ROW('Bank Schedule'!$K$2:$K$825)), ROW(19:19))), "")</f>
        <v/>
      </c>
      <c r="M22" s="106" t="str">
        <f t="array" ref="M22">IFERROR(INDEX('Bank Schedule'!N:N, SMALL(IF('Bank Schedule'!$K$2:$K$825="Vacant", ROW('Bank Schedule'!$K$2:$K$825)), ROW(19:19))), "")</f>
        <v/>
      </c>
      <c r="N22" s="11" t="str">
        <f t="array" ref="N22">IFERROR(INDEX('Bank Schedule'!O:O, SMALL(IF('Bank Schedule'!$K$2:$K$825="Vacant", ROW('Bank Schedule'!$K$2:$K$825)), ROW(19:19))), "")</f>
        <v/>
      </c>
      <c r="O22" s="11" t="str">
        <f t="array" ref="O22">IFERROR(INDEX('Bank Schedule'!P:P, SMALL(IF('Bank Schedule'!$K$2:$K$825="Vacant", ROW('Bank Schedule'!$K$2:$K$825)), ROW(19:19))), "")</f>
        <v/>
      </c>
      <c r="P22" s="11" t="str">
        <f t="array" ref="P22">IFERROR(INDEX('Bank Schedule'!Q:Q, SMALL(IF('Bank Schedule'!$K$2:$K$825="Vacant", ROW('Bank Schedule'!$K$2:$K$825)), ROW(19:19))), "")</f>
        <v/>
      </c>
      <c r="Q22" s="11" t="str">
        <f t="array" ref="Q22">IFERROR(INDEX('Bank Schedule'!R:R, SMALL(IF('Bank Schedule'!$K$2:$K$825="Vacant", ROW('Bank Schedule'!$K$2:$K$825)), ROW(19:19))), "")</f>
        <v/>
      </c>
      <c r="R22" s="11" t="str">
        <f t="array" ref="R22">IFERROR(INDEX('Bank Schedule'!S:S, SMALL(IF('Bank Schedule'!$K$2:$K$825="Vacant", ROW('Bank Schedule'!$K$2:$K$825)), ROW(19:19))), "")</f>
        <v/>
      </c>
      <c r="S22" s="320" t="str">
        <f t="array" ref="S22">IFERROR(INDEX('Bank Schedule'!T:T, SMALL(IF('Bank Schedule'!$K$2:$K$825="Vacant", ROW('Bank Schedule'!$K$2:$K$825)), ROW(19:19))), "")</f>
        <v/>
      </c>
      <c r="T22" s="320" t="str">
        <f t="array" ref="T22">IFERROR(INDEX('Bank Schedule'!U:U, SMALL(IF('Bank Schedule'!$K$2:$K$825="Vacant", ROW('Bank Schedule'!$K$2:$K$825)), ROW(19:19))), "")</f>
        <v/>
      </c>
      <c r="U22" s="320" t="str">
        <f t="array" ref="U22">IFERROR(INDEX('Bank Schedule'!V:V, SMALL(IF('Bank Schedule'!$K$2:$K$825="Vacant", ROW('Bank Schedule'!$K$2:$K$825)), ROW(19:19))), "")</f>
        <v/>
      </c>
      <c r="V22" s="320" t="str">
        <f t="array" ref="V22">IFERROR(INDEX('Bank Schedule'!W:W, SMALL(IF('Bank Schedule'!$K$2:$K$825="Vacant", ROW('Bank Schedule'!$K$2:$K$825)), ROW(19:19))), "")</f>
        <v/>
      </c>
      <c r="W22" s="319" t="str">
        <f t="array" ref="W22">IFERROR(INDEX('Bank Schedule'!X:X, SMALL(IF('Bank Schedule'!$K$2:$K$825="Vacant", ROW('Bank Schedule'!$K$2:$K$825)), ROW(19:19))), "")</f>
        <v/>
      </c>
      <c r="X22" s="11" t="str">
        <f t="array" ref="X22">IFERROR(INDEX('Bank Schedule'!Y:Y, SMALL(IF('Bank Schedule'!$K$2:$K$825="Vacant", ROW('Bank Schedule'!$K$2:$K$825)), ROW(19:19))), "")</f>
        <v/>
      </c>
      <c r="Y22" s="11" t="str">
        <f t="array" ref="Y22">IFERROR(INDEX('Bank Schedule'!Z:Z, SMALL(IF('Bank Schedule'!$K$2:$K$825="Vacant", ROW('Bank Schedule'!$K$2:$K$825)), ROW(19:19))), "")</f>
        <v/>
      </c>
      <c r="Z22" s="11" t="str">
        <f t="array" ref="Z22">IFERROR(INDEX('Bank Schedule'!AA:AA, SMALL(IF('Bank Schedule'!$K$2:$K$825="Vacant", ROW('Bank Schedule'!$K$2:$K$825)), ROW(19:19))), "")</f>
        <v/>
      </c>
      <c r="AA22" s="11" t="str">
        <f t="array" ref="AA22">IFERROR(INDEX('Bank Schedule'!AB:AB, SMALL(IF('Bank Schedule'!$K$2:$K$825="Vacant", ROW('Bank Schedule'!$K$2:$K$825)), ROW(19:19))), "")</f>
        <v/>
      </c>
      <c r="AB22" s="25" t="str">
        <f t="array" ref="AB22">IFERROR(INDEX('Bank Schedule'!AC:AC, SMALL(IF('Bank Schedule'!$K$2:$K$825="Vacant", ROW('Bank Schedule'!$K$2:$K$825)), ROW(19:19))), "")</f>
        <v/>
      </c>
      <c r="AC22" s="299" t="str">
        <f t="array" ref="AC22">IFERROR(INDEX('Bank Schedule'!AD:AD, SMALL(IF('Bank Schedule'!$K$2:$K$825="Vacant", ROW('Bank Schedule'!$K$2:$K$825)), ROW(19:19))), "")</f>
        <v/>
      </c>
      <c r="AD22" s="11" t="str">
        <f t="array" ref="AD22">IFERROR(INDEX('Bank Schedule'!AE:AE, SMALL(IF('Bank Schedule'!$K$2:$K$825="Vacant", ROW('Bank Schedule'!$K$2:$K$825)), ROW(19:19))), "")</f>
        <v/>
      </c>
      <c r="AE22" s="11" t="str">
        <f t="array" ref="AE22">IFERROR(INDEX('Bank Schedule'!AF:AF, SMALL(IF('Bank Schedule'!$K$2:$K$825="Vacant", ROW('Bank Schedule'!$K$2:$K$825)), ROW(19:19))), "")</f>
        <v/>
      </c>
      <c r="AF22" s="11" t="str">
        <f t="array" ref="AF22">IFERROR(INDEX('Bank Schedule'!AG:AG, SMALL(IF('Bank Schedule'!$K$2:$K$825="Vacant", ROW('Bank Schedule'!$K$2:$K$825)), ROW(19:19))), "")</f>
        <v/>
      </c>
      <c r="AG22" s="4"/>
    </row>
    <row r="23" spans="1:33" ht="28.5" hidden="1" customHeight="1">
      <c r="A23" s="2" t="str">
        <f t="array" ref="A23">IFERROR(INDEX('Bank Schedule'!A:A, SMALL(IF('Bank Schedule'!$K$2:$K$825="Vacant", ROW('Bank Schedule'!$K$2:$K$825)), ROW(20:20))), "")</f>
        <v/>
      </c>
      <c r="B23" s="11" t="str">
        <f t="array" ref="B23">IFERROR(INDEX('Bank Schedule'!B:B, SMALL(IF('Bank Schedule'!$K$2:$K$825="Vacant", ROW('Bank Schedule'!$K$2:$K$825)), ROW(20:20))), "")</f>
        <v/>
      </c>
      <c r="C23" s="11" t="str">
        <f t="array" ref="C23">IFERROR(INDEX('Bank Schedule'!C:C, SMALL(IF('Bank Schedule'!$K$2:$K$825="Vacant", ROW('Bank Schedule'!$K$2:$K$825)), ROW(20:20))), "")</f>
        <v/>
      </c>
      <c r="D23" s="11" t="str">
        <f t="array" ref="D23">IFERROR(INDEX('Bank Schedule'!D:D, SMALL(IF('Bank Schedule'!$K$2:$K$825="Vacant", ROW('Bank Schedule'!$K$2:$K$825)), ROW(20:20))), "")</f>
        <v/>
      </c>
      <c r="E23" s="25" t="str">
        <f t="array" ref="E23">IFERROR(INDEX('Bank Schedule'!E:E, SMALL(IF('Bank Schedule'!$K$2:$K$825="Vacant", ROW('Bank Schedule'!$K$2:$K$825)), ROW(20:20))), "")</f>
        <v/>
      </c>
      <c r="F23" s="25" t="str">
        <f t="array" ref="F23">IFERROR(INDEX('Bank Schedule'!F:F, SMALL(IF('Bank Schedule'!$K$2:$K$825="Vacant", ROW('Bank Schedule'!$K$2:$K$825)), ROW(20:20))), "")</f>
        <v/>
      </c>
      <c r="G23" s="25" t="str">
        <f t="array" ref="G23">IFERROR(INDEX('Bank Schedule'!G:G, SMALL(IF('Bank Schedule'!$K$2:$K$825="Vacant", ROW('Bank Schedule'!$K$2:$K$825)), ROW(20:20))), "")</f>
        <v/>
      </c>
      <c r="H23" s="55" t="str">
        <f t="array" ref="H23">IFERROR(INDEX('Bank Schedule'!H:H, SMALL(IF('Bank Schedule'!$K$2:$K$825="Vacant", ROW('Bank Schedule'!$K$2:$K$825)), ROW(20:20))), "")</f>
        <v/>
      </c>
      <c r="I23" s="55" t="str">
        <f t="array" ref="I23">IFERROR(INDEX('Bank Schedule'!I:I, SMALL(IF('Bank Schedule'!$K$2:$K$825="Vacant", ROW('Bank Schedule'!$K$2:$K$825)), ROW(20:20))), "")</f>
        <v/>
      </c>
      <c r="J23" s="11" t="str">
        <f t="array" ref="J23">IFERROR(INDEX('Bank Schedule'!K:K, SMALL(IF('Bank Schedule'!$K$2:$K$825="Vacant", ROW('Bank Schedule'!$K$2:$K$825)), ROW(20:20))), "")</f>
        <v/>
      </c>
      <c r="K23" s="11" t="str">
        <f t="array" ref="K23">IFERROR(INDEX('Bank Schedule'!L:L, SMALL(IF('Bank Schedule'!$K$2:$K$825="Vacant", ROW('Bank Schedule'!$K$2:$K$825)), ROW(20:20))), "")</f>
        <v/>
      </c>
      <c r="L23" s="11" t="str">
        <f t="array" ref="L23">IFERROR(INDEX('Bank Schedule'!M:M, SMALL(IF('Bank Schedule'!$K$2:$K$825="Vacant", ROW('Bank Schedule'!$K$2:$K$825)), ROW(20:20))), "")</f>
        <v/>
      </c>
      <c r="M23" s="106" t="str">
        <f t="array" ref="M23">IFERROR(INDEX('Bank Schedule'!N:N, SMALL(IF('Bank Schedule'!$K$2:$K$825="Vacant", ROW('Bank Schedule'!$K$2:$K$825)), ROW(20:20))), "")</f>
        <v/>
      </c>
      <c r="N23" s="11" t="str">
        <f t="array" ref="N23">IFERROR(INDEX('Bank Schedule'!O:O, SMALL(IF('Bank Schedule'!$K$2:$K$825="Vacant", ROW('Bank Schedule'!$K$2:$K$825)), ROW(20:20))), "")</f>
        <v/>
      </c>
      <c r="O23" s="11" t="str">
        <f t="array" ref="O23">IFERROR(INDEX('Bank Schedule'!P:P, SMALL(IF('Bank Schedule'!$K$2:$K$825="Vacant", ROW('Bank Schedule'!$K$2:$K$825)), ROW(20:20))), "")</f>
        <v/>
      </c>
      <c r="P23" s="11" t="str">
        <f t="array" ref="P23">IFERROR(INDEX('Bank Schedule'!Q:Q, SMALL(IF('Bank Schedule'!$K$2:$K$825="Vacant", ROW('Bank Schedule'!$K$2:$K$825)), ROW(20:20))), "")</f>
        <v/>
      </c>
      <c r="Q23" s="11" t="str">
        <f t="array" ref="Q23">IFERROR(INDEX('Bank Schedule'!R:R, SMALL(IF('Bank Schedule'!$K$2:$K$825="Vacant", ROW('Bank Schedule'!$K$2:$K$825)), ROW(20:20))), "")</f>
        <v/>
      </c>
      <c r="R23" s="11" t="str">
        <f t="array" ref="R23">IFERROR(INDEX('Bank Schedule'!S:S, SMALL(IF('Bank Schedule'!$K$2:$K$825="Vacant", ROW('Bank Schedule'!$K$2:$K$825)), ROW(20:20))), "")</f>
        <v/>
      </c>
      <c r="S23" s="320" t="str">
        <f t="array" ref="S23">IFERROR(INDEX('Bank Schedule'!T:T, SMALL(IF('Bank Schedule'!$K$2:$K$825="Vacant", ROW('Bank Schedule'!$K$2:$K$825)), ROW(20:20))), "")</f>
        <v/>
      </c>
      <c r="T23" s="320" t="str">
        <f t="array" ref="T23">IFERROR(INDEX('Bank Schedule'!U:U, SMALL(IF('Bank Schedule'!$K$2:$K$825="Vacant", ROW('Bank Schedule'!$K$2:$K$825)), ROW(20:20))), "")</f>
        <v/>
      </c>
      <c r="U23" s="320" t="str">
        <f t="array" ref="U23">IFERROR(INDEX('Bank Schedule'!V:V, SMALL(IF('Bank Schedule'!$K$2:$K$825="Vacant", ROW('Bank Schedule'!$K$2:$K$825)), ROW(20:20))), "")</f>
        <v/>
      </c>
      <c r="V23" s="320" t="str">
        <f t="array" ref="V23">IFERROR(INDEX('Bank Schedule'!W:W, SMALL(IF('Bank Schedule'!$K$2:$K$825="Vacant", ROW('Bank Schedule'!$K$2:$K$825)), ROW(20:20))), "")</f>
        <v/>
      </c>
      <c r="W23" s="319" t="str">
        <f t="array" ref="W23">IFERROR(INDEX('Bank Schedule'!X:X, SMALL(IF('Bank Schedule'!$K$2:$K$825="Vacant", ROW('Bank Schedule'!$K$2:$K$825)), ROW(20:20))), "")</f>
        <v/>
      </c>
      <c r="X23" s="11" t="str">
        <f t="array" ref="X23">IFERROR(INDEX('Bank Schedule'!Y:Y, SMALL(IF('Bank Schedule'!$K$2:$K$825="Vacant", ROW('Bank Schedule'!$K$2:$K$825)), ROW(20:20))), "")</f>
        <v/>
      </c>
      <c r="Y23" s="11" t="str">
        <f t="array" ref="Y23">IFERROR(INDEX('Bank Schedule'!Z:Z, SMALL(IF('Bank Schedule'!$K$2:$K$825="Vacant", ROW('Bank Schedule'!$K$2:$K$825)), ROW(20:20))), "")</f>
        <v/>
      </c>
      <c r="Z23" s="11" t="str">
        <f t="array" ref="Z23">IFERROR(INDEX('Bank Schedule'!AA:AA, SMALL(IF('Bank Schedule'!$K$2:$K$825="Vacant", ROW('Bank Schedule'!$K$2:$K$825)), ROW(20:20))), "")</f>
        <v/>
      </c>
      <c r="AA23" s="11" t="str">
        <f t="array" ref="AA23">IFERROR(INDEX('Bank Schedule'!AB:AB, SMALL(IF('Bank Schedule'!$K$2:$K$825="Vacant", ROW('Bank Schedule'!$K$2:$K$825)), ROW(20:20))), "")</f>
        <v/>
      </c>
      <c r="AB23" s="25" t="str">
        <f t="array" ref="AB23">IFERROR(INDEX('Bank Schedule'!AC:AC, SMALL(IF('Bank Schedule'!$K$2:$K$825="Vacant", ROW('Bank Schedule'!$K$2:$K$825)), ROW(20:20))), "")</f>
        <v/>
      </c>
      <c r="AC23" s="299" t="str">
        <f t="array" ref="AC23">IFERROR(INDEX('Bank Schedule'!AD:AD, SMALL(IF('Bank Schedule'!$K$2:$K$825="Vacant", ROW('Bank Schedule'!$K$2:$K$825)), ROW(20:20))), "")</f>
        <v/>
      </c>
      <c r="AD23" s="11" t="str">
        <f t="array" ref="AD23">IFERROR(INDEX('Bank Schedule'!AE:AE, SMALL(IF('Bank Schedule'!$K$2:$K$825="Vacant", ROW('Bank Schedule'!$K$2:$K$825)), ROW(20:20))), "")</f>
        <v/>
      </c>
      <c r="AE23" s="11" t="str">
        <f t="array" ref="AE23">IFERROR(INDEX('Bank Schedule'!AF:AF, SMALL(IF('Bank Schedule'!$K$2:$K$825="Vacant", ROW('Bank Schedule'!$K$2:$K$825)), ROW(20:20))), "")</f>
        <v/>
      </c>
      <c r="AF23" s="11" t="str">
        <f t="array" ref="AF23">IFERROR(INDEX('Bank Schedule'!AG:AG, SMALL(IF('Bank Schedule'!$K$2:$K$825="Vacant", ROW('Bank Schedule'!$K$2:$K$825)), ROW(20:20))), "")</f>
        <v/>
      </c>
      <c r="AG23" s="4"/>
    </row>
    <row r="24" spans="1:33" ht="28.5" hidden="1" customHeight="1">
      <c r="A24" s="2" t="str">
        <f t="array" ref="A24">IFERROR(INDEX('Bank Schedule'!A:A, SMALL(IF('Bank Schedule'!$K$2:$K$825="Vacant", ROW('Bank Schedule'!$K$2:$K$825)), ROW(21:21))), "")</f>
        <v/>
      </c>
      <c r="B24" s="11" t="str">
        <f t="array" ref="B24">IFERROR(INDEX('Bank Schedule'!B:B, SMALL(IF('Bank Schedule'!$K$2:$K$825="Vacant", ROW('Bank Schedule'!$K$2:$K$825)), ROW(21:21))), "")</f>
        <v/>
      </c>
      <c r="C24" s="11" t="str">
        <f t="array" ref="C24">IFERROR(INDEX('Bank Schedule'!C:C, SMALL(IF('Bank Schedule'!$K$2:$K$825="Vacant", ROW('Bank Schedule'!$K$2:$K$825)), ROW(21:21))), "")</f>
        <v/>
      </c>
      <c r="D24" s="11" t="str">
        <f t="array" ref="D24">IFERROR(INDEX('Bank Schedule'!D:D, SMALL(IF('Bank Schedule'!$K$2:$K$825="Vacant", ROW('Bank Schedule'!$K$2:$K$825)), ROW(21:21))), "")</f>
        <v/>
      </c>
      <c r="E24" s="25" t="str">
        <f t="array" ref="E24">IFERROR(INDEX('Bank Schedule'!E:E, SMALL(IF('Bank Schedule'!$K$2:$K$825="Vacant", ROW('Bank Schedule'!$K$2:$K$825)), ROW(21:21))), "")</f>
        <v/>
      </c>
      <c r="F24" s="25" t="str">
        <f t="array" ref="F24">IFERROR(INDEX('Bank Schedule'!F:F, SMALL(IF('Bank Schedule'!$K$2:$K$825="Vacant", ROW('Bank Schedule'!$K$2:$K$825)), ROW(21:21))), "")</f>
        <v/>
      </c>
      <c r="G24" s="25" t="str">
        <f t="array" ref="G24">IFERROR(INDEX('Bank Schedule'!G:G, SMALL(IF('Bank Schedule'!$K$2:$K$825="Vacant", ROW('Bank Schedule'!$K$2:$K$825)), ROW(21:21))), "")</f>
        <v/>
      </c>
      <c r="H24" s="55" t="str">
        <f t="array" ref="H24">IFERROR(INDEX('Bank Schedule'!H:H, SMALL(IF('Bank Schedule'!$K$2:$K$825="Vacant", ROW('Bank Schedule'!$K$2:$K$825)), ROW(21:21))), "")</f>
        <v/>
      </c>
      <c r="I24" s="55" t="str">
        <f t="array" ref="I24">IFERROR(INDEX('Bank Schedule'!I:I, SMALL(IF('Bank Schedule'!$K$2:$K$825="Vacant", ROW('Bank Schedule'!$K$2:$K$825)), ROW(21:21))), "")</f>
        <v/>
      </c>
      <c r="J24" s="11" t="str">
        <f t="array" ref="J24">IFERROR(INDEX('Bank Schedule'!K:K, SMALL(IF('Bank Schedule'!$K$2:$K$825="Vacant", ROW('Bank Schedule'!$K$2:$K$825)), ROW(21:21))), "")</f>
        <v/>
      </c>
      <c r="K24" s="11" t="str">
        <f t="array" ref="K24">IFERROR(INDEX('Bank Schedule'!L:L, SMALL(IF('Bank Schedule'!$K$2:$K$825="Vacant", ROW('Bank Schedule'!$K$2:$K$825)), ROW(21:21))), "")</f>
        <v/>
      </c>
      <c r="L24" s="11" t="str">
        <f t="array" ref="L24">IFERROR(INDEX('Bank Schedule'!M:M, SMALL(IF('Bank Schedule'!$K$2:$K$825="Vacant", ROW('Bank Schedule'!$K$2:$K$825)), ROW(21:21))), "")</f>
        <v/>
      </c>
      <c r="M24" s="106" t="str">
        <f t="array" ref="M24">IFERROR(INDEX('Bank Schedule'!N:N, SMALL(IF('Bank Schedule'!$K$2:$K$825="Vacant", ROW('Bank Schedule'!$K$2:$K$825)), ROW(21:21))), "")</f>
        <v/>
      </c>
      <c r="N24" s="11" t="str">
        <f t="array" ref="N24">IFERROR(INDEX('Bank Schedule'!O:O, SMALL(IF('Bank Schedule'!$K$2:$K$825="Vacant", ROW('Bank Schedule'!$K$2:$K$825)), ROW(21:21))), "")</f>
        <v/>
      </c>
      <c r="O24" s="11" t="str">
        <f t="array" ref="O24">IFERROR(INDEX('Bank Schedule'!P:P, SMALL(IF('Bank Schedule'!$K$2:$K$825="Vacant", ROW('Bank Schedule'!$K$2:$K$825)), ROW(21:21))), "")</f>
        <v/>
      </c>
      <c r="P24" s="11" t="str">
        <f t="array" ref="P24">IFERROR(INDEX('Bank Schedule'!Q:Q, SMALL(IF('Bank Schedule'!$K$2:$K$825="Vacant", ROW('Bank Schedule'!$K$2:$K$825)), ROW(21:21))), "")</f>
        <v/>
      </c>
      <c r="Q24" s="11" t="str">
        <f t="array" ref="Q24">IFERROR(INDEX('Bank Schedule'!R:R, SMALL(IF('Bank Schedule'!$K$2:$K$825="Vacant", ROW('Bank Schedule'!$K$2:$K$825)), ROW(21:21))), "")</f>
        <v/>
      </c>
      <c r="R24" s="11" t="str">
        <f t="array" ref="R24">IFERROR(INDEX('Bank Schedule'!S:S, SMALL(IF('Bank Schedule'!$K$2:$K$825="Vacant", ROW('Bank Schedule'!$K$2:$K$825)), ROW(21:21))), "")</f>
        <v/>
      </c>
      <c r="S24" s="320" t="str">
        <f t="array" ref="S24">IFERROR(INDEX('Bank Schedule'!T:T, SMALL(IF('Bank Schedule'!$K$2:$K$825="Vacant", ROW('Bank Schedule'!$K$2:$K$825)), ROW(21:21))), "")</f>
        <v/>
      </c>
      <c r="T24" s="320" t="str">
        <f t="array" ref="T24">IFERROR(INDEX('Bank Schedule'!U:U, SMALL(IF('Bank Schedule'!$K$2:$K$825="Vacant", ROW('Bank Schedule'!$K$2:$K$825)), ROW(21:21))), "")</f>
        <v/>
      </c>
      <c r="U24" s="320" t="str">
        <f t="array" ref="U24">IFERROR(INDEX('Bank Schedule'!V:V, SMALL(IF('Bank Schedule'!$K$2:$K$825="Vacant", ROW('Bank Schedule'!$K$2:$K$825)), ROW(21:21))), "")</f>
        <v/>
      </c>
      <c r="V24" s="320" t="str">
        <f t="array" ref="V24">IFERROR(INDEX('Bank Schedule'!W:W, SMALL(IF('Bank Schedule'!$K$2:$K$825="Vacant", ROW('Bank Schedule'!$K$2:$K$825)), ROW(21:21))), "")</f>
        <v/>
      </c>
      <c r="W24" s="319" t="str">
        <f t="array" ref="W24">IFERROR(INDEX('Bank Schedule'!X:X, SMALL(IF('Bank Schedule'!$K$2:$K$825="Vacant", ROW('Bank Schedule'!$K$2:$K$825)), ROW(21:21))), "")</f>
        <v/>
      </c>
      <c r="X24" s="11" t="str">
        <f t="array" ref="X24">IFERROR(INDEX('Bank Schedule'!Y:Y, SMALL(IF('Bank Schedule'!$K$2:$K$825="Vacant", ROW('Bank Schedule'!$K$2:$K$825)), ROW(21:21))), "")</f>
        <v/>
      </c>
      <c r="Y24" s="11" t="str">
        <f t="array" ref="Y24">IFERROR(INDEX('Bank Schedule'!Z:Z, SMALL(IF('Bank Schedule'!$K$2:$K$825="Vacant", ROW('Bank Schedule'!$K$2:$K$825)), ROW(21:21))), "")</f>
        <v/>
      </c>
      <c r="Z24" s="11" t="str">
        <f t="array" ref="Z24">IFERROR(INDEX('Bank Schedule'!AA:AA, SMALL(IF('Bank Schedule'!$K$2:$K$825="Vacant", ROW('Bank Schedule'!$K$2:$K$825)), ROW(21:21))), "")</f>
        <v/>
      </c>
      <c r="AA24" s="11" t="str">
        <f t="array" ref="AA24">IFERROR(INDEX('Bank Schedule'!AB:AB, SMALL(IF('Bank Schedule'!$K$2:$K$825="Vacant", ROW('Bank Schedule'!$K$2:$K$825)), ROW(21:21))), "")</f>
        <v/>
      </c>
      <c r="AB24" s="25" t="str">
        <f t="array" ref="AB24">IFERROR(INDEX('Bank Schedule'!AC:AC, SMALL(IF('Bank Schedule'!$K$2:$K$825="Vacant", ROW('Bank Schedule'!$K$2:$K$825)), ROW(21:21))), "")</f>
        <v/>
      </c>
      <c r="AC24" s="299" t="str">
        <f t="array" ref="AC24">IFERROR(INDEX('Bank Schedule'!AD:AD, SMALL(IF('Bank Schedule'!$K$2:$K$825="Vacant", ROW('Bank Schedule'!$K$2:$K$825)), ROW(21:21))), "")</f>
        <v/>
      </c>
      <c r="AD24" s="11" t="str">
        <f t="array" ref="AD24">IFERROR(INDEX('Bank Schedule'!AE:AE, SMALL(IF('Bank Schedule'!$K$2:$K$825="Vacant", ROW('Bank Schedule'!$K$2:$K$825)), ROW(21:21))), "")</f>
        <v/>
      </c>
      <c r="AE24" s="11" t="str">
        <f t="array" ref="AE24">IFERROR(INDEX('Bank Schedule'!AF:AF, SMALL(IF('Bank Schedule'!$K$2:$K$825="Vacant", ROW('Bank Schedule'!$K$2:$K$825)), ROW(21:21))), "")</f>
        <v/>
      </c>
      <c r="AF24" s="11" t="str">
        <f t="array" ref="AF24">IFERROR(INDEX('Bank Schedule'!AG:AG, SMALL(IF('Bank Schedule'!$K$2:$K$825="Vacant", ROW('Bank Schedule'!$K$2:$K$825)), ROW(21:21))), "")</f>
        <v/>
      </c>
      <c r="AG24" s="4"/>
    </row>
    <row r="25" spans="1:33" ht="28.5" hidden="1" customHeight="1">
      <c r="A25" s="2" t="str">
        <f t="array" ref="A25">IFERROR(INDEX('Bank Schedule'!A:A, SMALL(IF('Bank Schedule'!$K$2:$K$825="Vacant", ROW('Bank Schedule'!$K$2:$K$825)), ROW(22:22))), "")</f>
        <v/>
      </c>
      <c r="B25" s="11" t="str">
        <f t="array" ref="B25">IFERROR(INDEX('Bank Schedule'!B:B, SMALL(IF('Bank Schedule'!$K$2:$K$825="Vacant", ROW('Bank Schedule'!$K$2:$K$825)), ROW(22:22))), "")</f>
        <v/>
      </c>
      <c r="C25" s="11" t="str">
        <f t="array" ref="C25">IFERROR(INDEX('Bank Schedule'!C:C, SMALL(IF('Bank Schedule'!$K$2:$K$825="Vacant", ROW('Bank Schedule'!$K$2:$K$825)), ROW(22:22))), "")</f>
        <v/>
      </c>
      <c r="D25" s="11" t="str">
        <f t="array" ref="D25">IFERROR(INDEX('Bank Schedule'!D:D, SMALL(IF('Bank Schedule'!$K$2:$K$825="Vacant", ROW('Bank Schedule'!$K$2:$K$825)), ROW(22:22))), "")</f>
        <v/>
      </c>
      <c r="E25" s="25" t="str">
        <f t="array" ref="E25">IFERROR(INDEX('Bank Schedule'!E:E, SMALL(IF('Bank Schedule'!$K$2:$K$825="Vacant", ROW('Bank Schedule'!$K$2:$K$825)), ROW(22:22))), "")</f>
        <v/>
      </c>
      <c r="F25" s="25" t="str">
        <f t="array" ref="F25">IFERROR(INDEX('Bank Schedule'!F:F, SMALL(IF('Bank Schedule'!$K$2:$K$825="Vacant", ROW('Bank Schedule'!$K$2:$K$825)), ROW(22:22))), "")</f>
        <v/>
      </c>
      <c r="G25" s="25" t="str">
        <f t="array" ref="G25">IFERROR(INDEX('Bank Schedule'!G:G, SMALL(IF('Bank Schedule'!$K$2:$K$825="Vacant", ROW('Bank Schedule'!$K$2:$K$825)), ROW(22:22))), "")</f>
        <v/>
      </c>
      <c r="H25" s="55" t="str">
        <f t="array" ref="H25">IFERROR(INDEX('Bank Schedule'!H:H, SMALL(IF('Bank Schedule'!$K$2:$K$825="Vacant", ROW('Bank Schedule'!$K$2:$K$825)), ROW(22:22))), "")</f>
        <v/>
      </c>
      <c r="I25" s="55" t="str">
        <f t="array" ref="I25">IFERROR(INDEX('Bank Schedule'!I:I, SMALL(IF('Bank Schedule'!$K$2:$K$825="Vacant", ROW('Bank Schedule'!$K$2:$K$825)), ROW(22:22))), "")</f>
        <v/>
      </c>
      <c r="J25" s="11" t="str">
        <f t="array" ref="J25">IFERROR(INDEX('Bank Schedule'!K:K, SMALL(IF('Bank Schedule'!$K$2:$K$825="Vacant", ROW('Bank Schedule'!$K$2:$K$825)), ROW(22:22))), "")</f>
        <v/>
      </c>
      <c r="K25" s="11" t="str">
        <f t="array" ref="K25">IFERROR(INDEX('Bank Schedule'!L:L, SMALL(IF('Bank Schedule'!$K$2:$K$825="Vacant", ROW('Bank Schedule'!$K$2:$K$825)), ROW(22:22))), "")</f>
        <v/>
      </c>
      <c r="L25" s="11" t="str">
        <f t="array" ref="L25">IFERROR(INDEX('Bank Schedule'!M:M, SMALL(IF('Bank Schedule'!$K$2:$K$825="Vacant", ROW('Bank Schedule'!$K$2:$K$825)), ROW(22:22))), "")</f>
        <v/>
      </c>
      <c r="M25" s="106" t="str">
        <f t="array" ref="M25">IFERROR(INDEX('Bank Schedule'!N:N, SMALL(IF('Bank Schedule'!$K$2:$K$825="Vacant", ROW('Bank Schedule'!$K$2:$K$825)), ROW(22:22))), "")</f>
        <v/>
      </c>
      <c r="N25" s="11" t="str">
        <f t="array" ref="N25">IFERROR(INDEX('Bank Schedule'!O:O, SMALL(IF('Bank Schedule'!$K$2:$K$825="Vacant", ROW('Bank Schedule'!$K$2:$K$825)), ROW(22:22))), "")</f>
        <v/>
      </c>
      <c r="O25" s="11" t="str">
        <f t="array" ref="O25">IFERROR(INDEX('Bank Schedule'!P:P, SMALL(IF('Bank Schedule'!$K$2:$K$825="Vacant", ROW('Bank Schedule'!$K$2:$K$825)), ROW(22:22))), "")</f>
        <v/>
      </c>
      <c r="P25" s="11" t="str">
        <f t="array" ref="P25">IFERROR(INDEX('Bank Schedule'!Q:Q, SMALL(IF('Bank Schedule'!$K$2:$K$825="Vacant", ROW('Bank Schedule'!$K$2:$K$825)), ROW(22:22))), "")</f>
        <v/>
      </c>
      <c r="Q25" s="11" t="str">
        <f t="array" ref="Q25">IFERROR(INDEX('Bank Schedule'!R:R, SMALL(IF('Bank Schedule'!$K$2:$K$825="Vacant", ROW('Bank Schedule'!$K$2:$K$825)), ROW(22:22))), "")</f>
        <v/>
      </c>
      <c r="R25" s="11" t="str">
        <f t="array" ref="R25">IFERROR(INDEX('Bank Schedule'!S:S, SMALL(IF('Bank Schedule'!$K$2:$K$825="Vacant", ROW('Bank Schedule'!$K$2:$K$825)), ROW(22:22))), "")</f>
        <v/>
      </c>
      <c r="S25" s="320" t="str">
        <f t="array" ref="S25">IFERROR(INDEX('Bank Schedule'!T:T, SMALL(IF('Bank Schedule'!$K$2:$K$825="Vacant", ROW('Bank Schedule'!$K$2:$K$825)), ROW(22:22))), "")</f>
        <v/>
      </c>
      <c r="T25" s="320" t="str">
        <f t="array" ref="T25">IFERROR(INDEX('Bank Schedule'!U:U, SMALL(IF('Bank Schedule'!$K$2:$K$825="Vacant", ROW('Bank Schedule'!$K$2:$K$825)), ROW(22:22))), "")</f>
        <v/>
      </c>
      <c r="U25" s="320" t="str">
        <f t="array" ref="U25">IFERROR(INDEX('Bank Schedule'!V:V, SMALL(IF('Bank Schedule'!$K$2:$K$825="Vacant", ROW('Bank Schedule'!$K$2:$K$825)), ROW(22:22))), "")</f>
        <v/>
      </c>
      <c r="V25" s="320" t="str">
        <f t="array" ref="V25">IFERROR(INDEX('Bank Schedule'!W:W, SMALL(IF('Bank Schedule'!$K$2:$K$825="Vacant", ROW('Bank Schedule'!$K$2:$K$825)), ROW(22:22))), "")</f>
        <v/>
      </c>
      <c r="W25" s="319" t="str">
        <f t="array" ref="W25">IFERROR(INDEX('Bank Schedule'!X:X, SMALL(IF('Bank Schedule'!$K$2:$K$825="Vacant", ROW('Bank Schedule'!$K$2:$K$825)), ROW(22:22))), "")</f>
        <v/>
      </c>
      <c r="X25" s="11" t="str">
        <f t="array" ref="X25">IFERROR(INDEX('Bank Schedule'!Y:Y, SMALL(IF('Bank Schedule'!$K$2:$K$825="Vacant", ROW('Bank Schedule'!$K$2:$K$825)), ROW(22:22))), "")</f>
        <v/>
      </c>
      <c r="Y25" s="11" t="str">
        <f t="array" ref="Y25">IFERROR(INDEX('Bank Schedule'!Z:Z, SMALL(IF('Bank Schedule'!$K$2:$K$825="Vacant", ROW('Bank Schedule'!$K$2:$K$825)), ROW(22:22))), "")</f>
        <v/>
      </c>
      <c r="Z25" s="11" t="str">
        <f t="array" ref="Z25">IFERROR(INDEX('Bank Schedule'!AA:AA, SMALL(IF('Bank Schedule'!$K$2:$K$825="Vacant", ROW('Bank Schedule'!$K$2:$K$825)), ROW(22:22))), "")</f>
        <v/>
      </c>
      <c r="AA25" s="11" t="str">
        <f t="array" ref="AA25">IFERROR(INDEX('Bank Schedule'!AB:AB, SMALL(IF('Bank Schedule'!$K$2:$K$825="Vacant", ROW('Bank Schedule'!$K$2:$K$825)), ROW(22:22))), "")</f>
        <v/>
      </c>
      <c r="AB25" s="25" t="str">
        <f t="array" ref="AB25">IFERROR(INDEX('Bank Schedule'!AC:AC, SMALL(IF('Bank Schedule'!$K$2:$K$825="Vacant", ROW('Bank Schedule'!$K$2:$K$825)), ROW(22:22))), "")</f>
        <v/>
      </c>
      <c r="AC25" s="299" t="str">
        <f t="array" ref="AC25">IFERROR(INDEX('Bank Schedule'!AD:AD, SMALL(IF('Bank Schedule'!$K$2:$K$825="Vacant", ROW('Bank Schedule'!$K$2:$K$825)), ROW(22:22))), "")</f>
        <v/>
      </c>
      <c r="AD25" s="11" t="str">
        <f t="array" ref="AD25">IFERROR(INDEX('Bank Schedule'!AE:AE, SMALL(IF('Bank Schedule'!$K$2:$K$825="Vacant", ROW('Bank Schedule'!$K$2:$K$825)), ROW(22:22))), "")</f>
        <v/>
      </c>
      <c r="AE25" s="11" t="str">
        <f t="array" ref="AE25">IFERROR(INDEX('Bank Schedule'!AF:AF, SMALL(IF('Bank Schedule'!$K$2:$K$825="Vacant", ROW('Bank Schedule'!$K$2:$K$825)), ROW(22:22))), "")</f>
        <v/>
      </c>
      <c r="AF25" s="11" t="str">
        <f t="array" ref="AF25">IFERROR(INDEX('Bank Schedule'!AG:AG, SMALL(IF('Bank Schedule'!$K$2:$K$825="Vacant", ROW('Bank Schedule'!$K$2:$K$825)), ROW(22:22))), "")</f>
        <v/>
      </c>
      <c r="AG25" s="4"/>
    </row>
    <row r="26" spans="1:33" ht="28.5" hidden="1" customHeight="1">
      <c r="A26" s="2" t="str">
        <f t="array" ref="A26">IFERROR(INDEX('Bank Schedule'!A:A, SMALL(IF('Bank Schedule'!$K$2:$K$825="Vacant", ROW('Bank Schedule'!$K$2:$K$825)), ROW(23:23))), "")</f>
        <v/>
      </c>
      <c r="B26" s="11" t="str">
        <f t="array" ref="B26">IFERROR(INDEX('Bank Schedule'!B:B, SMALL(IF('Bank Schedule'!$K$2:$K$825="Vacant", ROW('Bank Schedule'!$K$2:$K$825)), ROW(23:23))), "")</f>
        <v/>
      </c>
      <c r="C26" s="11" t="str">
        <f t="array" ref="C26">IFERROR(INDEX('Bank Schedule'!C:C, SMALL(IF('Bank Schedule'!$K$2:$K$825="Vacant", ROW('Bank Schedule'!$K$2:$K$825)), ROW(23:23))), "")</f>
        <v/>
      </c>
      <c r="D26" s="11" t="str">
        <f t="array" ref="D26">IFERROR(INDEX('Bank Schedule'!D:D, SMALL(IF('Bank Schedule'!$K$2:$K$825="Vacant", ROW('Bank Schedule'!$K$2:$K$825)), ROW(23:23))), "")</f>
        <v/>
      </c>
      <c r="E26" s="25" t="str">
        <f t="array" ref="E26">IFERROR(INDEX('Bank Schedule'!E:E, SMALL(IF('Bank Schedule'!$K$2:$K$825="Vacant", ROW('Bank Schedule'!$K$2:$K$825)), ROW(23:23))), "")</f>
        <v/>
      </c>
      <c r="F26" s="25" t="str">
        <f t="array" ref="F26">IFERROR(INDEX('Bank Schedule'!F:F, SMALL(IF('Bank Schedule'!$K$2:$K$825="Vacant", ROW('Bank Schedule'!$K$2:$K$825)), ROW(23:23))), "")</f>
        <v/>
      </c>
      <c r="G26" s="25" t="str">
        <f t="array" ref="G26">IFERROR(INDEX('Bank Schedule'!G:G, SMALL(IF('Bank Schedule'!$K$2:$K$825="Vacant", ROW('Bank Schedule'!$K$2:$K$825)), ROW(23:23))), "")</f>
        <v/>
      </c>
      <c r="H26" s="55" t="str">
        <f t="array" ref="H26">IFERROR(INDEX('Bank Schedule'!H:H, SMALL(IF('Bank Schedule'!$K$2:$K$825="Vacant", ROW('Bank Schedule'!$K$2:$K$825)), ROW(23:23))), "")</f>
        <v/>
      </c>
      <c r="I26" s="55" t="str">
        <f t="array" ref="I26">IFERROR(INDEX('Bank Schedule'!I:I, SMALL(IF('Bank Schedule'!$K$2:$K$825="Vacant", ROW('Bank Schedule'!$K$2:$K$825)), ROW(23:23))), "")</f>
        <v/>
      </c>
      <c r="J26" s="11" t="str">
        <f t="array" ref="J26">IFERROR(INDEX('Bank Schedule'!K:K, SMALL(IF('Bank Schedule'!$K$2:$K$825="Vacant", ROW('Bank Schedule'!$K$2:$K$825)), ROW(23:23))), "")</f>
        <v/>
      </c>
      <c r="K26" s="11" t="str">
        <f t="array" ref="K26">IFERROR(INDEX('Bank Schedule'!L:L, SMALL(IF('Bank Schedule'!$K$2:$K$825="Vacant", ROW('Bank Schedule'!$K$2:$K$825)), ROW(23:23))), "")</f>
        <v/>
      </c>
      <c r="L26" s="11" t="str">
        <f t="array" ref="L26">IFERROR(INDEX('Bank Schedule'!M:M, SMALL(IF('Bank Schedule'!$K$2:$K$825="Vacant", ROW('Bank Schedule'!$K$2:$K$825)), ROW(23:23))), "")</f>
        <v/>
      </c>
      <c r="M26" s="106" t="str">
        <f t="array" ref="M26">IFERROR(INDEX('Bank Schedule'!N:N, SMALL(IF('Bank Schedule'!$K$2:$K$825="Vacant", ROW('Bank Schedule'!$K$2:$K$825)), ROW(23:23))), "")</f>
        <v/>
      </c>
      <c r="N26" s="11" t="str">
        <f t="array" ref="N26">IFERROR(INDEX('Bank Schedule'!O:O, SMALL(IF('Bank Schedule'!$K$2:$K$825="Vacant", ROW('Bank Schedule'!$K$2:$K$825)), ROW(23:23))), "")</f>
        <v/>
      </c>
      <c r="O26" s="11" t="str">
        <f t="array" ref="O26">IFERROR(INDEX('Bank Schedule'!P:P, SMALL(IF('Bank Schedule'!$K$2:$K$825="Vacant", ROW('Bank Schedule'!$K$2:$K$825)), ROW(23:23))), "")</f>
        <v/>
      </c>
      <c r="P26" s="11" t="str">
        <f t="array" ref="P26">IFERROR(INDEX('Bank Schedule'!Q:Q, SMALL(IF('Bank Schedule'!$K$2:$K$825="Vacant", ROW('Bank Schedule'!$K$2:$K$825)), ROW(23:23))), "")</f>
        <v/>
      </c>
      <c r="Q26" s="11" t="str">
        <f t="array" ref="Q26">IFERROR(INDEX('Bank Schedule'!R:R, SMALL(IF('Bank Schedule'!$K$2:$K$825="Vacant", ROW('Bank Schedule'!$K$2:$K$825)), ROW(23:23))), "")</f>
        <v/>
      </c>
      <c r="R26" s="11" t="str">
        <f t="array" ref="R26">IFERROR(INDEX('Bank Schedule'!S:S, SMALL(IF('Bank Schedule'!$K$2:$K$825="Vacant", ROW('Bank Schedule'!$K$2:$K$825)), ROW(23:23))), "")</f>
        <v/>
      </c>
      <c r="S26" s="320" t="str">
        <f t="array" ref="S26">IFERROR(INDEX('Bank Schedule'!T:T, SMALL(IF('Bank Schedule'!$K$2:$K$825="Vacant", ROW('Bank Schedule'!$K$2:$K$825)), ROW(23:23))), "")</f>
        <v/>
      </c>
      <c r="T26" s="320" t="str">
        <f t="array" ref="T26">IFERROR(INDEX('Bank Schedule'!U:U, SMALL(IF('Bank Schedule'!$K$2:$K$825="Vacant", ROW('Bank Schedule'!$K$2:$K$825)), ROW(23:23))), "")</f>
        <v/>
      </c>
      <c r="U26" s="320" t="str">
        <f t="array" ref="U26">IFERROR(INDEX('Bank Schedule'!V:V, SMALL(IF('Bank Schedule'!$K$2:$K$825="Vacant", ROW('Bank Schedule'!$K$2:$K$825)), ROW(23:23))), "")</f>
        <v/>
      </c>
      <c r="V26" s="320" t="str">
        <f t="array" ref="V26">IFERROR(INDEX('Bank Schedule'!W:W, SMALL(IF('Bank Schedule'!$K$2:$K$825="Vacant", ROW('Bank Schedule'!$K$2:$K$825)), ROW(23:23))), "")</f>
        <v/>
      </c>
      <c r="W26" s="319" t="str">
        <f t="array" ref="W26">IFERROR(INDEX('Bank Schedule'!X:X, SMALL(IF('Bank Schedule'!$K$2:$K$825="Vacant", ROW('Bank Schedule'!$K$2:$K$825)), ROW(23:23))), "")</f>
        <v/>
      </c>
      <c r="X26" s="11" t="str">
        <f t="array" ref="X26">IFERROR(INDEX('Bank Schedule'!Y:Y, SMALL(IF('Bank Schedule'!$K$2:$K$825="Vacant", ROW('Bank Schedule'!$K$2:$K$825)), ROW(23:23))), "")</f>
        <v/>
      </c>
      <c r="Y26" s="11" t="str">
        <f t="array" ref="Y26">IFERROR(INDEX('Bank Schedule'!Z:Z, SMALL(IF('Bank Schedule'!$K$2:$K$825="Vacant", ROW('Bank Schedule'!$K$2:$K$825)), ROW(23:23))), "")</f>
        <v/>
      </c>
      <c r="Z26" s="11" t="str">
        <f t="array" ref="Z26">IFERROR(INDEX('Bank Schedule'!AA:AA, SMALL(IF('Bank Schedule'!$K$2:$K$825="Vacant", ROW('Bank Schedule'!$K$2:$K$825)), ROW(23:23))), "")</f>
        <v/>
      </c>
      <c r="AA26" s="11" t="str">
        <f t="array" ref="AA26">IFERROR(INDEX('Bank Schedule'!AB:AB, SMALL(IF('Bank Schedule'!$K$2:$K$825="Vacant", ROW('Bank Schedule'!$K$2:$K$825)), ROW(23:23))), "")</f>
        <v/>
      </c>
      <c r="AB26" s="25" t="str">
        <f t="array" ref="AB26">IFERROR(INDEX('Bank Schedule'!AC:AC, SMALL(IF('Bank Schedule'!$K$2:$K$825="Vacant", ROW('Bank Schedule'!$K$2:$K$825)), ROW(23:23))), "")</f>
        <v/>
      </c>
      <c r="AC26" s="299" t="str">
        <f t="array" ref="AC26">IFERROR(INDEX('Bank Schedule'!AD:AD, SMALL(IF('Bank Schedule'!$K$2:$K$825="Vacant", ROW('Bank Schedule'!$K$2:$K$825)), ROW(23:23))), "")</f>
        <v/>
      </c>
      <c r="AD26" s="11" t="str">
        <f t="array" ref="AD26">IFERROR(INDEX('Bank Schedule'!AE:AE, SMALL(IF('Bank Schedule'!$K$2:$K$825="Vacant", ROW('Bank Schedule'!$K$2:$K$825)), ROW(23:23))), "")</f>
        <v/>
      </c>
      <c r="AE26" s="11" t="str">
        <f t="array" ref="AE26">IFERROR(INDEX('Bank Schedule'!AF:AF, SMALL(IF('Bank Schedule'!$K$2:$K$825="Vacant", ROW('Bank Schedule'!$K$2:$K$825)), ROW(23:23))), "")</f>
        <v/>
      </c>
      <c r="AF26" s="11" t="str">
        <f t="array" ref="AF26">IFERROR(INDEX('Bank Schedule'!AG:AG, SMALL(IF('Bank Schedule'!$K$2:$K$825="Vacant", ROW('Bank Schedule'!$K$2:$K$825)), ROW(23:23))), "")</f>
        <v/>
      </c>
      <c r="AG26" s="4"/>
    </row>
    <row r="27" spans="1:33" ht="28.5" hidden="1" customHeight="1">
      <c r="A27" s="2" t="str">
        <f t="array" ref="A27">IFERROR(INDEX('Bank Schedule'!A:A, SMALL(IF('Bank Schedule'!$K$2:$K$825="Vacant", ROW('Bank Schedule'!$K$2:$K$825)), ROW(24:24))), "")</f>
        <v/>
      </c>
      <c r="B27" s="11" t="str">
        <f t="array" ref="B27">IFERROR(INDEX('Bank Schedule'!B:B, SMALL(IF('Bank Schedule'!$K$2:$K$825="Vacant", ROW('Bank Schedule'!$K$2:$K$825)), ROW(24:24))), "")</f>
        <v/>
      </c>
      <c r="C27" s="11" t="str">
        <f t="array" ref="C27">IFERROR(INDEX('Bank Schedule'!C:C, SMALL(IF('Bank Schedule'!$K$2:$K$825="Vacant", ROW('Bank Schedule'!$K$2:$K$825)), ROW(24:24))), "")</f>
        <v/>
      </c>
      <c r="D27" s="11" t="str">
        <f t="array" ref="D27">IFERROR(INDEX('Bank Schedule'!D:D, SMALL(IF('Bank Schedule'!$K$2:$K$825="Vacant", ROW('Bank Schedule'!$K$2:$K$825)), ROW(24:24))), "")</f>
        <v/>
      </c>
      <c r="E27" s="25" t="str">
        <f t="array" ref="E27">IFERROR(INDEX('Bank Schedule'!E:E, SMALL(IF('Bank Schedule'!$K$2:$K$825="Vacant", ROW('Bank Schedule'!$K$2:$K$825)), ROW(24:24))), "")</f>
        <v/>
      </c>
      <c r="F27" s="25" t="str">
        <f t="array" ref="F27">IFERROR(INDEX('Bank Schedule'!F:F, SMALL(IF('Bank Schedule'!$K$2:$K$825="Vacant", ROW('Bank Schedule'!$K$2:$K$825)), ROW(24:24))), "")</f>
        <v/>
      </c>
      <c r="G27" s="25" t="str">
        <f t="array" ref="G27">IFERROR(INDEX('Bank Schedule'!G:G, SMALL(IF('Bank Schedule'!$K$2:$K$825="Vacant", ROW('Bank Schedule'!$K$2:$K$825)), ROW(24:24))), "")</f>
        <v/>
      </c>
      <c r="H27" s="55" t="str">
        <f t="array" ref="H27">IFERROR(INDEX('Bank Schedule'!H:H, SMALL(IF('Bank Schedule'!$K$2:$K$825="Vacant", ROW('Bank Schedule'!$K$2:$K$825)), ROW(24:24))), "")</f>
        <v/>
      </c>
      <c r="I27" s="55" t="str">
        <f t="array" ref="I27">IFERROR(INDEX('Bank Schedule'!I:I, SMALL(IF('Bank Schedule'!$K$2:$K$825="Vacant", ROW('Bank Schedule'!$K$2:$K$825)), ROW(24:24))), "")</f>
        <v/>
      </c>
      <c r="J27" s="11" t="str">
        <f t="array" ref="J27">IFERROR(INDEX('Bank Schedule'!K:K, SMALL(IF('Bank Schedule'!$K$2:$K$825="Vacant", ROW('Bank Schedule'!$K$2:$K$825)), ROW(24:24))), "")</f>
        <v/>
      </c>
      <c r="K27" s="11" t="str">
        <f t="array" ref="K27">IFERROR(INDEX('Bank Schedule'!L:L, SMALL(IF('Bank Schedule'!$K$2:$K$825="Vacant", ROW('Bank Schedule'!$K$2:$K$825)), ROW(24:24))), "")</f>
        <v/>
      </c>
      <c r="L27" s="11" t="str">
        <f t="array" ref="L27">IFERROR(INDEX('Bank Schedule'!M:M, SMALL(IF('Bank Schedule'!$K$2:$K$825="Vacant", ROW('Bank Schedule'!$K$2:$K$825)), ROW(24:24))), "")</f>
        <v/>
      </c>
      <c r="M27" s="106" t="str">
        <f t="array" ref="M27">IFERROR(INDEX('Bank Schedule'!N:N, SMALL(IF('Bank Schedule'!$K$2:$K$825="Vacant", ROW('Bank Schedule'!$K$2:$K$825)), ROW(24:24))), "")</f>
        <v/>
      </c>
      <c r="N27" s="11" t="str">
        <f t="array" ref="N27">IFERROR(INDEX('Bank Schedule'!O:O, SMALL(IF('Bank Schedule'!$K$2:$K$825="Vacant", ROW('Bank Schedule'!$K$2:$K$825)), ROW(24:24))), "")</f>
        <v/>
      </c>
      <c r="O27" s="11" t="str">
        <f t="array" ref="O27">IFERROR(INDEX('Bank Schedule'!P:P, SMALL(IF('Bank Schedule'!$K$2:$K$825="Vacant", ROW('Bank Schedule'!$K$2:$K$825)), ROW(24:24))), "")</f>
        <v/>
      </c>
      <c r="P27" s="11" t="str">
        <f t="array" ref="P27">IFERROR(INDEX('Bank Schedule'!Q:Q, SMALL(IF('Bank Schedule'!$K$2:$K$825="Vacant", ROW('Bank Schedule'!$K$2:$K$825)), ROW(24:24))), "")</f>
        <v/>
      </c>
      <c r="Q27" s="11" t="str">
        <f t="array" ref="Q27">IFERROR(INDEX('Bank Schedule'!R:R, SMALL(IF('Bank Schedule'!$K$2:$K$825="Vacant", ROW('Bank Schedule'!$K$2:$K$825)), ROW(24:24))), "")</f>
        <v/>
      </c>
      <c r="R27" s="11" t="str">
        <f t="array" ref="R27">IFERROR(INDEX('Bank Schedule'!S:S, SMALL(IF('Bank Schedule'!$K$2:$K$825="Vacant", ROW('Bank Schedule'!$K$2:$K$825)), ROW(24:24))), "")</f>
        <v/>
      </c>
      <c r="S27" s="320" t="str">
        <f t="array" ref="S27">IFERROR(INDEX('Bank Schedule'!T:T, SMALL(IF('Bank Schedule'!$K$2:$K$825="Vacant", ROW('Bank Schedule'!$K$2:$K$825)), ROW(24:24))), "")</f>
        <v/>
      </c>
      <c r="T27" s="320" t="str">
        <f t="array" ref="T27">IFERROR(INDEX('Bank Schedule'!U:U, SMALL(IF('Bank Schedule'!$K$2:$K$825="Vacant", ROW('Bank Schedule'!$K$2:$K$825)), ROW(24:24))), "")</f>
        <v/>
      </c>
      <c r="U27" s="320" t="str">
        <f t="array" ref="U27">IFERROR(INDEX('Bank Schedule'!V:V, SMALL(IF('Bank Schedule'!$K$2:$K$825="Vacant", ROW('Bank Schedule'!$K$2:$K$825)), ROW(24:24))), "")</f>
        <v/>
      </c>
      <c r="V27" s="320" t="str">
        <f t="array" ref="V27">IFERROR(INDEX('Bank Schedule'!W:W, SMALL(IF('Bank Schedule'!$K$2:$K$825="Vacant", ROW('Bank Schedule'!$K$2:$K$825)), ROW(24:24))), "")</f>
        <v/>
      </c>
      <c r="W27" s="319" t="str">
        <f t="array" ref="W27">IFERROR(INDEX('Bank Schedule'!X:X, SMALL(IF('Bank Schedule'!$K$2:$K$825="Vacant", ROW('Bank Schedule'!$K$2:$K$825)), ROW(24:24))), "")</f>
        <v/>
      </c>
      <c r="X27" s="11" t="str">
        <f t="array" ref="X27">IFERROR(INDEX('Bank Schedule'!Y:Y, SMALL(IF('Bank Schedule'!$K$2:$K$825="Vacant", ROW('Bank Schedule'!$K$2:$K$825)), ROW(24:24))), "")</f>
        <v/>
      </c>
      <c r="Y27" s="11" t="str">
        <f t="array" ref="Y27">IFERROR(INDEX('Bank Schedule'!Z:Z, SMALL(IF('Bank Schedule'!$K$2:$K$825="Vacant", ROW('Bank Schedule'!$K$2:$K$825)), ROW(24:24))), "")</f>
        <v/>
      </c>
      <c r="Z27" s="11" t="str">
        <f t="array" ref="Z27">IFERROR(INDEX('Bank Schedule'!AA:AA, SMALL(IF('Bank Schedule'!$K$2:$K$825="Vacant", ROW('Bank Schedule'!$K$2:$K$825)), ROW(24:24))), "")</f>
        <v/>
      </c>
      <c r="AA27" s="11" t="str">
        <f t="array" ref="AA27">IFERROR(INDEX('Bank Schedule'!AB:AB, SMALL(IF('Bank Schedule'!$K$2:$K$825="Vacant", ROW('Bank Schedule'!$K$2:$K$825)), ROW(24:24))), "")</f>
        <v/>
      </c>
      <c r="AB27" s="25" t="str">
        <f t="array" ref="AB27">IFERROR(INDEX('Bank Schedule'!AC:AC, SMALL(IF('Bank Schedule'!$K$2:$K$825="Vacant", ROW('Bank Schedule'!$K$2:$K$825)), ROW(24:24))), "")</f>
        <v/>
      </c>
      <c r="AC27" s="299" t="str">
        <f t="array" ref="AC27">IFERROR(INDEX('Bank Schedule'!AD:AD, SMALL(IF('Bank Schedule'!$K$2:$K$825="Vacant", ROW('Bank Schedule'!$K$2:$K$825)), ROW(24:24))), "")</f>
        <v/>
      </c>
      <c r="AD27" s="11" t="str">
        <f t="array" ref="AD27">IFERROR(INDEX('Bank Schedule'!AE:AE, SMALL(IF('Bank Schedule'!$K$2:$K$825="Vacant", ROW('Bank Schedule'!$K$2:$K$825)), ROW(24:24))), "")</f>
        <v/>
      </c>
      <c r="AE27" s="11" t="str">
        <f t="array" ref="AE27">IFERROR(INDEX('Bank Schedule'!AF:AF, SMALL(IF('Bank Schedule'!$K$2:$K$825="Vacant", ROW('Bank Schedule'!$K$2:$K$825)), ROW(24:24))), "")</f>
        <v/>
      </c>
      <c r="AF27" s="11" t="str">
        <f t="array" ref="AF27">IFERROR(INDEX('Bank Schedule'!AG:AG, SMALL(IF('Bank Schedule'!$K$2:$K$825="Vacant", ROW('Bank Schedule'!$K$2:$K$825)), ROW(24:24))), "")</f>
        <v/>
      </c>
      <c r="AG27" s="4"/>
    </row>
    <row r="28" spans="1:33" ht="28.5" hidden="1" customHeight="1">
      <c r="A28" s="2" t="str">
        <f t="array" ref="A28">IFERROR(INDEX('Bank Schedule'!A:A, SMALL(IF('Bank Schedule'!$K$2:$K$825="Vacant", ROW('Bank Schedule'!$K$2:$K$825)), ROW(25:25))), "")</f>
        <v/>
      </c>
      <c r="B28" s="11" t="str">
        <f t="array" ref="B28">IFERROR(INDEX('Bank Schedule'!B:B, SMALL(IF('Bank Schedule'!$K$2:$K$825="Vacant", ROW('Bank Schedule'!$K$2:$K$825)), ROW(25:25))), "")</f>
        <v/>
      </c>
      <c r="C28" s="11" t="str">
        <f t="array" ref="C28">IFERROR(INDEX('Bank Schedule'!C:C, SMALL(IF('Bank Schedule'!$K$2:$K$825="Vacant", ROW('Bank Schedule'!$K$2:$K$825)), ROW(25:25))), "")</f>
        <v/>
      </c>
      <c r="D28" s="11" t="str">
        <f t="array" ref="D28">IFERROR(INDEX('Bank Schedule'!D:D, SMALL(IF('Bank Schedule'!$K$2:$K$825="Vacant", ROW('Bank Schedule'!$K$2:$K$825)), ROW(25:25))), "")</f>
        <v/>
      </c>
      <c r="E28" s="25" t="str">
        <f t="array" ref="E28">IFERROR(INDEX('Bank Schedule'!E:E, SMALL(IF('Bank Schedule'!$K$2:$K$825="Vacant", ROW('Bank Schedule'!$K$2:$K$825)), ROW(25:25))), "")</f>
        <v/>
      </c>
      <c r="F28" s="25" t="str">
        <f t="array" ref="F28">IFERROR(INDEX('Bank Schedule'!F:F, SMALL(IF('Bank Schedule'!$K$2:$K$825="Vacant", ROW('Bank Schedule'!$K$2:$K$825)), ROW(25:25))), "")</f>
        <v/>
      </c>
      <c r="G28" s="25" t="str">
        <f t="array" ref="G28">IFERROR(INDEX('Bank Schedule'!G:G, SMALL(IF('Bank Schedule'!$K$2:$K$825="Vacant", ROW('Bank Schedule'!$K$2:$K$825)), ROW(25:25))), "")</f>
        <v/>
      </c>
      <c r="H28" s="55" t="str">
        <f t="array" ref="H28">IFERROR(INDEX('Bank Schedule'!H:H, SMALL(IF('Bank Schedule'!$K$2:$K$825="Vacant", ROW('Bank Schedule'!$K$2:$K$825)), ROW(25:25))), "")</f>
        <v/>
      </c>
      <c r="I28" s="55" t="str">
        <f t="array" ref="I28">IFERROR(INDEX('Bank Schedule'!I:I, SMALL(IF('Bank Schedule'!$K$2:$K$825="Vacant", ROW('Bank Schedule'!$K$2:$K$825)), ROW(25:25))), "")</f>
        <v/>
      </c>
      <c r="J28" s="11" t="str">
        <f t="array" ref="J28">IFERROR(INDEX('Bank Schedule'!K:K, SMALL(IF('Bank Schedule'!$K$2:$K$825="Vacant", ROW('Bank Schedule'!$K$2:$K$825)), ROW(25:25))), "")</f>
        <v/>
      </c>
      <c r="K28" s="11" t="str">
        <f t="array" ref="K28">IFERROR(INDEX('Bank Schedule'!L:L, SMALL(IF('Bank Schedule'!$K$2:$K$825="Vacant", ROW('Bank Schedule'!$K$2:$K$825)), ROW(25:25))), "")</f>
        <v/>
      </c>
      <c r="L28" s="11" t="str">
        <f t="array" ref="L28">IFERROR(INDEX('Bank Schedule'!M:M, SMALL(IF('Bank Schedule'!$K$2:$K$825="Vacant", ROW('Bank Schedule'!$K$2:$K$825)), ROW(25:25))), "")</f>
        <v/>
      </c>
      <c r="M28" s="106" t="str">
        <f t="array" ref="M28">IFERROR(INDEX('Bank Schedule'!N:N, SMALL(IF('Bank Schedule'!$K$2:$K$825="Vacant", ROW('Bank Schedule'!$K$2:$K$825)), ROW(25:25))), "")</f>
        <v/>
      </c>
      <c r="N28" s="11" t="str">
        <f t="array" ref="N28">IFERROR(INDEX('Bank Schedule'!O:O, SMALL(IF('Bank Schedule'!$K$2:$K$825="Vacant", ROW('Bank Schedule'!$K$2:$K$825)), ROW(25:25))), "")</f>
        <v/>
      </c>
      <c r="O28" s="11" t="str">
        <f t="array" ref="O28">IFERROR(INDEX('Bank Schedule'!P:P, SMALL(IF('Bank Schedule'!$K$2:$K$825="Vacant", ROW('Bank Schedule'!$K$2:$K$825)), ROW(25:25))), "")</f>
        <v/>
      </c>
      <c r="P28" s="11" t="str">
        <f t="array" ref="P28">IFERROR(INDEX('Bank Schedule'!Q:Q, SMALL(IF('Bank Schedule'!$K$2:$K$825="Vacant", ROW('Bank Schedule'!$K$2:$K$825)), ROW(25:25))), "")</f>
        <v/>
      </c>
      <c r="Q28" s="11" t="str">
        <f t="array" ref="Q28">IFERROR(INDEX('Bank Schedule'!R:R, SMALL(IF('Bank Schedule'!$K$2:$K$825="Vacant", ROW('Bank Schedule'!$K$2:$K$825)), ROW(25:25))), "")</f>
        <v/>
      </c>
      <c r="R28" s="11" t="str">
        <f t="array" ref="R28">IFERROR(INDEX('Bank Schedule'!S:S, SMALL(IF('Bank Schedule'!$K$2:$K$825="Vacant", ROW('Bank Schedule'!$K$2:$K$825)), ROW(25:25))), "")</f>
        <v/>
      </c>
      <c r="S28" s="320" t="str">
        <f t="array" ref="S28">IFERROR(INDEX('Bank Schedule'!T:T, SMALL(IF('Bank Schedule'!$K$2:$K$825="Vacant", ROW('Bank Schedule'!$K$2:$K$825)), ROW(25:25))), "")</f>
        <v/>
      </c>
      <c r="T28" s="320" t="str">
        <f t="array" ref="T28">IFERROR(INDEX('Bank Schedule'!U:U, SMALL(IF('Bank Schedule'!$K$2:$K$825="Vacant", ROW('Bank Schedule'!$K$2:$K$825)), ROW(25:25))), "")</f>
        <v/>
      </c>
      <c r="U28" s="320" t="str">
        <f t="array" ref="U28">IFERROR(INDEX('Bank Schedule'!V:V, SMALL(IF('Bank Schedule'!$K$2:$K$825="Vacant", ROW('Bank Schedule'!$K$2:$K$825)), ROW(25:25))), "")</f>
        <v/>
      </c>
      <c r="V28" s="320" t="str">
        <f t="array" ref="V28">IFERROR(INDEX('Bank Schedule'!W:W, SMALL(IF('Bank Schedule'!$K$2:$K$825="Vacant", ROW('Bank Schedule'!$K$2:$K$825)), ROW(25:25))), "")</f>
        <v/>
      </c>
      <c r="W28" s="319" t="str">
        <f t="array" ref="W28">IFERROR(INDEX('Bank Schedule'!X:X, SMALL(IF('Bank Schedule'!$K$2:$K$825="Vacant", ROW('Bank Schedule'!$K$2:$K$825)), ROW(25:25))), "")</f>
        <v/>
      </c>
      <c r="X28" s="11" t="str">
        <f t="array" ref="X28">IFERROR(INDEX('Bank Schedule'!Y:Y, SMALL(IF('Bank Schedule'!$K$2:$K$825="Vacant", ROW('Bank Schedule'!$K$2:$K$825)), ROW(25:25))), "")</f>
        <v/>
      </c>
      <c r="Y28" s="11" t="str">
        <f t="array" ref="Y28">IFERROR(INDEX('Bank Schedule'!Z:Z, SMALL(IF('Bank Schedule'!$K$2:$K$825="Vacant", ROW('Bank Schedule'!$K$2:$K$825)), ROW(25:25))), "")</f>
        <v/>
      </c>
      <c r="Z28" s="11" t="str">
        <f t="array" ref="Z28">IFERROR(INDEX('Bank Schedule'!AA:AA, SMALL(IF('Bank Schedule'!$K$2:$K$825="Vacant", ROW('Bank Schedule'!$K$2:$K$825)), ROW(25:25))), "")</f>
        <v/>
      </c>
      <c r="AA28" s="11" t="str">
        <f t="array" ref="AA28">IFERROR(INDEX('Bank Schedule'!AB:AB, SMALL(IF('Bank Schedule'!$K$2:$K$825="Vacant", ROW('Bank Schedule'!$K$2:$K$825)), ROW(25:25))), "")</f>
        <v/>
      </c>
      <c r="AB28" s="25" t="str">
        <f t="array" ref="AB28">IFERROR(INDEX('Bank Schedule'!AC:AC, SMALL(IF('Bank Schedule'!$K$2:$K$825="Vacant", ROW('Bank Schedule'!$K$2:$K$825)), ROW(25:25))), "")</f>
        <v/>
      </c>
      <c r="AC28" s="299" t="str">
        <f t="array" ref="AC28">IFERROR(INDEX('Bank Schedule'!AD:AD, SMALL(IF('Bank Schedule'!$K$2:$K$825="Vacant", ROW('Bank Schedule'!$K$2:$K$825)), ROW(25:25))), "")</f>
        <v/>
      </c>
      <c r="AD28" s="11" t="str">
        <f t="array" ref="AD28">IFERROR(INDEX('Bank Schedule'!AE:AE, SMALL(IF('Bank Schedule'!$K$2:$K$825="Vacant", ROW('Bank Schedule'!$K$2:$K$825)), ROW(25:25))), "")</f>
        <v/>
      </c>
      <c r="AE28" s="11" t="str">
        <f t="array" ref="AE28">IFERROR(INDEX('Bank Schedule'!AF:AF, SMALL(IF('Bank Schedule'!$K$2:$K$825="Vacant", ROW('Bank Schedule'!$K$2:$K$825)), ROW(25:25))), "")</f>
        <v/>
      </c>
      <c r="AF28" s="11" t="str">
        <f t="array" ref="AF28">IFERROR(INDEX('Bank Schedule'!AG:AG, SMALL(IF('Bank Schedule'!$K$2:$K$825="Vacant", ROW('Bank Schedule'!$K$2:$K$825)), ROW(25:25))), "")</f>
        <v/>
      </c>
      <c r="AG28" s="4"/>
    </row>
    <row r="29" spans="1:33" ht="28.5" hidden="1" customHeight="1">
      <c r="A29" s="2" t="str">
        <f t="array" ref="A29">IFERROR(INDEX('Bank Schedule'!A:A, SMALL(IF('Bank Schedule'!$K$2:$K$825="Vacant", ROW('Bank Schedule'!$K$2:$K$825)), ROW(26:26))), "")</f>
        <v/>
      </c>
      <c r="B29" s="11" t="str">
        <f t="array" ref="B29">IFERROR(INDEX('Bank Schedule'!B:B, SMALL(IF('Bank Schedule'!$K$2:$K$825="Vacant", ROW('Bank Schedule'!$K$2:$K$825)), ROW(26:26))), "")</f>
        <v/>
      </c>
      <c r="C29" s="11" t="str">
        <f t="array" ref="C29">IFERROR(INDEX('Bank Schedule'!C:C, SMALL(IF('Bank Schedule'!$K$2:$K$825="Vacant", ROW('Bank Schedule'!$K$2:$K$825)), ROW(26:26))), "")</f>
        <v/>
      </c>
      <c r="D29" s="11" t="str">
        <f t="array" ref="D29">IFERROR(INDEX('Bank Schedule'!D:D, SMALL(IF('Bank Schedule'!$K$2:$K$825="Vacant", ROW('Bank Schedule'!$K$2:$K$825)), ROW(26:26))), "")</f>
        <v/>
      </c>
      <c r="E29" s="25" t="str">
        <f t="array" ref="E29">IFERROR(INDEX('Bank Schedule'!E:E, SMALL(IF('Bank Schedule'!$K$2:$K$825="Vacant", ROW('Bank Schedule'!$K$2:$K$825)), ROW(26:26))), "")</f>
        <v/>
      </c>
      <c r="F29" s="25" t="str">
        <f t="array" ref="F29">IFERROR(INDEX('Bank Schedule'!F:F, SMALL(IF('Bank Schedule'!$K$2:$K$825="Vacant", ROW('Bank Schedule'!$K$2:$K$825)), ROW(26:26))), "")</f>
        <v/>
      </c>
      <c r="G29" s="25" t="str">
        <f t="array" ref="G29">IFERROR(INDEX('Bank Schedule'!G:G, SMALL(IF('Bank Schedule'!$K$2:$K$825="Vacant", ROW('Bank Schedule'!$K$2:$K$825)), ROW(26:26))), "")</f>
        <v/>
      </c>
      <c r="H29" s="55" t="str">
        <f t="array" ref="H29">IFERROR(INDEX('Bank Schedule'!H:H, SMALL(IF('Bank Schedule'!$K$2:$K$825="Vacant", ROW('Bank Schedule'!$K$2:$K$825)), ROW(26:26))), "")</f>
        <v/>
      </c>
      <c r="I29" s="55" t="str">
        <f t="array" ref="I29">IFERROR(INDEX('Bank Schedule'!I:I, SMALL(IF('Bank Schedule'!$K$2:$K$825="Vacant", ROW('Bank Schedule'!$K$2:$K$825)), ROW(26:26))), "")</f>
        <v/>
      </c>
      <c r="J29" s="11" t="str">
        <f t="array" ref="J29">IFERROR(INDEX('Bank Schedule'!K:K, SMALL(IF('Bank Schedule'!$K$2:$K$825="Vacant", ROW('Bank Schedule'!$K$2:$K$825)), ROW(26:26))), "")</f>
        <v/>
      </c>
      <c r="K29" s="11" t="str">
        <f t="array" ref="K29">IFERROR(INDEX('Bank Schedule'!L:L, SMALL(IF('Bank Schedule'!$K$2:$K$825="Vacant", ROW('Bank Schedule'!$K$2:$K$825)), ROW(26:26))), "")</f>
        <v/>
      </c>
      <c r="L29" s="11" t="str">
        <f t="array" ref="L29">IFERROR(INDEX('Bank Schedule'!M:M, SMALL(IF('Bank Schedule'!$K$2:$K$825="Vacant", ROW('Bank Schedule'!$K$2:$K$825)), ROW(26:26))), "")</f>
        <v/>
      </c>
      <c r="M29" s="106" t="str">
        <f t="array" ref="M29">IFERROR(INDEX('Bank Schedule'!N:N, SMALL(IF('Bank Schedule'!$K$2:$K$825="Vacant", ROW('Bank Schedule'!$K$2:$K$825)), ROW(26:26))), "")</f>
        <v/>
      </c>
      <c r="N29" s="11" t="str">
        <f t="array" ref="N29">IFERROR(INDEX('Bank Schedule'!O:O, SMALL(IF('Bank Schedule'!$K$2:$K$825="Vacant", ROW('Bank Schedule'!$K$2:$K$825)), ROW(26:26))), "")</f>
        <v/>
      </c>
      <c r="O29" s="11" t="str">
        <f t="array" ref="O29">IFERROR(INDEX('Bank Schedule'!P:P, SMALL(IF('Bank Schedule'!$K$2:$K$825="Vacant", ROW('Bank Schedule'!$K$2:$K$825)), ROW(26:26))), "")</f>
        <v/>
      </c>
      <c r="P29" s="11" t="str">
        <f t="array" ref="P29">IFERROR(INDEX('Bank Schedule'!Q:Q, SMALL(IF('Bank Schedule'!$K$2:$K$825="Vacant", ROW('Bank Schedule'!$K$2:$K$825)), ROW(26:26))), "")</f>
        <v/>
      </c>
      <c r="Q29" s="11" t="str">
        <f t="array" ref="Q29">IFERROR(INDEX('Bank Schedule'!R:R, SMALL(IF('Bank Schedule'!$K$2:$K$825="Vacant", ROW('Bank Schedule'!$K$2:$K$825)), ROW(26:26))), "")</f>
        <v/>
      </c>
      <c r="R29" s="11" t="str">
        <f t="array" ref="R29">IFERROR(INDEX('Bank Schedule'!S:S, SMALL(IF('Bank Schedule'!$K$2:$K$825="Vacant", ROW('Bank Schedule'!$K$2:$K$825)), ROW(26:26))), "")</f>
        <v/>
      </c>
      <c r="S29" s="320" t="str">
        <f t="array" ref="S29">IFERROR(INDEX('Bank Schedule'!T:T, SMALL(IF('Bank Schedule'!$K$2:$K$825="Vacant", ROW('Bank Schedule'!$K$2:$K$825)), ROW(26:26))), "")</f>
        <v/>
      </c>
      <c r="T29" s="320" t="str">
        <f t="array" ref="T29">IFERROR(INDEX('Bank Schedule'!U:U, SMALL(IF('Bank Schedule'!$K$2:$K$825="Vacant", ROW('Bank Schedule'!$K$2:$K$825)), ROW(26:26))), "")</f>
        <v/>
      </c>
      <c r="U29" s="320" t="str">
        <f t="array" ref="U29">IFERROR(INDEX('Bank Schedule'!V:V, SMALL(IF('Bank Schedule'!$K$2:$K$825="Vacant", ROW('Bank Schedule'!$K$2:$K$825)), ROW(26:26))), "")</f>
        <v/>
      </c>
      <c r="V29" s="320" t="str">
        <f t="array" ref="V29">IFERROR(INDEX('Bank Schedule'!W:W, SMALL(IF('Bank Schedule'!$K$2:$K$825="Vacant", ROW('Bank Schedule'!$K$2:$K$825)), ROW(26:26))), "")</f>
        <v/>
      </c>
      <c r="W29" s="319" t="str">
        <f t="array" ref="W29">IFERROR(INDEX('Bank Schedule'!X:X, SMALL(IF('Bank Schedule'!$K$2:$K$825="Vacant", ROW('Bank Schedule'!$K$2:$K$825)), ROW(26:26))), "")</f>
        <v/>
      </c>
      <c r="X29" s="11" t="str">
        <f t="array" ref="X29">IFERROR(INDEX('Bank Schedule'!Y:Y, SMALL(IF('Bank Schedule'!$K$2:$K$825="Vacant", ROW('Bank Schedule'!$K$2:$K$825)), ROW(26:26))), "")</f>
        <v/>
      </c>
      <c r="Y29" s="11" t="str">
        <f t="array" ref="Y29">IFERROR(INDEX('Bank Schedule'!Z:Z, SMALL(IF('Bank Schedule'!$K$2:$K$825="Vacant", ROW('Bank Schedule'!$K$2:$K$825)), ROW(26:26))), "")</f>
        <v/>
      </c>
      <c r="Z29" s="11" t="str">
        <f t="array" ref="Z29">IFERROR(INDEX('Bank Schedule'!AA:AA, SMALL(IF('Bank Schedule'!$K$2:$K$825="Vacant", ROW('Bank Schedule'!$K$2:$K$825)), ROW(26:26))), "")</f>
        <v/>
      </c>
      <c r="AA29" s="11" t="str">
        <f t="array" ref="AA29">IFERROR(INDEX('Bank Schedule'!AB:AB, SMALL(IF('Bank Schedule'!$K$2:$K$825="Vacant", ROW('Bank Schedule'!$K$2:$K$825)), ROW(26:26))), "")</f>
        <v/>
      </c>
      <c r="AB29" s="25" t="str">
        <f t="array" ref="AB29">IFERROR(INDEX('Bank Schedule'!AC:AC, SMALL(IF('Bank Schedule'!$K$2:$K$825="Vacant", ROW('Bank Schedule'!$K$2:$K$825)), ROW(26:26))), "")</f>
        <v/>
      </c>
      <c r="AC29" s="299" t="str">
        <f t="array" ref="AC29">IFERROR(INDEX('Bank Schedule'!AD:AD, SMALL(IF('Bank Schedule'!$K$2:$K$825="Vacant", ROW('Bank Schedule'!$K$2:$K$825)), ROW(26:26))), "")</f>
        <v/>
      </c>
      <c r="AD29" s="11" t="str">
        <f t="array" ref="AD29">IFERROR(INDEX('Bank Schedule'!AE:AE, SMALL(IF('Bank Schedule'!$K$2:$K$825="Vacant", ROW('Bank Schedule'!$K$2:$K$825)), ROW(26:26))), "")</f>
        <v/>
      </c>
      <c r="AE29" s="11" t="str">
        <f t="array" ref="AE29">IFERROR(INDEX('Bank Schedule'!AF:AF, SMALL(IF('Bank Schedule'!$K$2:$K$825="Vacant", ROW('Bank Schedule'!$K$2:$K$825)), ROW(26:26))), "")</f>
        <v/>
      </c>
      <c r="AF29" s="11" t="str">
        <f t="array" ref="AF29">IFERROR(INDEX('Bank Schedule'!AG:AG, SMALL(IF('Bank Schedule'!$K$2:$K$825="Vacant", ROW('Bank Schedule'!$K$2:$K$825)), ROW(26:26))), "")</f>
        <v/>
      </c>
      <c r="AG29" s="4"/>
    </row>
    <row r="30" spans="1:33" ht="28.5" hidden="1" customHeight="1">
      <c r="A30" s="2" t="str">
        <f t="array" ref="A30">IFERROR(INDEX('Bank Schedule'!A:A, SMALL(IF('Bank Schedule'!$K$2:$K$825="Vacant", ROW('Bank Schedule'!$K$2:$K$825)), ROW(27:27))), "")</f>
        <v/>
      </c>
      <c r="B30" s="11" t="str">
        <f t="array" ref="B30">IFERROR(INDEX('Bank Schedule'!B:B, SMALL(IF('Bank Schedule'!$K$2:$K$825="Vacant", ROW('Bank Schedule'!$K$2:$K$825)), ROW(27:27))), "")</f>
        <v/>
      </c>
      <c r="C30" s="11" t="str">
        <f t="array" ref="C30">IFERROR(INDEX('Bank Schedule'!C:C, SMALL(IF('Bank Schedule'!$K$2:$K$825="Vacant", ROW('Bank Schedule'!$K$2:$K$825)), ROW(27:27))), "")</f>
        <v/>
      </c>
      <c r="D30" s="11" t="str">
        <f t="array" ref="D30">IFERROR(INDEX('Bank Schedule'!D:D, SMALL(IF('Bank Schedule'!$K$2:$K$825="Vacant", ROW('Bank Schedule'!$K$2:$K$825)), ROW(27:27))), "")</f>
        <v/>
      </c>
      <c r="E30" s="25" t="str">
        <f t="array" ref="E30">IFERROR(INDEX('Bank Schedule'!E:E, SMALL(IF('Bank Schedule'!$K$2:$K$825="Vacant", ROW('Bank Schedule'!$K$2:$K$825)), ROW(27:27))), "")</f>
        <v/>
      </c>
      <c r="F30" s="25" t="str">
        <f t="array" ref="F30">IFERROR(INDEX('Bank Schedule'!F:F, SMALL(IF('Bank Schedule'!$K$2:$K$825="Vacant", ROW('Bank Schedule'!$K$2:$K$825)), ROW(27:27))), "")</f>
        <v/>
      </c>
      <c r="G30" s="25" t="str">
        <f t="array" ref="G30">IFERROR(INDEX('Bank Schedule'!G:G, SMALL(IF('Bank Schedule'!$K$2:$K$825="Vacant", ROW('Bank Schedule'!$K$2:$K$825)), ROW(27:27))), "")</f>
        <v/>
      </c>
      <c r="H30" s="55" t="str">
        <f t="array" ref="H30">IFERROR(INDEX('Bank Schedule'!H:H, SMALL(IF('Bank Schedule'!$K$2:$K$825="Vacant", ROW('Bank Schedule'!$K$2:$K$825)), ROW(27:27))), "")</f>
        <v/>
      </c>
      <c r="I30" s="55" t="str">
        <f t="array" ref="I30">IFERROR(INDEX('Bank Schedule'!I:I, SMALL(IF('Bank Schedule'!$K$2:$K$825="Vacant", ROW('Bank Schedule'!$K$2:$K$825)), ROW(27:27))), "")</f>
        <v/>
      </c>
      <c r="J30" s="11" t="str">
        <f t="array" ref="J30">IFERROR(INDEX('Bank Schedule'!K:K, SMALL(IF('Bank Schedule'!$K$2:$K$825="Vacant", ROW('Bank Schedule'!$K$2:$K$825)), ROW(27:27))), "")</f>
        <v/>
      </c>
      <c r="K30" s="11" t="str">
        <f t="array" ref="K30">IFERROR(INDEX('Bank Schedule'!L:L, SMALL(IF('Bank Schedule'!$K$2:$K$825="Vacant", ROW('Bank Schedule'!$K$2:$K$825)), ROW(27:27))), "")</f>
        <v/>
      </c>
      <c r="L30" s="11" t="str">
        <f t="array" ref="L30">IFERROR(INDEX('Bank Schedule'!M:M, SMALL(IF('Bank Schedule'!$K$2:$K$825="Vacant", ROW('Bank Schedule'!$K$2:$K$825)), ROW(27:27))), "")</f>
        <v/>
      </c>
      <c r="M30" s="106" t="str">
        <f t="array" ref="M30">IFERROR(INDEX('Bank Schedule'!N:N, SMALL(IF('Bank Schedule'!$K$2:$K$825="Vacant", ROW('Bank Schedule'!$K$2:$K$825)), ROW(27:27))), "")</f>
        <v/>
      </c>
      <c r="N30" s="11" t="str">
        <f t="array" ref="N30">IFERROR(INDEX('Bank Schedule'!O:O, SMALL(IF('Bank Schedule'!$K$2:$K$825="Vacant", ROW('Bank Schedule'!$K$2:$K$825)), ROW(27:27))), "")</f>
        <v/>
      </c>
      <c r="O30" s="11" t="str">
        <f t="array" ref="O30">IFERROR(INDEX('Bank Schedule'!P:P, SMALL(IF('Bank Schedule'!$K$2:$K$825="Vacant", ROW('Bank Schedule'!$K$2:$K$825)), ROW(27:27))), "")</f>
        <v/>
      </c>
      <c r="P30" s="11" t="str">
        <f t="array" ref="P30">IFERROR(INDEX('Bank Schedule'!Q:Q, SMALL(IF('Bank Schedule'!$K$2:$K$825="Vacant", ROW('Bank Schedule'!$K$2:$K$825)), ROW(27:27))), "")</f>
        <v/>
      </c>
      <c r="Q30" s="11" t="str">
        <f t="array" ref="Q30">IFERROR(INDEX('Bank Schedule'!R:R, SMALL(IF('Bank Schedule'!$K$2:$K$825="Vacant", ROW('Bank Schedule'!$K$2:$K$825)), ROW(27:27))), "")</f>
        <v/>
      </c>
      <c r="R30" s="11" t="str">
        <f t="array" ref="R30">IFERROR(INDEX('Bank Schedule'!S:S, SMALL(IF('Bank Schedule'!$K$2:$K$825="Vacant", ROW('Bank Schedule'!$K$2:$K$825)), ROW(27:27))), "")</f>
        <v/>
      </c>
      <c r="S30" s="320" t="str">
        <f t="array" ref="S30">IFERROR(INDEX('Bank Schedule'!T:T, SMALL(IF('Bank Schedule'!$K$2:$K$825="Vacant", ROW('Bank Schedule'!$K$2:$K$825)), ROW(27:27))), "")</f>
        <v/>
      </c>
      <c r="T30" s="320" t="str">
        <f t="array" ref="T30">IFERROR(INDEX('Bank Schedule'!U:U, SMALL(IF('Bank Schedule'!$K$2:$K$825="Vacant", ROW('Bank Schedule'!$K$2:$K$825)), ROW(27:27))), "")</f>
        <v/>
      </c>
      <c r="U30" s="320" t="str">
        <f t="array" ref="U30">IFERROR(INDEX('Bank Schedule'!V:V, SMALL(IF('Bank Schedule'!$K$2:$K$825="Vacant", ROW('Bank Schedule'!$K$2:$K$825)), ROW(27:27))), "")</f>
        <v/>
      </c>
      <c r="V30" s="320" t="str">
        <f t="array" ref="V30">IFERROR(INDEX('Bank Schedule'!W:W, SMALL(IF('Bank Schedule'!$K$2:$K$825="Vacant", ROW('Bank Schedule'!$K$2:$K$825)), ROW(27:27))), "")</f>
        <v/>
      </c>
      <c r="W30" s="319" t="str">
        <f t="array" ref="W30">IFERROR(INDEX('Bank Schedule'!X:X, SMALL(IF('Bank Schedule'!$K$2:$K$825="Vacant", ROW('Bank Schedule'!$K$2:$K$825)), ROW(27:27))), "")</f>
        <v/>
      </c>
      <c r="X30" s="11" t="str">
        <f t="array" ref="X30">IFERROR(INDEX('Bank Schedule'!Y:Y, SMALL(IF('Bank Schedule'!$K$2:$K$825="Vacant", ROW('Bank Schedule'!$K$2:$K$825)), ROW(27:27))), "")</f>
        <v/>
      </c>
      <c r="Y30" s="11" t="str">
        <f t="array" ref="Y30">IFERROR(INDEX('Bank Schedule'!Z:Z, SMALL(IF('Bank Schedule'!$K$2:$K$825="Vacant", ROW('Bank Schedule'!$K$2:$K$825)), ROW(27:27))), "")</f>
        <v/>
      </c>
      <c r="Z30" s="11" t="str">
        <f t="array" ref="Z30">IFERROR(INDEX('Bank Schedule'!AA:AA, SMALL(IF('Bank Schedule'!$K$2:$K$825="Vacant", ROW('Bank Schedule'!$K$2:$K$825)), ROW(27:27))), "")</f>
        <v/>
      </c>
      <c r="AA30" s="11" t="str">
        <f t="array" ref="AA30">IFERROR(INDEX('Bank Schedule'!AB:AB, SMALL(IF('Bank Schedule'!$K$2:$K$825="Vacant", ROW('Bank Schedule'!$K$2:$K$825)), ROW(27:27))), "")</f>
        <v/>
      </c>
      <c r="AB30" s="25" t="str">
        <f t="array" ref="AB30">IFERROR(INDEX('Bank Schedule'!AC:AC, SMALL(IF('Bank Schedule'!$K$2:$K$825="Vacant", ROW('Bank Schedule'!$K$2:$K$825)), ROW(27:27))), "")</f>
        <v/>
      </c>
      <c r="AC30" s="299" t="str">
        <f t="array" ref="AC30">IFERROR(INDEX('Bank Schedule'!AD:AD, SMALL(IF('Bank Schedule'!$K$2:$K$825="Vacant", ROW('Bank Schedule'!$K$2:$K$825)), ROW(27:27))), "")</f>
        <v/>
      </c>
      <c r="AD30" s="11" t="str">
        <f t="array" ref="AD30">IFERROR(INDEX('Bank Schedule'!AE:AE, SMALL(IF('Bank Schedule'!$K$2:$K$825="Vacant", ROW('Bank Schedule'!$K$2:$K$825)), ROW(27:27))), "")</f>
        <v/>
      </c>
      <c r="AE30" s="11" t="str">
        <f t="array" ref="AE30">IFERROR(INDEX('Bank Schedule'!AF:AF, SMALL(IF('Bank Schedule'!$K$2:$K$825="Vacant", ROW('Bank Schedule'!$K$2:$K$825)), ROW(27:27))), "")</f>
        <v/>
      </c>
      <c r="AF30" s="11" t="str">
        <f t="array" ref="AF30">IFERROR(INDEX('Bank Schedule'!AG:AG, SMALL(IF('Bank Schedule'!$K$2:$K$825="Vacant", ROW('Bank Schedule'!$K$2:$K$825)), ROW(27:27))), "")</f>
        <v/>
      </c>
      <c r="AG30" s="4"/>
    </row>
    <row r="31" spans="1:33" ht="28.5" hidden="1" customHeight="1">
      <c r="A31" s="2" t="str">
        <f t="array" ref="A31">IFERROR(INDEX('Bank Schedule'!A:A, SMALL(IF('Bank Schedule'!$K$2:$K$825="Vacant", ROW('Bank Schedule'!$K$2:$K$825)), ROW(28:28))), "")</f>
        <v/>
      </c>
      <c r="B31" s="11" t="str">
        <f t="array" ref="B31">IFERROR(INDEX('Bank Schedule'!B:B, SMALL(IF('Bank Schedule'!$K$2:$K$825="Vacant", ROW('Bank Schedule'!$K$2:$K$825)), ROW(28:28))), "")</f>
        <v/>
      </c>
      <c r="C31" s="11" t="str">
        <f t="array" ref="C31">IFERROR(INDEX('Bank Schedule'!C:C, SMALL(IF('Bank Schedule'!$K$2:$K$825="Vacant", ROW('Bank Schedule'!$K$2:$K$825)), ROW(28:28))), "")</f>
        <v/>
      </c>
      <c r="D31" s="11" t="str">
        <f t="array" ref="D31">IFERROR(INDEX('Bank Schedule'!D:D, SMALL(IF('Bank Schedule'!$K$2:$K$825="Vacant", ROW('Bank Schedule'!$K$2:$K$825)), ROW(28:28))), "")</f>
        <v/>
      </c>
      <c r="E31" s="25" t="str">
        <f t="array" ref="E31">IFERROR(INDEX('Bank Schedule'!E:E, SMALL(IF('Bank Schedule'!$K$2:$K$825="Vacant", ROW('Bank Schedule'!$K$2:$K$825)), ROW(28:28))), "")</f>
        <v/>
      </c>
      <c r="F31" s="25" t="str">
        <f t="array" ref="F31">IFERROR(INDEX('Bank Schedule'!F:F, SMALL(IF('Bank Schedule'!$K$2:$K$825="Vacant", ROW('Bank Schedule'!$K$2:$K$825)), ROW(28:28))), "")</f>
        <v/>
      </c>
      <c r="G31" s="25" t="str">
        <f t="array" ref="G31">IFERROR(INDEX('Bank Schedule'!G:G, SMALL(IF('Bank Schedule'!$K$2:$K$825="Vacant", ROW('Bank Schedule'!$K$2:$K$825)), ROW(28:28))), "")</f>
        <v/>
      </c>
      <c r="H31" s="55" t="str">
        <f t="array" ref="H31">IFERROR(INDEX('Bank Schedule'!H:H, SMALL(IF('Bank Schedule'!$K$2:$K$825="Vacant", ROW('Bank Schedule'!$K$2:$K$825)), ROW(28:28))), "")</f>
        <v/>
      </c>
      <c r="I31" s="55" t="str">
        <f t="array" ref="I31">IFERROR(INDEX('Bank Schedule'!I:I, SMALL(IF('Bank Schedule'!$K$2:$K$825="Vacant", ROW('Bank Schedule'!$K$2:$K$825)), ROW(28:28))), "")</f>
        <v/>
      </c>
      <c r="J31" s="11" t="str">
        <f t="array" ref="J31">IFERROR(INDEX('Bank Schedule'!K:K, SMALL(IF('Bank Schedule'!$K$2:$K$825="Vacant", ROW('Bank Schedule'!$K$2:$K$825)), ROW(28:28))), "")</f>
        <v/>
      </c>
      <c r="K31" s="11" t="str">
        <f t="array" ref="K31">IFERROR(INDEX('Bank Schedule'!L:L, SMALL(IF('Bank Schedule'!$K$2:$K$825="Vacant", ROW('Bank Schedule'!$K$2:$K$825)), ROW(28:28))), "")</f>
        <v/>
      </c>
      <c r="L31" s="11" t="str">
        <f t="array" ref="L31">IFERROR(INDEX('Bank Schedule'!M:M, SMALL(IF('Bank Schedule'!$K$2:$K$825="Vacant", ROW('Bank Schedule'!$K$2:$K$825)), ROW(28:28))), "")</f>
        <v/>
      </c>
      <c r="M31" s="106" t="str">
        <f t="array" ref="M31">IFERROR(INDEX('Bank Schedule'!N:N, SMALL(IF('Bank Schedule'!$K$2:$K$825="Vacant", ROW('Bank Schedule'!$K$2:$K$825)), ROW(28:28))), "")</f>
        <v/>
      </c>
      <c r="N31" s="11" t="str">
        <f t="array" ref="N31">IFERROR(INDEX('Bank Schedule'!O:O, SMALL(IF('Bank Schedule'!$K$2:$K$825="Vacant", ROW('Bank Schedule'!$K$2:$K$825)), ROW(28:28))), "")</f>
        <v/>
      </c>
      <c r="O31" s="11" t="str">
        <f t="array" ref="O31">IFERROR(INDEX('Bank Schedule'!P:P, SMALL(IF('Bank Schedule'!$K$2:$K$825="Vacant", ROW('Bank Schedule'!$K$2:$K$825)), ROW(28:28))), "")</f>
        <v/>
      </c>
      <c r="P31" s="11" t="str">
        <f t="array" ref="P31">IFERROR(INDEX('Bank Schedule'!Q:Q, SMALL(IF('Bank Schedule'!$K$2:$K$825="Vacant", ROW('Bank Schedule'!$K$2:$K$825)), ROW(28:28))), "")</f>
        <v/>
      </c>
      <c r="Q31" s="11" t="str">
        <f t="array" ref="Q31">IFERROR(INDEX('Bank Schedule'!R:R, SMALL(IF('Bank Schedule'!$K$2:$K$825="Vacant", ROW('Bank Schedule'!$K$2:$K$825)), ROW(28:28))), "")</f>
        <v/>
      </c>
      <c r="R31" s="11" t="str">
        <f t="array" ref="R31">IFERROR(INDEX('Bank Schedule'!S:S, SMALL(IF('Bank Schedule'!$K$2:$K$825="Vacant", ROW('Bank Schedule'!$K$2:$K$825)), ROW(28:28))), "")</f>
        <v/>
      </c>
      <c r="S31" s="320" t="str">
        <f t="array" ref="S31">IFERROR(INDEX('Bank Schedule'!T:T, SMALL(IF('Bank Schedule'!$K$2:$K$825="Vacant", ROW('Bank Schedule'!$K$2:$K$825)), ROW(28:28))), "")</f>
        <v/>
      </c>
      <c r="T31" s="320" t="str">
        <f t="array" ref="T31">IFERROR(INDEX('Bank Schedule'!U:U, SMALL(IF('Bank Schedule'!$K$2:$K$825="Vacant", ROW('Bank Schedule'!$K$2:$K$825)), ROW(28:28))), "")</f>
        <v/>
      </c>
      <c r="U31" s="320" t="str">
        <f t="array" ref="U31">IFERROR(INDEX('Bank Schedule'!V:V, SMALL(IF('Bank Schedule'!$K$2:$K$825="Vacant", ROW('Bank Schedule'!$K$2:$K$825)), ROW(28:28))), "")</f>
        <v/>
      </c>
      <c r="V31" s="320" t="str">
        <f t="array" ref="V31">IFERROR(INDEX('Bank Schedule'!W:W, SMALL(IF('Bank Schedule'!$K$2:$K$825="Vacant", ROW('Bank Schedule'!$K$2:$K$825)), ROW(28:28))), "")</f>
        <v/>
      </c>
      <c r="W31" s="319" t="str">
        <f t="array" ref="W31">IFERROR(INDEX('Bank Schedule'!X:X, SMALL(IF('Bank Schedule'!$K$2:$K$825="Vacant", ROW('Bank Schedule'!$K$2:$K$825)), ROW(28:28))), "")</f>
        <v/>
      </c>
      <c r="X31" s="11" t="str">
        <f t="array" ref="X31">IFERROR(INDEX('Bank Schedule'!Y:Y, SMALL(IF('Bank Schedule'!$K$2:$K$825="Vacant", ROW('Bank Schedule'!$K$2:$K$825)), ROW(28:28))), "")</f>
        <v/>
      </c>
      <c r="Y31" s="11" t="str">
        <f t="array" ref="Y31">IFERROR(INDEX('Bank Schedule'!Z:Z, SMALL(IF('Bank Schedule'!$K$2:$K$825="Vacant", ROW('Bank Schedule'!$K$2:$K$825)), ROW(28:28))), "")</f>
        <v/>
      </c>
      <c r="Z31" s="11" t="str">
        <f t="array" ref="Z31">IFERROR(INDEX('Bank Schedule'!AA:AA, SMALL(IF('Bank Schedule'!$K$2:$K$825="Vacant", ROW('Bank Schedule'!$K$2:$K$825)), ROW(28:28))), "")</f>
        <v/>
      </c>
      <c r="AA31" s="11" t="str">
        <f t="array" ref="AA31">IFERROR(INDEX('Bank Schedule'!AB:AB, SMALL(IF('Bank Schedule'!$K$2:$K$825="Vacant", ROW('Bank Schedule'!$K$2:$K$825)), ROW(28:28))), "")</f>
        <v/>
      </c>
      <c r="AB31" s="25" t="str">
        <f t="array" ref="AB31">IFERROR(INDEX('Bank Schedule'!AC:AC, SMALL(IF('Bank Schedule'!$K$2:$K$825="Vacant", ROW('Bank Schedule'!$K$2:$K$825)), ROW(28:28))), "")</f>
        <v/>
      </c>
      <c r="AC31" s="299" t="str">
        <f t="array" ref="AC31">IFERROR(INDEX('Bank Schedule'!AD:AD, SMALL(IF('Bank Schedule'!$K$2:$K$825="Vacant", ROW('Bank Schedule'!$K$2:$K$825)), ROW(28:28))), "")</f>
        <v/>
      </c>
      <c r="AD31" s="11" t="str">
        <f t="array" ref="AD31">IFERROR(INDEX('Bank Schedule'!AE:AE, SMALL(IF('Bank Schedule'!$K$2:$K$825="Vacant", ROW('Bank Schedule'!$K$2:$K$825)), ROW(28:28))), "")</f>
        <v/>
      </c>
      <c r="AE31" s="11" t="str">
        <f t="array" ref="AE31">IFERROR(INDEX('Bank Schedule'!AF:AF, SMALL(IF('Bank Schedule'!$K$2:$K$825="Vacant", ROW('Bank Schedule'!$K$2:$K$825)), ROW(28:28))), "")</f>
        <v/>
      </c>
      <c r="AF31" s="11" t="str">
        <f t="array" ref="AF31">IFERROR(INDEX('Bank Schedule'!AG:AG, SMALL(IF('Bank Schedule'!$K$2:$K$825="Vacant", ROW('Bank Schedule'!$K$2:$K$825)), ROW(28:28))), "")</f>
        <v/>
      </c>
      <c r="AG31" s="4"/>
    </row>
    <row r="32" spans="1:33" ht="28.5" hidden="1" customHeight="1">
      <c r="A32" s="2" t="str">
        <f t="array" ref="A32">IFERROR(INDEX('Bank Schedule'!A:A, SMALL(IF('Bank Schedule'!$K$2:$K$825="Vacant", ROW('Bank Schedule'!$K$2:$K$825)), ROW(29:29))), "")</f>
        <v/>
      </c>
      <c r="B32" s="11" t="str">
        <f t="array" ref="B32">IFERROR(INDEX('Bank Schedule'!B:B, SMALL(IF('Bank Schedule'!$K$2:$K$825="Vacant", ROW('Bank Schedule'!$K$2:$K$825)), ROW(29:29))), "")</f>
        <v/>
      </c>
      <c r="C32" s="11" t="str">
        <f t="array" ref="C32">IFERROR(INDEX('Bank Schedule'!C:C, SMALL(IF('Bank Schedule'!$K$2:$K$825="Vacant", ROW('Bank Schedule'!$K$2:$K$825)), ROW(29:29))), "")</f>
        <v/>
      </c>
      <c r="D32" s="11" t="str">
        <f t="array" ref="D32">IFERROR(INDEX('Bank Schedule'!D:D, SMALL(IF('Bank Schedule'!$K$2:$K$825="Vacant", ROW('Bank Schedule'!$K$2:$K$825)), ROW(29:29))), "")</f>
        <v/>
      </c>
      <c r="E32" s="25" t="str">
        <f t="array" ref="E32">IFERROR(INDEX('Bank Schedule'!E:E, SMALL(IF('Bank Schedule'!$K$2:$K$825="Vacant", ROW('Bank Schedule'!$K$2:$K$825)), ROW(29:29))), "")</f>
        <v/>
      </c>
      <c r="F32" s="25" t="str">
        <f t="array" ref="F32">IFERROR(INDEX('Bank Schedule'!F:F, SMALL(IF('Bank Schedule'!$K$2:$K$825="Vacant", ROW('Bank Schedule'!$K$2:$K$825)), ROW(29:29))), "")</f>
        <v/>
      </c>
      <c r="G32" s="25" t="str">
        <f t="array" ref="G32">IFERROR(INDEX('Bank Schedule'!G:G, SMALL(IF('Bank Schedule'!$K$2:$K$825="Vacant", ROW('Bank Schedule'!$K$2:$K$825)), ROW(29:29))), "")</f>
        <v/>
      </c>
      <c r="H32" s="55" t="str">
        <f t="array" ref="H32">IFERROR(INDEX('Bank Schedule'!H:H, SMALL(IF('Bank Schedule'!$K$2:$K$825="Vacant", ROW('Bank Schedule'!$K$2:$K$825)), ROW(29:29))), "")</f>
        <v/>
      </c>
      <c r="I32" s="55" t="str">
        <f t="array" ref="I32">IFERROR(INDEX('Bank Schedule'!I:I, SMALL(IF('Bank Schedule'!$K$2:$K$825="Vacant", ROW('Bank Schedule'!$K$2:$K$825)), ROW(29:29))), "")</f>
        <v/>
      </c>
      <c r="J32" s="11" t="str">
        <f t="array" ref="J32">IFERROR(INDEX('Bank Schedule'!K:K, SMALL(IF('Bank Schedule'!$K$2:$K$825="Vacant", ROW('Bank Schedule'!$K$2:$K$825)), ROW(29:29))), "")</f>
        <v/>
      </c>
      <c r="K32" s="11" t="str">
        <f t="array" ref="K32">IFERROR(INDEX('Bank Schedule'!L:L, SMALL(IF('Bank Schedule'!$K$2:$K$825="Vacant", ROW('Bank Schedule'!$K$2:$K$825)), ROW(29:29))), "")</f>
        <v/>
      </c>
      <c r="L32" s="11" t="str">
        <f t="array" ref="L32">IFERROR(INDEX('Bank Schedule'!M:M, SMALL(IF('Bank Schedule'!$K$2:$K$825="Vacant", ROW('Bank Schedule'!$K$2:$K$825)), ROW(29:29))), "")</f>
        <v/>
      </c>
      <c r="M32" s="106" t="str">
        <f t="array" ref="M32">IFERROR(INDEX('Bank Schedule'!N:N, SMALL(IF('Bank Schedule'!$K$2:$K$825="Vacant", ROW('Bank Schedule'!$K$2:$K$825)), ROW(29:29))), "")</f>
        <v/>
      </c>
      <c r="N32" s="11" t="str">
        <f t="array" ref="N32">IFERROR(INDEX('Bank Schedule'!O:O, SMALL(IF('Bank Schedule'!$K$2:$K$825="Vacant", ROW('Bank Schedule'!$K$2:$K$825)), ROW(29:29))), "")</f>
        <v/>
      </c>
      <c r="O32" s="11" t="str">
        <f t="array" ref="O32">IFERROR(INDEX('Bank Schedule'!P:P, SMALL(IF('Bank Schedule'!$K$2:$K$825="Vacant", ROW('Bank Schedule'!$K$2:$K$825)), ROW(29:29))), "")</f>
        <v/>
      </c>
      <c r="P32" s="11" t="str">
        <f t="array" ref="P32">IFERROR(INDEX('Bank Schedule'!Q:Q, SMALL(IF('Bank Schedule'!$K$2:$K$825="Vacant", ROW('Bank Schedule'!$K$2:$K$825)), ROW(29:29))), "")</f>
        <v/>
      </c>
      <c r="Q32" s="11" t="str">
        <f t="array" ref="Q32">IFERROR(INDEX('Bank Schedule'!R:R, SMALL(IF('Bank Schedule'!$K$2:$K$825="Vacant", ROW('Bank Schedule'!$K$2:$K$825)), ROW(29:29))), "")</f>
        <v/>
      </c>
      <c r="R32" s="11" t="str">
        <f t="array" ref="R32">IFERROR(INDEX('Bank Schedule'!S:S, SMALL(IF('Bank Schedule'!$K$2:$K$825="Vacant", ROW('Bank Schedule'!$K$2:$K$825)), ROW(29:29))), "")</f>
        <v/>
      </c>
      <c r="S32" s="320" t="str">
        <f t="array" ref="S32">IFERROR(INDEX('Bank Schedule'!T:T, SMALL(IF('Bank Schedule'!$K$2:$K$825="Vacant", ROW('Bank Schedule'!$K$2:$K$825)), ROW(29:29))), "")</f>
        <v/>
      </c>
      <c r="T32" s="320" t="str">
        <f t="array" ref="T32">IFERROR(INDEX('Bank Schedule'!U:U, SMALL(IF('Bank Schedule'!$K$2:$K$825="Vacant", ROW('Bank Schedule'!$K$2:$K$825)), ROW(29:29))), "")</f>
        <v/>
      </c>
      <c r="U32" s="320" t="str">
        <f t="array" ref="U32">IFERROR(INDEX('Bank Schedule'!V:V, SMALL(IF('Bank Schedule'!$K$2:$K$825="Vacant", ROW('Bank Schedule'!$K$2:$K$825)), ROW(29:29))), "")</f>
        <v/>
      </c>
      <c r="V32" s="320" t="str">
        <f t="array" ref="V32">IFERROR(INDEX('Bank Schedule'!W:W, SMALL(IF('Bank Schedule'!$K$2:$K$825="Vacant", ROW('Bank Schedule'!$K$2:$K$825)), ROW(29:29))), "")</f>
        <v/>
      </c>
      <c r="W32" s="319" t="str">
        <f t="array" ref="W32">IFERROR(INDEX('Bank Schedule'!X:X, SMALL(IF('Bank Schedule'!$K$2:$K$825="Vacant", ROW('Bank Schedule'!$K$2:$K$825)), ROW(29:29))), "")</f>
        <v/>
      </c>
      <c r="X32" s="11" t="str">
        <f t="array" ref="X32">IFERROR(INDEX('Bank Schedule'!Y:Y, SMALL(IF('Bank Schedule'!$K$2:$K$825="Vacant", ROW('Bank Schedule'!$K$2:$K$825)), ROW(29:29))), "")</f>
        <v/>
      </c>
      <c r="Y32" s="11" t="str">
        <f t="array" ref="Y32">IFERROR(INDEX('Bank Schedule'!Z:Z, SMALL(IF('Bank Schedule'!$K$2:$K$825="Vacant", ROW('Bank Schedule'!$K$2:$K$825)), ROW(29:29))), "")</f>
        <v/>
      </c>
      <c r="Z32" s="11" t="str">
        <f t="array" ref="Z32">IFERROR(INDEX('Bank Schedule'!AA:AA, SMALL(IF('Bank Schedule'!$K$2:$K$825="Vacant", ROW('Bank Schedule'!$K$2:$K$825)), ROW(29:29))), "")</f>
        <v/>
      </c>
      <c r="AA32" s="11" t="str">
        <f t="array" ref="AA32">IFERROR(INDEX('Bank Schedule'!AB:AB, SMALL(IF('Bank Schedule'!$K$2:$K$825="Vacant", ROW('Bank Schedule'!$K$2:$K$825)), ROW(29:29))), "")</f>
        <v/>
      </c>
      <c r="AB32" s="25" t="str">
        <f t="array" ref="AB32">IFERROR(INDEX('Bank Schedule'!AC:AC, SMALL(IF('Bank Schedule'!$K$2:$K$825="Vacant", ROW('Bank Schedule'!$K$2:$K$825)), ROW(29:29))), "")</f>
        <v/>
      </c>
      <c r="AC32" s="299" t="str">
        <f t="array" ref="AC32">IFERROR(INDEX('Bank Schedule'!AD:AD, SMALL(IF('Bank Schedule'!$K$2:$K$825="Vacant", ROW('Bank Schedule'!$K$2:$K$825)), ROW(29:29))), "")</f>
        <v/>
      </c>
      <c r="AD32" s="11" t="str">
        <f t="array" ref="AD32">IFERROR(INDEX('Bank Schedule'!AE:AE, SMALL(IF('Bank Schedule'!$K$2:$K$825="Vacant", ROW('Bank Schedule'!$K$2:$K$825)), ROW(29:29))), "")</f>
        <v/>
      </c>
      <c r="AE32" s="11" t="str">
        <f t="array" ref="AE32">IFERROR(INDEX('Bank Schedule'!AF:AF, SMALL(IF('Bank Schedule'!$K$2:$K$825="Vacant", ROW('Bank Schedule'!$K$2:$K$825)), ROW(29:29))), "")</f>
        <v/>
      </c>
      <c r="AF32" s="11" t="str">
        <f t="array" ref="AF32">IFERROR(INDEX('Bank Schedule'!AG:AG, SMALL(IF('Bank Schedule'!$K$2:$K$825="Vacant", ROW('Bank Schedule'!$K$2:$K$825)), ROW(29:29))), "")</f>
        <v/>
      </c>
      <c r="AG32" s="4"/>
    </row>
    <row r="33" spans="1:33" ht="28.5" customHeight="1">
      <c r="A33" s="2" t="str">
        <f t="array" ref="A33">IFERROR(INDEX('Bank Schedule'!A:A, SMALL(IF('Bank Schedule'!$K$2:$K$825="Vacant", ROW('Bank Schedule'!$K$2:$K$825)), ROW(30:30))), "")</f>
        <v/>
      </c>
      <c r="B33" s="11" t="str">
        <f t="array" ref="B33">IFERROR(INDEX('Bank Schedule'!B:B, SMALL(IF('Bank Schedule'!$K$2:$K$825="Vacant", ROW('Bank Schedule'!$K$2:$K$825)), ROW(30:30))), "")</f>
        <v/>
      </c>
      <c r="C33" s="11" t="str">
        <f t="array" ref="C33">IFERROR(INDEX('Bank Schedule'!C:C, SMALL(IF('Bank Schedule'!$K$2:$K$825="Vacant", ROW('Bank Schedule'!$K$2:$K$825)), ROW(30:30))), "")</f>
        <v/>
      </c>
      <c r="D33" s="11" t="str">
        <f t="array" ref="D33">IFERROR(INDEX('Bank Schedule'!D:D, SMALL(IF('Bank Schedule'!$K$2:$K$825="Vacant", ROW('Bank Schedule'!$K$2:$K$825)), ROW(30:30))), "")</f>
        <v/>
      </c>
      <c r="E33" s="25" t="str">
        <f t="array" ref="E33">IFERROR(INDEX('Bank Schedule'!E:E, SMALL(IF('Bank Schedule'!$K$2:$K$825="Vacant", ROW('Bank Schedule'!$K$2:$K$825)), ROW(30:30))), "")</f>
        <v/>
      </c>
      <c r="F33" s="25" t="str">
        <f t="array" ref="F33">IFERROR(INDEX('Bank Schedule'!F:F, SMALL(IF('Bank Schedule'!$K$2:$K$825="Vacant", ROW('Bank Schedule'!$K$2:$K$825)), ROW(30:30))), "")</f>
        <v/>
      </c>
      <c r="G33" s="25" t="str">
        <f t="array" ref="G33">IFERROR(INDEX('Bank Schedule'!G:G, SMALL(IF('Bank Schedule'!$K$2:$K$825="Vacant", ROW('Bank Schedule'!$K$2:$K$825)), ROW(30:30))), "")</f>
        <v/>
      </c>
      <c r="H33" s="55" t="str">
        <f t="array" ref="H33">IFERROR(INDEX('Bank Schedule'!H:H, SMALL(IF('Bank Schedule'!$K$2:$K$825="Vacant", ROW('Bank Schedule'!$K$2:$K$825)), ROW(30:30))), "")</f>
        <v/>
      </c>
      <c r="I33" s="55" t="str">
        <f t="array" ref="I33">IFERROR(INDEX('Bank Schedule'!I:I, SMALL(IF('Bank Schedule'!$K$2:$K$825="Vacant", ROW('Bank Schedule'!$K$2:$K$825)), ROW(30:30))), "")</f>
        <v/>
      </c>
      <c r="J33" s="11" t="str">
        <f t="array" ref="J33">IFERROR(INDEX('Bank Schedule'!K:K, SMALL(IF('Bank Schedule'!$K$2:$K$825="Vacant", ROW('Bank Schedule'!$K$2:$K$825)), ROW(30:30))), "")</f>
        <v/>
      </c>
      <c r="K33" s="11" t="str">
        <f t="array" ref="K33">IFERROR(INDEX('Bank Schedule'!L:L, SMALL(IF('Bank Schedule'!$K$2:$K$825="Vacant", ROW('Bank Schedule'!$K$2:$K$825)), ROW(30:30))), "")</f>
        <v/>
      </c>
      <c r="L33" s="11" t="str">
        <f t="array" ref="L33">IFERROR(INDEX('Bank Schedule'!M:M, SMALL(IF('Bank Schedule'!$K$2:$K$825="Vacant", ROW('Bank Schedule'!$K$2:$K$825)), ROW(30:30))), "")</f>
        <v/>
      </c>
      <c r="M33" s="106" t="str">
        <f t="array" ref="M33">IFERROR(INDEX('Bank Schedule'!N:N, SMALL(IF('Bank Schedule'!$K$2:$K$825="Vacant", ROW('Bank Schedule'!$K$2:$K$825)), ROW(30:30))), "")</f>
        <v/>
      </c>
      <c r="N33" s="11" t="str">
        <f t="array" ref="N33">IFERROR(INDEX('Bank Schedule'!O:O, SMALL(IF('Bank Schedule'!$K$2:$K$825="Vacant", ROW('Bank Schedule'!$K$2:$K$825)), ROW(30:30))), "")</f>
        <v/>
      </c>
      <c r="O33" s="11" t="str">
        <f t="array" ref="O33">IFERROR(INDEX('Bank Schedule'!P:P, SMALL(IF('Bank Schedule'!$K$2:$K$825="Vacant", ROW('Bank Schedule'!$K$2:$K$825)), ROW(30:30))), "")</f>
        <v/>
      </c>
      <c r="P33" s="11" t="str">
        <f t="array" ref="P33">IFERROR(INDEX('Bank Schedule'!Q:Q, SMALL(IF('Bank Schedule'!$K$2:$K$825="Vacant", ROW('Bank Schedule'!$K$2:$K$825)), ROW(30:30))), "")</f>
        <v/>
      </c>
      <c r="Q33" s="11" t="str">
        <f t="array" ref="Q33">IFERROR(INDEX('Bank Schedule'!R:R, SMALL(IF('Bank Schedule'!$K$2:$K$825="Vacant", ROW('Bank Schedule'!$K$2:$K$825)), ROW(30:30))), "")</f>
        <v/>
      </c>
      <c r="R33" s="11" t="str">
        <f t="array" ref="R33">IFERROR(INDEX('Bank Schedule'!S:S, SMALL(IF('Bank Schedule'!$K$2:$K$825="Vacant", ROW('Bank Schedule'!$K$2:$K$825)), ROW(30:30))), "")</f>
        <v/>
      </c>
      <c r="S33" s="320" t="str">
        <f t="array" ref="S33">IFERROR(INDEX('Bank Schedule'!T:T, SMALL(IF('Bank Schedule'!$K$2:$K$825="Vacant", ROW('Bank Schedule'!$K$2:$K$825)), ROW(30:30))), "")</f>
        <v/>
      </c>
      <c r="T33" s="320" t="str">
        <f t="array" ref="T33">IFERROR(INDEX('Bank Schedule'!U:U, SMALL(IF('Bank Schedule'!$K$2:$K$825="Vacant", ROW('Bank Schedule'!$K$2:$K$825)), ROW(30:30))), "")</f>
        <v/>
      </c>
      <c r="U33" s="320" t="str">
        <f t="array" ref="U33">IFERROR(INDEX('Bank Schedule'!V:V, SMALL(IF('Bank Schedule'!$K$2:$K$825="Vacant", ROW('Bank Schedule'!$K$2:$K$825)), ROW(30:30))), "")</f>
        <v/>
      </c>
      <c r="V33" s="320" t="str">
        <f t="array" ref="V33">IFERROR(INDEX('Bank Schedule'!W:W, SMALL(IF('Bank Schedule'!$K$2:$K$825="Vacant", ROW('Bank Schedule'!$K$2:$K$825)), ROW(30:30))), "")</f>
        <v/>
      </c>
      <c r="W33" s="319" t="str">
        <f t="array" ref="W33">IFERROR(INDEX('Bank Schedule'!X:X, SMALL(IF('Bank Schedule'!$K$2:$K$825="Vacant", ROW('Bank Schedule'!$K$2:$K$825)), ROW(30:30))), "")</f>
        <v/>
      </c>
      <c r="X33" s="11" t="str">
        <f t="array" ref="X33">IFERROR(INDEX('Bank Schedule'!Y:Y, SMALL(IF('Bank Schedule'!$K$2:$K$825="Vacant", ROW('Bank Schedule'!$K$2:$K$825)), ROW(30:30))), "")</f>
        <v/>
      </c>
      <c r="Y33" s="11" t="str">
        <f t="array" ref="Y33">IFERROR(INDEX('Bank Schedule'!Z:Z, SMALL(IF('Bank Schedule'!$K$2:$K$825="Vacant", ROW('Bank Schedule'!$K$2:$K$825)), ROW(30:30))), "")</f>
        <v/>
      </c>
      <c r="Z33" s="11" t="str">
        <f t="array" ref="Z33">IFERROR(INDEX('Bank Schedule'!AA:AA, SMALL(IF('Bank Schedule'!$K$2:$K$825="Vacant", ROW('Bank Schedule'!$K$2:$K$825)), ROW(30:30))), "")</f>
        <v/>
      </c>
      <c r="AA33" s="11" t="str">
        <f t="array" ref="AA33">IFERROR(INDEX('Bank Schedule'!AB:AB, SMALL(IF('Bank Schedule'!$K$2:$K$825="Vacant", ROW('Bank Schedule'!$K$2:$K$825)), ROW(30:30))), "")</f>
        <v/>
      </c>
      <c r="AB33" s="25" t="str">
        <f t="array" ref="AB33">IFERROR(INDEX('Bank Schedule'!AC:AC, SMALL(IF('Bank Schedule'!$K$2:$K$825="Vacant", ROW('Bank Schedule'!$K$2:$K$825)), ROW(30:30))), "")</f>
        <v/>
      </c>
      <c r="AC33" s="299" t="str">
        <f t="array" ref="AC33">IFERROR(INDEX('Bank Schedule'!AD:AD, SMALL(IF('Bank Schedule'!$K$2:$K$825="Vacant", ROW('Bank Schedule'!$K$2:$K$825)), ROW(30:30))), "")</f>
        <v/>
      </c>
      <c r="AD33" s="11" t="str">
        <f t="array" ref="AD33">IFERROR(INDEX('Bank Schedule'!AE:AE, SMALL(IF('Bank Schedule'!$K$2:$K$825="Vacant", ROW('Bank Schedule'!$K$2:$K$825)), ROW(30:30))), "")</f>
        <v/>
      </c>
      <c r="AE33" s="11" t="str">
        <f t="array" ref="AE33">IFERROR(INDEX('Bank Schedule'!AF:AF, SMALL(IF('Bank Schedule'!$K$2:$K$825="Vacant", ROW('Bank Schedule'!$K$2:$K$825)), ROW(30:30))), "")</f>
        <v/>
      </c>
      <c r="AF33" s="11" t="str">
        <f t="array" ref="AF33">IFERROR(INDEX('Bank Schedule'!AG:AG, SMALL(IF('Bank Schedule'!$K$2:$K$825="Vacant", ROW('Bank Schedule'!$K$2:$K$825)), ROW(30:30))), "")</f>
        <v/>
      </c>
      <c r="AG33" s="4"/>
    </row>
    <row r="34" spans="1:33" ht="28.5" hidden="1" customHeight="1">
      <c r="A34" s="2" t="str">
        <f t="array" ref="A34">IFERROR(INDEX('Bank Schedule'!A:A, SMALL(IF('Bank Schedule'!$K$2:$K$825="Vacant", ROW('Bank Schedule'!$K$2:$K$825)), ROW(31:31))), "")</f>
        <v/>
      </c>
      <c r="B34" s="11" t="str">
        <f t="array" ref="B34">IFERROR(INDEX('Bank Schedule'!B:B, SMALL(IF('Bank Schedule'!$K$2:$K$825="Vacant", ROW('Bank Schedule'!$K$2:$K$825)), ROW(31:31))), "")</f>
        <v/>
      </c>
      <c r="C34" s="11" t="str">
        <f t="array" ref="C34">IFERROR(INDEX('Bank Schedule'!C:C, SMALL(IF('Bank Schedule'!$K$2:$K$825="Vacant", ROW('Bank Schedule'!$K$2:$K$825)), ROW(31:31))), "")</f>
        <v/>
      </c>
      <c r="D34" s="11" t="str">
        <f t="array" ref="D34">IFERROR(INDEX('Bank Schedule'!D:D, SMALL(IF('Bank Schedule'!$K$2:$K$825="Vacant", ROW('Bank Schedule'!$K$2:$K$825)), ROW(31:31))), "")</f>
        <v/>
      </c>
      <c r="E34" s="25" t="str">
        <f t="array" ref="E34">IFERROR(INDEX('Bank Schedule'!E:E, SMALL(IF('Bank Schedule'!$K$2:$K$825="Vacant", ROW('Bank Schedule'!$K$2:$K$825)), ROW(31:31))), "")</f>
        <v/>
      </c>
      <c r="F34" s="25" t="str">
        <f t="array" ref="F34">IFERROR(INDEX('Bank Schedule'!F:F, SMALL(IF('Bank Schedule'!$K$2:$K$825="Vacant", ROW('Bank Schedule'!$K$2:$K$825)), ROW(31:31))), "")</f>
        <v/>
      </c>
      <c r="G34" s="25" t="str">
        <f t="array" ref="G34">IFERROR(INDEX('Bank Schedule'!G:G, SMALL(IF('Bank Schedule'!$K$2:$K$825="Vacant", ROW('Bank Schedule'!$K$2:$K$825)), ROW(31:31))), "")</f>
        <v/>
      </c>
      <c r="H34" s="55" t="str">
        <f t="array" ref="H34">IFERROR(INDEX('Bank Schedule'!H:H, SMALL(IF('Bank Schedule'!$K$2:$K$825="Vacant", ROW('Bank Schedule'!$K$2:$K$825)), ROW(31:31))), "")</f>
        <v/>
      </c>
      <c r="I34" s="55" t="str">
        <f t="array" ref="I34">IFERROR(INDEX('Bank Schedule'!I:I, SMALL(IF('Bank Schedule'!$K$2:$K$825="Vacant", ROW('Bank Schedule'!$K$2:$K$825)), ROW(31:31))), "")</f>
        <v/>
      </c>
      <c r="J34" s="11" t="str">
        <f t="array" ref="J34">IFERROR(INDEX('Bank Schedule'!K:K, SMALL(IF('Bank Schedule'!$K$2:$K$825="Vacant", ROW('Bank Schedule'!$K$2:$K$825)), ROW(31:31))), "")</f>
        <v/>
      </c>
      <c r="K34" s="11" t="str">
        <f t="array" ref="K34">IFERROR(INDEX('Bank Schedule'!L:L, SMALL(IF('Bank Schedule'!$K$2:$K$825="Vacant", ROW('Bank Schedule'!$K$2:$K$825)), ROW(31:31))), "")</f>
        <v/>
      </c>
      <c r="L34" s="11" t="str">
        <f t="array" ref="L34">IFERROR(INDEX('Bank Schedule'!M:M, SMALL(IF('Bank Schedule'!$K$2:$K$825="Vacant", ROW('Bank Schedule'!$K$2:$K$825)), ROW(31:31))), "")</f>
        <v/>
      </c>
      <c r="M34" s="106" t="str">
        <f t="array" ref="M34">IFERROR(INDEX('Bank Schedule'!N:N, SMALL(IF('Bank Schedule'!$K$2:$K$825="Vacant", ROW('Bank Schedule'!$K$2:$K$825)), ROW(31:31))), "")</f>
        <v/>
      </c>
      <c r="N34" s="11" t="str">
        <f t="array" ref="N34">IFERROR(INDEX('Bank Schedule'!O:O, SMALL(IF('Bank Schedule'!$K$2:$K$825="Vacant", ROW('Bank Schedule'!$K$2:$K$825)), ROW(31:31))), "")</f>
        <v/>
      </c>
      <c r="O34" s="11" t="str">
        <f t="array" ref="O34">IFERROR(INDEX('Bank Schedule'!P:P, SMALL(IF('Bank Schedule'!$K$2:$K$825="Vacant", ROW('Bank Schedule'!$K$2:$K$825)), ROW(31:31))), "")</f>
        <v/>
      </c>
      <c r="P34" s="11" t="str">
        <f t="array" ref="P34">IFERROR(INDEX('Bank Schedule'!Q:Q, SMALL(IF('Bank Schedule'!$K$2:$K$825="Vacant", ROW('Bank Schedule'!$K$2:$K$825)), ROW(31:31))), "")</f>
        <v/>
      </c>
      <c r="Q34" s="11" t="str">
        <f t="array" ref="Q34">IFERROR(INDEX('Bank Schedule'!R:R, SMALL(IF('Bank Schedule'!$K$2:$K$825="Vacant", ROW('Bank Schedule'!$K$2:$K$825)), ROW(31:31))), "")</f>
        <v/>
      </c>
      <c r="R34" s="11" t="str">
        <f t="array" ref="R34">IFERROR(INDEX('Bank Schedule'!S:S, SMALL(IF('Bank Schedule'!$K$2:$K$825="Vacant", ROW('Bank Schedule'!$K$2:$K$825)), ROW(31:31))), "")</f>
        <v/>
      </c>
      <c r="S34" s="320" t="str">
        <f t="array" ref="S34">IFERROR(INDEX('Bank Schedule'!T:T, SMALL(IF('Bank Schedule'!$K$2:$K$825="Vacant", ROW('Bank Schedule'!$K$2:$K$825)), ROW(31:31))), "")</f>
        <v/>
      </c>
      <c r="T34" s="320" t="str">
        <f t="array" ref="T34">IFERROR(INDEX('Bank Schedule'!U:U, SMALL(IF('Bank Schedule'!$K$2:$K$825="Vacant", ROW('Bank Schedule'!$K$2:$K$825)), ROW(31:31))), "")</f>
        <v/>
      </c>
      <c r="U34" s="320" t="str">
        <f t="array" ref="U34">IFERROR(INDEX('Bank Schedule'!V:V, SMALL(IF('Bank Schedule'!$K$2:$K$825="Vacant", ROW('Bank Schedule'!$K$2:$K$825)), ROW(31:31))), "")</f>
        <v/>
      </c>
      <c r="V34" s="320" t="str">
        <f t="array" ref="V34">IFERROR(INDEX('Bank Schedule'!W:W, SMALL(IF('Bank Schedule'!$K$2:$K$825="Vacant", ROW('Bank Schedule'!$K$2:$K$825)), ROW(31:31))), "")</f>
        <v/>
      </c>
      <c r="W34" s="319" t="str">
        <f t="array" ref="W34">IFERROR(INDEX('Bank Schedule'!X:X, SMALL(IF('Bank Schedule'!$K$2:$K$825="Vacant", ROW('Bank Schedule'!$K$2:$K$825)), ROW(31:31))), "")</f>
        <v/>
      </c>
      <c r="X34" s="11" t="str">
        <f t="array" ref="X34">IFERROR(INDEX('Bank Schedule'!Y:Y, SMALL(IF('Bank Schedule'!$K$2:$K$825="Vacant", ROW('Bank Schedule'!$K$2:$K$825)), ROW(31:31))), "")</f>
        <v/>
      </c>
      <c r="Y34" s="11" t="str">
        <f t="array" ref="Y34">IFERROR(INDEX('Bank Schedule'!Z:Z, SMALL(IF('Bank Schedule'!$K$2:$K$825="Vacant", ROW('Bank Schedule'!$K$2:$K$825)), ROW(31:31))), "")</f>
        <v/>
      </c>
      <c r="Z34" s="11" t="str">
        <f t="array" ref="Z34">IFERROR(INDEX('Bank Schedule'!AA:AA, SMALL(IF('Bank Schedule'!$K$2:$K$825="Vacant", ROW('Bank Schedule'!$K$2:$K$825)), ROW(31:31))), "")</f>
        <v/>
      </c>
      <c r="AA34" s="11" t="str">
        <f t="array" ref="AA34">IFERROR(INDEX('Bank Schedule'!AB:AB, SMALL(IF('Bank Schedule'!$K$2:$K$825="Vacant", ROW('Bank Schedule'!$K$2:$K$825)), ROW(31:31))), "")</f>
        <v/>
      </c>
      <c r="AB34" s="25" t="str">
        <f t="array" ref="AB34">IFERROR(INDEX('Bank Schedule'!AC:AC, SMALL(IF('Bank Schedule'!$K$2:$K$825="Vacant", ROW('Bank Schedule'!$K$2:$K$825)), ROW(31:31))), "")</f>
        <v/>
      </c>
      <c r="AC34" s="299" t="str">
        <f t="array" ref="AC34">IFERROR(INDEX('Bank Schedule'!AD:AD, SMALL(IF('Bank Schedule'!$K$2:$K$825="Vacant", ROW('Bank Schedule'!$K$2:$K$825)), ROW(31:31))), "")</f>
        <v/>
      </c>
      <c r="AD34" s="11" t="str">
        <f t="array" ref="AD34">IFERROR(INDEX('Bank Schedule'!AE:AE, SMALL(IF('Bank Schedule'!$K$2:$K$825="Vacant", ROW('Bank Schedule'!$K$2:$K$825)), ROW(31:31))), "")</f>
        <v/>
      </c>
      <c r="AE34" s="11" t="str">
        <f t="array" ref="AE34">IFERROR(INDEX('Bank Schedule'!AF:AF, SMALL(IF('Bank Schedule'!$K$2:$K$825="Vacant", ROW('Bank Schedule'!$K$2:$K$825)), ROW(31:31))), "")</f>
        <v/>
      </c>
      <c r="AF34" s="11" t="str">
        <f t="array" ref="AF34">IFERROR(INDEX('Bank Schedule'!AG:AG, SMALL(IF('Bank Schedule'!$K$2:$K$825="Vacant", ROW('Bank Schedule'!$K$2:$K$825)), ROW(31:31))), "")</f>
        <v/>
      </c>
      <c r="AG34" s="4"/>
    </row>
    <row r="35" spans="1:33" ht="28.5" hidden="1" customHeight="1">
      <c r="A35" s="2" t="str">
        <f t="array" ref="A35">IFERROR(INDEX('Bank Schedule'!A:A, SMALL(IF('Bank Schedule'!$K$2:$K$825="Vacant", ROW('Bank Schedule'!$K$2:$K$825)), ROW(32:32))), "")</f>
        <v/>
      </c>
      <c r="B35" s="11" t="str">
        <f t="array" ref="B35">IFERROR(INDEX('Bank Schedule'!B:B, SMALL(IF('Bank Schedule'!$K$2:$K$825="Vacant", ROW('Bank Schedule'!$K$2:$K$825)), ROW(32:32))), "")</f>
        <v/>
      </c>
      <c r="C35" s="11" t="str">
        <f t="array" ref="C35">IFERROR(INDEX('Bank Schedule'!C:C, SMALL(IF('Bank Schedule'!$K$2:$K$825="Vacant", ROW('Bank Schedule'!$K$2:$K$825)), ROW(32:32))), "")</f>
        <v/>
      </c>
      <c r="D35" s="11" t="str">
        <f t="array" ref="D35">IFERROR(INDEX('Bank Schedule'!D:D, SMALL(IF('Bank Schedule'!$K$2:$K$825="Vacant", ROW('Bank Schedule'!$K$2:$K$825)), ROW(32:32))), "")</f>
        <v/>
      </c>
      <c r="E35" s="25" t="str">
        <f t="array" ref="E35">IFERROR(INDEX('Bank Schedule'!E:E, SMALL(IF('Bank Schedule'!$K$2:$K$825="Vacant", ROW('Bank Schedule'!$K$2:$K$825)), ROW(32:32))), "")</f>
        <v/>
      </c>
      <c r="F35" s="25" t="str">
        <f t="array" ref="F35">IFERROR(INDEX('Bank Schedule'!F:F, SMALL(IF('Bank Schedule'!$K$2:$K$825="Vacant", ROW('Bank Schedule'!$K$2:$K$825)), ROW(32:32))), "")</f>
        <v/>
      </c>
      <c r="G35" s="25" t="str">
        <f t="array" ref="G35">IFERROR(INDEX('Bank Schedule'!G:G, SMALL(IF('Bank Schedule'!$K$2:$K$825="Vacant", ROW('Bank Schedule'!$K$2:$K$825)), ROW(32:32))), "")</f>
        <v/>
      </c>
      <c r="H35" s="55" t="str">
        <f t="array" ref="H35">IFERROR(INDEX('Bank Schedule'!H:H, SMALL(IF('Bank Schedule'!$K$2:$K$825="Vacant", ROW('Bank Schedule'!$K$2:$K$825)), ROW(32:32))), "")</f>
        <v/>
      </c>
      <c r="I35" s="55" t="str">
        <f t="array" ref="I35">IFERROR(INDEX('Bank Schedule'!I:I, SMALL(IF('Bank Schedule'!$K$2:$K$825="Vacant", ROW('Bank Schedule'!$K$2:$K$825)), ROW(32:32))), "")</f>
        <v/>
      </c>
      <c r="J35" s="11" t="str">
        <f t="array" ref="J35">IFERROR(INDEX('Bank Schedule'!K:K, SMALL(IF('Bank Schedule'!$K$2:$K$825="Vacant", ROW('Bank Schedule'!$K$2:$K$825)), ROW(32:32))), "")</f>
        <v/>
      </c>
      <c r="K35" s="11" t="str">
        <f t="array" ref="K35">IFERROR(INDEX('Bank Schedule'!L:L, SMALL(IF('Bank Schedule'!$K$2:$K$825="Vacant", ROW('Bank Schedule'!$K$2:$K$825)), ROW(32:32))), "")</f>
        <v/>
      </c>
      <c r="L35" s="11" t="str">
        <f t="array" ref="L35">IFERROR(INDEX('Bank Schedule'!M:M, SMALL(IF('Bank Schedule'!$K$2:$K$825="Vacant", ROW('Bank Schedule'!$K$2:$K$825)), ROW(32:32))), "")</f>
        <v/>
      </c>
      <c r="M35" s="106" t="str">
        <f t="array" ref="M35">IFERROR(INDEX('Bank Schedule'!N:N, SMALL(IF('Bank Schedule'!$K$2:$K$825="Vacant", ROW('Bank Schedule'!$K$2:$K$825)), ROW(32:32))), "")</f>
        <v/>
      </c>
      <c r="N35" s="11" t="str">
        <f t="array" ref="N35">IFERROR(INDEX('Bank Schedule'!O:O, SMALL(IF('Bank Schedule'!$K$2:$K$825="Vacant", ROW('Bank Schedule'!$K$2:$K$825)), ROW(32:32))), "")</f>
        <v/>
      </c>
      <c r="O35" s="11" t="str">
        <f t="array" ref="O35">IFERROR(INDEX('Bank Schedule'!P:P, SMALL(IF('Bank Schedule'!$K$2:$K$825="Vacant", ROW('Bank Schedule'!$K$2:$K$825)), ROW(32:32))), "")</f>
        <v/>
      </c>
      <c r="P35" s="11" t="str">
        <f t="array" ref="P35">IFERROR(INDEX('Bank Schedule'!Q:Q, SMALL(IF('Bank Schedule'!$K$2:$K$825="Vacant", ROW('Bank Schedule'!$K$2:$K$825)), ROW(32:32))), "")</f>
        <v/>
      </c>
      <c r="Q35" s="11" t="str">
        <f t="array" ref="Q35">IFERROR(INDEX('Bank Schedule'!R:R, SMALL(IF('Bank Schedule'!$K$2:$K$825="Vacant", ROW('Bank Schedule'!$K$2:$K$825)), ROW(32:32))), "")</f>
        <v/>
      </c>
      <c r="R35" s="11" t="str">
        <f t="array" ref="R35">IFERROR(INDEX('Bank Schedule'!S:S, SMALL(IF('Bank Schedule'!$K$2:$K$825="Vacant", ROW('Bank Schedule'!$K$2:$K$825)), ROW(32:32))), "")</f>
        <v/>
      </c>
      <c r="S35" s="320" t="str">
        <f t="array" ref="S35">IFERROR(INDEX('Bank Schedule'!T:T, SMALL(IF('Bank Schedule'!$K$2:$K$825="Vacant", ROW('Bank Schedule'!$K$2:$K$825)), ROW(32:32))), "")</f>
        <v/>
      </c>
      <c r="T35" s="320" t="str">
        <f t="array" ref="T35">IFERROR(INDEX('Bank Schedule'!U:U, SMALL(IF('Bank Schedule'!$K$2:$K$825="Vacant", ROW('Bank Schedule'!$K$2:$K$825)), ROW(32:32))), "")</f>
        <v/>
      </c>
      <c r="U35" s="320" t="str">
        <f t="array" ref="U35">IFERROR(INDEX('Bank Schedule'!V:V, SMALL(IF('Bank Schedule'!$K$2:$K$825="Vacant", ROW('Bank Schedule'!$K$2:$K$825)), ROW(32:32))), "")</f>
        <v/>
      </c>
      <c r="V35" s="320" t="str">
        <f t="array" ref="V35">IFERROR(INDEX('Bank Schedule'!W:W, SMALL(IF('Bank Schedule'!$K$2:$K$825="Vacant", ROW('Bank Schedule'!$K$2:$K$825)), ROW(32:32))), "")</f>
        <v/>
      </c>
      <c r="W35" s="319" t="str">
        <f t="array" ref="W35">IFERROR(INDEX('Bank Schedule'!X:X, SMALL(IF('Bank Schedule'!$K$2:$K$825="Vacant", ROW('Bank Schedule'!$K$2:$K$825)), ROW(32:32))), "")</f>
        <v/>
      </c>
      <c r="X35" s="11" t="str">
        <f t="array" ref="X35">IFERROR(INDEX('Bank Schedule'!Y:Y, SMALL(IF('Bank Schedule'!$K$2:$K$825="Vacant", ROW('Bank Schedule'!$K$2:$K$825)), ROW(32:32))), "")</f>
        <v/>
      </c>
      <c r="Y35" s="11" t="str">
        <f t="array" ref="Y35">IFERROR(INDEX('Bank Schedule'!Z:Z, SMALL(IF('Bank Schedule'!$K$2:$K$825="Vacant", ROW('Bank Schedule'!$K$2:$K$825)), ROW(32:32))), "")</f>
        <v/>
      </c>
      <c r="Z35" s="11" t="str">
        <f t="array" ref="Z35">IFERROR(INDEX('Bank Schedule'!AA:AA, SMALL(IF('Bank Schedule'!$K$2:$K$825="Vacant", ROW('Bank Schedule'!$K$2:$K$825)), ROW(32:32))), "")</f>
        <v/>
      </c>
      <c r="AA35" s="11" t="str">
        <f t="array" ref="AA35">IFERROR(INDEX('Bank Schedule'!AB:AB, SMALL(IF('Bank Schedule'!$K$2:$K$825="Vacant", ROW('Bank Schedule'!$K$2:$K$825)), ROW(32:32))), "")</f>
        <v/>
      </c>
      <c r="AB35" s="25" t="str">
        <f t="array" ref="AB35">IFERROR(INDEX('Bank Schedule'!AC:AC, SMALL(IF('Bank Schedule'!$K$2:$K$825="Vacant", ROW('Bank Schedule'!$K$2:$K$825)), ROW(32:32))), "")</f>
        <v/>
      </c>
      <c r="AC35" s="299" t="str">
        <f t="array" ref="AC35">IFERROR(INDEX('Bank Schedule'!AD:AD, SMALL(IF('Bank Schedule'!$K$2:$K$825="Vacant", ROW('Bank Schedule'!$K$2:$K$825)), ROW(32:32))), "")</f>
        <v/>
      </c>
      <c r="AD35" s="11" t="str">
        <f t="array" ref="AD35">IFERROR(INDEX('Bank Schedule'!AE:AE, SMALL(IF('Bank Schedule'!$K$2:$K$825="Vacant", ROW('Bank Schedule'!$K$2:$K$825)), ROW(32:32))), "")</f>
        <v/>
      </c>
      <c r="AE35" s="11" t="str">
        <f t="array" ref="AE35">IFERROR(INDEX('Bank Schedule'!AF:AF, SMALL(IF('Bank Schedule'!$K$2:$K$825="Vacant", ROW('Bank Schedule'!$K$2:$K$825)), ROW(32:32))), "")</f>
        <v/>
      </c>
      <c r="AF35" s="11" t="str">
        <f t="array" ref="AF35">IFERROR(INDEX('Bank Schedule'!AG:AG, SMALL(IF('Bank Schedule'!$K$2:$K$825="Vacant", ROW('Bank Schedule'!$K$2:$K$825)), ROW(32:32))), "")</f>
        <v/>
      </c>
      <c r="AG35" s="4"/>
    </row>
    <row r="36" spans="1:33" ht="28.5" hidden="1" customHeight="1">
      <c r="A36" s="2" t="str">
        <f t="array" ref="A36">IFERROR(INDEX('Bank Schedule'!A:A, SMALL(IF('Bank Schedule'!$K$2:$K$825="Vacant", ROW('Bank Schedule'!$K$2:$K$825)), ROW(33:33))), "")</f>
        <v/>
      </c>
      <c r="B36" s="11" t="str">
        <f t="array" ref="B36">IFERROR(INDEX('Bank Schedule'!B:B, SMALL(IF('Bank Schedule'!$K$2:$K$825="Vacant", ROW('Bank Schedule'!$K$2:$K$825)), ROW(33:33))), "")</f>
        <v/>
      </c>
      <c r="C36" s="11" t="str">
        <f t="array" ref="C36">IFERROR(INDEX('Bank Schedule'!C:C, SMALL(IF('Bank Schedule'!$K$2:$K$825="Vacant", ROW('Bank Schedule'!$K$2:$K$825)), ROW(33:33))), "")</f>
        <v/>
      </c>
      <c r="D36" s="11" t="str">
        <f t="array" ref="D36">IFERROR(INDEX('Bank Schedule'!D:D, SMALL(IF('Bank Schedule'!$K$2:$K$825="Vacant", ROW('Bank Schedule'!$K$2:$K$825)), ROW(33:33))), "")</f>
        <v/>
      </c>
      <c r="E36" s="25" t="str">
        <f t="array" ref="E36">IFERROR(INDEX('Bank Schedule'!E:E, SMALL(IF('Bank Schedule'!$K$2:$K$825="Vacant", ROW('Bank Schedule'!$K$2:$K$825)), ROW(33:33))), "")</f>
        <v/>
      </c>
      <c r="F36" s="25" t="str">
        <f t="array" ref="F36">IFERROR(INDEX('Bank Schedule'!F:F, SMALL(IF('Bank Schedule'!$K$2:$K$825="Vacant", ROW('Bank Schedule'!$K$2:$K$825)), ROW(33:33))), "")</f>
        <v/>
      </c>
      <c r="G36" s="25" t="str">
        <f t="array" ref="G36">IFERROR(INDEX('Bank Schedule'!G:G, SMALL(IF('Bank Schedule'!$K$2:$K$825="Vacant", ROW('Bank Schedule'!$K$2:$K$825)), ROW(33:33))), "")</f>
        <v/>
      </c>
      <c r="H36" s="55" t="str">
        <f t="array" ref="H36">IFERROR(INDEX('Bank Schedule'!H:H, SMALL(IF('Bank Schedule'!$K$2:$K$825="Vacant", ROW('Bank Schedule'!$K$2:$K$825)), ROW(33:33))), "")</f>
        <v/>
      </c>
      <c r="I36" s="55" t="str">
        <f t="array" ref="I36">IFERROR(INDEX('Bank Schedule'!I:I, SMALL(IF('Bank Schedule'!$K$2:$K$825="Vacant", ROW('Bank Schedule'!$K$2:$K$825)), ROW(33:33))), "")</f>
        <v/>
      </c>
      <c r="J36" s="11" t="str">
        <f t="array" ref="J36">IFERROR(INDEX('Bank Schedule'!K:K, SMALL(IF('Bank Schedule'!$K$2:$K$825="Vacant", ROW('Bank Schedule'!$K$2:$K$825)), ROW(33:33))), "")</f>
        <v/>
      </c>
      <c r="K36" s="11" t="str">
        <f t="array" ref="K36">IFERROR(INDEX('Bank Schedule'!L:L, SMALL(IF('Bank Schedule'!$K$2:$K$825="Vacant", ROW('Bank Schedule'!$K$2:$K$825)), ROW(33:33))), "")</f>
        <v/>
      </c>
      <c r="L36" s="11" t="str">
        <f t="array" ref="L36">IFERROR(INDEX('Bank Schedule'!M:M, SMALL(IF('Bank Schedule'!$K$2:$K$825="Vacant", ROW('Bank Schedule'!$K$2:$K$825)), ROW(33:33))), "")</f>
        <v/>
      </c>
      <c r="M36" s="106" t="str">
        <f t="array" ref="M36">IFERROR(INDEX('Bank Schedule'!N:N, SMALL(IF('Bank Schedule'!$K$2:$K$825="Vacant", ROW('Bank Schedule'!$K$2:$K$825)), ROW(33:33))), "")</f>
        <v/>
      </c>
      <c r="N36" s="11" t="str">
        <f t="array" ref="N36">IFERROR(INDEX('Bank Schedule'!O:O, SMALL(IF('Bank Schedule'!$K$2:$K$825="Vacant", ROW('Bank Schedule'!$K$2:$K$825)), ROW(33:33))), "")</f>
        <v/>
      </c>
      <c r="O36" s="11" t="str">
        <f t="array" ref="O36">IFERROR(INDEX('Bank Schedule'!P:P, SMALL(IF('Bank Schedule'!$K$2:$K$825="Vacant", ROW('Bank Schedule'!$K$2:$K$825)), ROW(33:33))), "")</f>
        <v/>
      </c>
      <c r="P36" s="11" t="str">
        <f t="array" ref="P36">IFERROR(INDEX('Bank Schedule'!Q:Q, SMALL(IF('Bank Schedule'!$K$2:$K$825="Vacant", ROW('Bank Schedule'!$K$2:$K$825)), ROW(33:33))), "")</f>
        <v/>
      </c>
      <c r="Q36" s="11" t="str">
        <f t="array" ref="Q36">IFERROR(INDEX('Bank Schedule'!R:R, SMALL(IF('Bank Schedule'!$K$2:$K$825="Vacant", ROW('Bank Schedule'!$K$2:$K$825)), ROW(33:33))), "")</f>
        <v/>
      </c>
      <c r="R36" s="11" t="str">
        <f t="array" ref="R36">IFERROR(INDEX('Bank Schedule'!S:S, SMALL(IF('Bank Schedule'!$K$2:$K$825="Vacant", ROW('Bank Schedule'!$K$2:$K$825)), ROW(33:33))), "")</f>
        <v/>
      </c>
      <c r="S36" s="320" t="str">
        <f t="array" ref="S36">IFERROR(INDEX('Bank Schedule'!T:T, SMALL(IF('Bank Schedule'!$K$2:$K$825="Vacant", ROW('Bank Schedule'!$K$2:$K$825)), ROW(33:33))), "")</f>
        <v/>
      </c>
      <c r="T36" s="320" t="str">
        <f t="array" ref="T36">IFERROR(INDEX('Bank Schedule'!U:U, SMALL(IF('Bank Schedule'!$K$2:$K$825="Vacant", ROW('Bank Schedule'!$K$2:$K$825)), ROW(33:33))), "")</f>
        <v/>
      </c>
      <c r="U36" s="320" t="str">
        <f t="array" ref="U36">IFERROR(INDEX('Bank Schedule'!V:V, SMALL(IF('Bank Schedule'!$K$2:$K$825="Vacant", ROW('Bank Schedule'!$K$2:$K$825)), ROW(33:33))), "")</f>
        <v/>
      </c>
      <c r="V36" s="320" t="str">
        <f t="array" ref="V36">IFERROR(INDEX('Bank Schedule'!W:W, SMALL(IF('Bank Schedule'!$K$2:$K$825="Vacant", ROW('Bank Schedule'!$K$2:$K$825)), ROW(33:33))), "")</f>
        <v/>
      </c>
      <c r="W36" s="319" t="str">
        <f t="array" ref="W36">IFERROR(INDEX('Bank Schedule'!X:X, SMALL(IF('Bank Schedule'!$K$2:$K$825="Vacant", ROW('Bank Schedule'!$K$2:$K$825)), ROW(33:33))), "")</f>
        <v/>
      </c>
      <c r="X36" s="11" t="str">
        <f t="array" ref="X36">IFERROR(INDEX('Bank Schedule'!Y:Y, SMALL(IF('Bank Schedule'!$K$2:$K$825="Vacant", ROW('Bank Schedule'!$K$2:$K$825)), ROW(33:33))), "")</f>
        <v/>
      </c>
      <c r="Y36" s="11" t="str">
        <f t="array" ref="Y36">IFERROR(INDEX('Bank Schedule'!Z:Z, SMALL(IF('Bank Schedule'!$K$2:$K$825="Vacant", ROW('Bank Schedule'!$K$2:$K$825)), ROW(33:33))), "")</f>
        <v/>
      </c>
      <c r="Z36" s="11" t="str">
        <f t="array" ref="Z36">IFERROR(INDEX('Bank Schedule'!AA:AA, SMALL(IF('Bank Schedule'!$K$2:$K$825="Vacant", ROW('Bank Schedule'!$K$2:$K$825)), ROW(33:33))), "")</f>
        <v/>
      </c>
      <c r="AA36" s="11" t="str">
        <f t="array" ref="AA36">IFERROR(INDEX('Bank Schedule'!AB:AB, SMALL(IF('Bank Schedule'!$K$2:$K$825="Vacant", ROW('Bank Schedule'!$K$2:$K$825)), ROW(33:33))), "")</f>
        <v/>
      </c>
      <c r="AB36" s="25" t="str">
        <f t="array" ref="AB36">IFERROR(INDEX('Bank Schedule'!AC:AC, SMALL(IF('Bank Schedule'!$K$2:$K$825="Vacant", ROW('Bank Schedule'!$K$2:$K$825)), ROW(33:33))), "")</f>
        <v/>
      </c>
      <c r="AC36" s="299" t="str">
        <f t="array" ref="AC36">IFERROR(INDEX('Bank Schedule'!AD:AD, SMALL(IF('Bank Schedule'!$K$2:$K$825="Vacant", ROW('Bank Schedule'!$K$2:$K$825)), ROW(33:33))), "")</f>
        <v/>
      </c>
      <c r="AD36" s="11" t="str">
        <f t="array" ref="AD36">IFERROR(INDEX('Bank Schedule'!AE:AE, SMALL(IF('Bank Schedule'!$K$2:$K$825="Vacant", ROW('Bank Schedule'!$K$2:$K$825)), ROW(33:33))), "")</f>
        <v/>
      </c>
      <c r="AE36" s="11" t="str">
        <f t="array" ref="AE36">IFERROR(INDEX('Bank Schedule'!AF:AF, SMALL(IF('Bank Schedule'!$K$2:$K$825="Vacant", ROW('Bank Schedule'!$K$2:$K$825)), ROW(33:33))), "")</f>
        <v/>
      </c>
      <c r="AF36" s="11" t="str">
        <f t="array" ref="AF36">IFERROR(INDEX('Bank Schedule'!AG:AG, SMALL(IF('Bank Schedule'!$K$2:$K$825="Vacant", ROW('Bank Schedule'!$K$2:$K$825)), ROW(33:33))), "")</f>
        <v/>
      </c>
      <c r="AG36" s="4"/>
    </row>
    <row r="37" spans="1:33" ht="28.5" customHeight="1">
      <c r="A37" s="2" t="str">
        <f t="array" ref="A37">IFERROR(INDEX('Bank Schedule'!A:A, SMALL(IF('Bank Schedule'!$K$2:$K$825="Vacant", ROW('Bank Schedule'!$K$2:$K$825)), ROW(34:34))), "")</f>
        <v/>
      </c>
      <c r="B37" s="11" t="str">
        <f t="array" ref="B37">IFERROR(INDEX('Bank Schedule'!B:B, SMALL(IF('Bank Schedule'!$K$2:$K$825="Vacant", ROW('Bank Schedule'!$K$2:$K$825)), ROW(34:34))), "")</f>
        <v/>
      </c>
      <c r="C37" s="11" t="str">
        <f t="array" ref="C37">IFERROR(INDEX('Bank Schedule'!C:C, SMALL(IF('Bank Schedule'!$K$2:$K$825="Vacant", ROW('Bank Schedule'!$K$2:$K$825)), ROW(34:34))), "")</f>
        <v/>
      </c>
      <c r="D37" s="11" t="str">
        <f t="array" ref="D37">IFERROR(INDEX('Bank Schedule'!D:D, SMALL(IF('Bank Schedule'!$K$2:$K$825="Vacant", ROW('Bank Schedule'!$K$2:$K$825)), ROW(34:34))), "")</f>
        <v/>
      </c>
      <c r="E37" s="25" t="str">
        <f t="array" ref="E37">IFERROR(INDEX('Bank Schedule'!E:E, SMALL(IF('Bank Schedule'!$K$2:$K$825="Vacant", ROW('Bank Schedule'!$K$2:$K$825)), ROW(34:34))), "")</f>
        <v/>
      </c>
      <c r="F37" s="25" t="str">
        <f t="array" ref="F37">IFERROR(INDEX('Bank Schedule'!F:F, SMALL(IF('Bank Schedule'!$K$2:$K$825="Vacant", ROW('Bank Schedule'!$K$2:$K$825)), ROW(34:34))), "")</f>
        <v/>
      </c>
      <c r="G37" s="25" t="str">
        <f t="array" ref="G37">IFERROR(INDEX('Bank Schedule'!G:G, SMALL(IF('Bank Schedule'!$K$2:$K$825="Vacant", ROW('Bank Schedule'!$K$2:$K$825)), ROW(34:34))), "")</f>
        <v/>
      </c>
      <c r="H37" s="55" t="str">
        <f t="array" ref="H37">IFERROR(INDEX('Bank Schedule'!H:H, SMALL(IF('Bank Schedule'!$K$2:$K$825="Vacant", ROW('Bank Schedule'!$K$2:$K$825)), ROW(34:34))), "")</f>
        <v/>
      </c>
      <c r="I37" s="55" t="str">
        <f t="array" ref="I37">IFERROR(INDEX('Bank Schedule'!I:I, SMALL(IF('Bank Schedule'!$K$2:$K$825="Vacant", ROW('Bank Schedule'!$K$2:$K$825)), ROW(34:34))), "")</f>
        <v/>
      </c>
      <c r="J37" s="11" t="str">
        <f t="array" ref="J37">IFERROR(INDEX('Bank Schedule'!K:K, SMALL(IF('Bank Schedule'!$K$2:$K$825="Vacant", ROW('Bank Schedule'!$K$2:$K$825)), ROW(34:34))), "")</f>
        <v/>
      </c>
      <c r="K37" s="11" t="str">
        <f t="array" ref="K37">IFERROR(INDEX('Bank Schedule'!L:L, SMALL(IF('Bank Schedule'!$K$2:$K$825="Vacant", ROW('Bank Schedule'!$K$2:$K$825)), ROW(34:34))), "")</f>
        <v/>
      </c>
      <c r="L37" s="11" t="str">
        <f t="array" ref="L37">IFERROR(INDEX('Bank Schedule'!M:M, SMALL(IF('Bank Schedule'!$K$2:$K$825="Vacant", ROW('Bank Schedule'!$K$2:$K$825)), ROW(34:34))), "")</f>
        <v/>
      </c>
      <c r="M37" s="106" t="str">
        <f t="array" ref="M37">IFERROR(INDEX('Bank Schedule'!N:N, SMALL(IF('Bank Schedule'!$K$2:$K$825="Vacant", ROW('Bank Schedule'!$K$2:$K$825)), ROW(34:34))), "")</f>
        <v/>
      </c>
      <c r="N37" s="11" t="str">
        <f t="array" ref="N37">IFERROR(INDEX('Bank Schedule'!O:O, SMALL(IF('Bank Schedule'!$K$2:$K$825="Vacant", ROW('Bank Schedule'!$K$2:$K$825)), ROW(34:34))), "")</f>
        <v/>
      </c>
      <c r="O37" s="11" t="str">
        <f t="array" ref="O37">IFERROR(INDEX('Bank Schedule'!P:P, SMALL(IF('Bank Schedule'!$K$2:$K$825="Vacant", ROW('Bank Schedule'!$K$2:$K$825)), ROW(34:34))), "")</f>
        <v/>
      </c>
      <c r="P37" s="11" t="str">
        <f t="array" ref="P37">IFERROR(INDEX('Bank Schedule'!Q:Q, SMALL(IF('Bank Schedule'!$K$2:$K$825="Vacant", ROW('Bank Schedule'!$K$2:$K$825)), ROW(34:34))), "")</f>
        <v/>
      </c>
      <c r="Q37" s="11" t="str">
        <f t="array" ref="Q37">IFERROR(INDEX('Bank Schedule'!R:R, SMALL(IF('Bank Schedule'!$K$2:$K$825="Vacant", ROW('Bank Schedule'!$K$2:$K$825)), ROW(34:34))), "")</f>
        <v/>
      </c>
      <c r="R37" s="11" t="str">
        <f t="array" ref="R37">IFERROR(INDEX('Bank Schedule'!S:S, SMALL(IF('Bank Schedule'!$K$2:$K$825="Vacant", ROW('Bank Schedule'!$K$2:$K$825)), ROW(34:34))), "")</f>
        <v/>
      </c>
      <c r="S37" s="320" t="str">
        <f t="array" ref="S37">IFERROR(INDEX('Bank Schedule'!T:T, SMALL(IF('Bank Schedule'!$K$2:$K$825="Vacant", ROW('Bank Schedule'!$K$2:$K$825)), ROW(34:34))), "")</f>
        <v/>
      </c>
      <c r="T37" s="320" t="str">
        <f t="array" ref="T37">IFERROR(INDEX('Bank Schedule'!U:U, SMALL(IF('Bank Schedule'!$K$2:$K$825="Vacant", ROW('Bank Schedule'!$K$2:$K$825)), ROW(34:34))), "")</f>
        <v/>
      </c>
      <c r="U37" s="320" t="str">
        <f t="array" ref="U37">IFERROR(INDEX('Bank Schedule'!V:V, SMALL(IF('Bank Schedule'!$K$2:$K$825="Vacant", ROW('Bank Schedule'!$K$2:$K$825)), ROW(34:34))), "")</f>
        <v/>
      </c>
      <c r="V37" s="320" t="str">
        <f t="array" ref="V37">IFERROR(INDEX('Bank Schedule'!W:W, SMALL(IF('Bank Schedule'!$K$2:$K$825="Vacant", ROW('Bank Schedule'!$K$2:$K$825)), ROW(34:34))), "")</f>
        <v/>
      </c>
      <c r="W37" s="319" t="str">
        <f t="array" ref="W37">IFERROR(INDEX('Bank Schedule'!X:X, SMALL(IF('Bank Schedule'!$K$2:$K$825="Vacant", ROW('Bank Schedule'!$K$2:$K$825)), ROW(34:34))), "")</f>
        <v/>
      </c>
      <c r="X37" s="11" t="str">
        <f t="array" ref="X37">IFERROR(INDEX('Bank Schedule'!Y:Y, SMALL(IF('Bank Schedule'!$K$2:$K$825="Vacant", ROW('Bank Schedule'!$K$2:$K$825)), ROW(34:34))), "")</f>
        <v/>
      </c>
      <c r="Y37" s="11" t="str">
        <f t="array" ref="Y37">IFERROR(INDEX('Bank Schedule'!Z:Z, SMALL(IF('Bank Schedule'!$K$2:$K$825="Vacant", ROW('Bank Schedule'!$K$2:$K$825)), ROW(34:34))), "")</f>
        <v/>
      </c>
      <c r="Z37" s="11" t="str">
        <f t="array" ref="Z37">IFERROR(INDEX('Bank Schedule'!AA:AA, SMALL(IF('Bank Schedule'!$K$2:$K$825="Vacant", ROW('Bank Schedule'!$K$2:$K$825)), ROW(34:34))), "")</f>
        <v/>
      </c>
      <c r="AA37" s="11" t="str">
        <f t="array" ref="AA37">IFERROR(INDEX('Bank Schedule'!AB:AB, SMALL(IF('Bank Schedule'!$K$2:$K$825="Vacant", ROW('Bank Schedule'!$K$2:$K$825)), ROW(34:34))), "")</f>
        <v/>
      </c>
      <c r="AB37" s="25" t="str">
        <f t="array" ref="AB37">IFERROR(INDEX('Bank Schedule'!AC:AC, SMALL(IF('Bank Schedule'!$K$2:$K$825="Vacant", ROW('Bank Schedule'!$K$2:$K$825)), ROW(34:34))), "")</f>
        <v/>
      </c>
      <c r="AC37" s="299" t="str">
        <f t="array" ref="AC37">IFERROR(INDEX('Bank Schedule'!AD:AD, SMALL(IF('Bank Schedule'!$K$2:$K$825="Vacant", ROW('Bank Schedule'!$K$2:$K$825)), ROW(34:34))), "")</f>
        <v/>
      </c>
      <c r="AD37" s="11" t="str">
        <f t="array" ref="AD37">IFERROR(INDEX('Bank Schedule'!AE:AE, SMALL(IF('Bank Schedule'!$K$2:$K$825="Vacant", ROW('Bank Schedule'!$K$2:$K$825)), ROW(34:34))), "")</f>
        <v/>
      </c>
      <c r="AE37" s="11" t="str">
        <f t="array" ref="AE37">IFERROR(INDEX('Bank Schedule'!AF:AF, SMALL(IF('Bank Schedule'!$K$2:$K$825="Vacant", ROW('Bank Schedule'!$K$2:$K$825)), ROW(34:34))), "")</f>
        <v/>
      </c>
      <c r="AF37" s="11" t="str">
        <f t="array" ref="AF37">IFERROR(INDEX('Bank Schedule'!AG:AG, SMALL(IF('Bank Schedule'!$K$2:$K$825="Vacant", ROW('Bank Schedule'!$K$2:$K$825)), ROW(34:34))), "")</f>
        <v/>
      </c>
      <c r="AG37" s="4"/>
    </row>
    <row r="38" spans="1:33" ht="28.5" customHeight="1">
      <c r="A38" s="2" t="str">
        <f t="array" ref="A38">IFERROR(INDEX('Bank Schedule'!A:A, SMALL(IF('Bank Schedule'!$K$2:$K$825="Vacant", ROW('Bank Schedule'!$K$2:$K$825)), ROW(35:35))), "")</f>
        <v/>
      </c>
      <c r="B38" s="11" t="str">
        <f t="array" ref="B38">IFERROR(INDEX('Bank Schedule'!B:B, SMALL(IF('Bank Schedule'!$K$2:$K$825="Vacant", ROW('Bank Schedule'!$K$2:$K$825)), ROW(35:35))), "")</f>
        <v/>
      </c>
      <c r="C38" s="11" t="str">
        <f t="array" ref="C38">IFERROR(INDEX('Bank Schedule'!C:C, SMALL(IF('Bank Schedule'!$K$2:$K$825="Vacant", ROW('Bank Schedule'!$K$2:$K$825)), ROW(35:35))), "")</f>
        <v/>
      </c>
      <c r="D38" s="11" t="str">
        <f t="array" ref="D38">IFERROR(INDEX('Bank Schedule'!D:D, SMALL(IF('Bank Schedule'!$K$2:$K$825="Vacant", ROW('Bank Schedule'!$K$2:$K$825)), ROW(35:35))), "")</f>
        <v/>
      </c>
      <c r="E38" s="25" t="str">
        <f t="array" ref="E38">IFERROR(INDEX('Bank Schedule'!E:E, SMALL(IF('Bank Schedule'!$K$2:$K$825="Vacant", ROW('Bank Schedule'!$K$2:$K$825)), ROW(35:35))), "")</f>
        <v/>
      </c>
      <c r="F38" s="25" t="str">
        <f t="array" ref="F38">IFERROR(INDEX('Bank Schedule'!F:F, SMALL(IF('Bank Schedule'!$K$2:$K$825="Vacant", ROW('Bank Schedule'!$K$2:$K$825)), ROW(35:35))), "")</f>
        <v/>
      </c>
      <c r="G38" s="25" t="str">
        <f t="array" ref="G38">IFERROR(INDEX('Bank Schedule'!G:G, SMALL(IF('Bank Schedule'!$K$2:$K$825="Vacant", ROW('Bank Schedule'!$K$2:$K$825)), ROW(35:35))), "")</f>
        <v/>
      </c>
      <c r="H38" s="55" t="str">
        <f t="array" ref="H38">IFERROR(INDEX('Bank Schedule'!H:H, SMALL(IF('Bank Schedule'!$K$2:$K$825="Vacant", ROW('Bank Schedule'!$K$2:$K$825)), ROW(35:35))), "")</f>
        <v/>
      </c>
      <c r="I38" s="55" t="str">
        <f t="array" ref="I38">IFERROR(INDEX('Bank Schedule'!I:I, SMALL(IF('Bank Schedule'!$K$2:$K$825="Vacant", ROW('Bank Schedule'!$K$2:$K$825)), ROW(35:35))), "")</f>
        <v/>
      </c>
      <c r="J38" s="11" t="str">
        <f t="array" ref="J38">IFERROR(INDEX('Bank Schedule'!K:K, SMALL(IF('Bank Schedule'!$K$2:$K$825="Vacant", ROW('Bank Schedule'!$K$2:$K$825)), ROW(35:35))), "")</f>
        <v/>
      </c>
      <c r="K38" s="11" t="str">
        <f t="array" ref="K38">IFERROR(INDEX('Bank Schedule'!L:L, SMALL(IF('Bank Schedule'!$K$2:$K$825="Vacant", ROW('Bank Schedule'!$K$2:$K$825)), ROW(35:35))), "")</f>
        <v/>
      </c>
      <c r="L38" s="11" t="str">
        <f t="array" ref="L38">IFERROR(INDEX('Bank Schedule'!M:M, SMALL(IF('Bank Schedule'!$K$2:$K$825="Vacant", ROW('Bank Schedule'!$K$2:$K$825)), ROW(35:35))), "")</f>
        <v/>
      </c>
      <c r="M38" s="106" t="str">
        <f t="array" ref="M38">IFERROR(INDEX('Bank Schedule'!N:N, SMALL(IF('Bank Schedule'!$K$2:$K$825="Vacant", ROW('Bank Schedule'!$K$2:$K$825)), ROW(35:35))), "")</f>
        <v/>
      </c>
      <c r="N38" s="11" t="str">
        <f t="array" ref="N38">IFERROR(INDEX('Bank Schedule'!O:O, SMALL(IF('Bank Schedule'!$K$2:$K$825="Vacant", ROW('Bank Schedule'!$K$2:$K$825)), ROW(35:35))), "")</f>
        <v/>
      </c>
      <c r="O38" s="11" t="str">
        <f t="array" ref="O38">IFERROR(INDEX('Bank Schedule'!P:P, SMALL(IF('Bank Schedule'!$K$2:$K$825="Vacant", ROW('Bank Schedule'!$K$2:$K$825)), ROW(35:35))), "")</f>
        <v/>
      </c>
      <c r="P38" s="11" t="str">
        <f t="array" ref="P38">IFERROR(INDEX('Bank Schedule'!Q:Q, SMALL(IF('Bank Schedule'!$K$2:$K$825="Vacant", ROW('Bank Schedule'!$K$2:$K$825)), ROW(35:35))), "")</f>
        <v/>
      </c>
      <c r="Q38" s="11" t="str">
        <f t="array" ref="Q38">IFERROR(INDEX('Bank Schedule'!R:R, SMALL(IF('Bank Schedule'!$K$2:$K$825="Vacant", ROW('Bank Schedule'!$K$2:$K$825)), ROW(35:35))), "")</f>
        <v/>
      </c>
      <c r="R38" s="11" t="str">
        <f t="array" ref="R38">IFERROR(INDEX('Bank Schedule'!S:S, SMALL(IF('Bank Schedule'!$K$2:$K$825="Vacant", ROW('Bank Schedule'!$K$2:$K$825)), ROW(35:35))), "")</f>
        <v/>
      </c>
      <c r="S38" s="320" t="str">
        <f t="array" ref="S38">IFERROR(INDEX('Bank Schedule'!T:T, SMALL(IF('Bank Schedule'!$K$2:$K$825="Vacant", ROW('Bank Schedule'!$K$2:$K$825)), ROW(35:35))), "")</f>
        <v/>
      </c>
      <c r="T38" s="320" t="str">
        <f t="array" ref="T38">IFERROR(INDEX('Bank Schedule'!U:U, SMALL(IF('Bank Schedule'!$K$2:$K$825="Vacant", ROW('Bank Schedule'!$K$2:$K$825)), ROW(35:35))), "")</f>
        <v/>
      </c>
      <c r="U38" s="320" t="str">
        <f t="array" ref="U38">IFERROR(INDEX('Bank Schedule'!V:V, SMALL(IF('Bank Schedule'!$K$2:$K$825="Vacant", ROW('Bank Schedule'!$K$2:$K$825)), ROW(35:35))), "")</f>
        <v/>
      </c>
      <c r="V38" s="320" t="str">
        <f t="array" ref="V38">IFERROR(INDEX('Bank Schedule'!W:W, SMALL(IF('Bank Schedule'!$K$2:$K$825="Vacant", ROW('Bank Schedule'!$K$2:$K$825)), ROW(35:35))), "")</f>
        <v/>
      </c>
      <c r="W38" s="319" t="str">
        <f t="array" ref="W38">IFERROR(INDEX('Bank Schedule'!X:X, SMALL(IF('Bank Schedule'!$K$2:$K$825="Vacant", ROW('Bank Schedule'!$K$2:$K$825)), ROW(35:35))), "")</f>
        <v/>
      </c>
      <c r="X38" s="11" t="str">
        <f t="array" ref="X38">IFERROR(INDEX('Bank Schedule'!Y:Y, SMALL(IF('Bank Schedule'!$K$2:$K$825="Vacant", ROW('Bank Schedule'!$K$2:$K$825)), ROW(35:35))), "")</f>
        <v/>
      </c>
      <c r="Y38" s="11" t="str">
        <f t="array" ref="Y38">IFERROR(INDEX('Bank Schedule'!Z:Z, SMALL(IF('Bank Schedule'!$K$2:$K$825="Vacant", ROW('Bank Schedule'!$K$2:$K$825)), ROW(35:35))), "")</f>
        <v/>
      </c>
      <c r="Z38" s="11" t="str">
        <f t="array" ref="Z38">IFERROR(INDEX('Bank Schedule'!AA:AA, SMALL(IF('Bank Schedule'!$K$2:$K$825="Vacant", ROW('Bank Schedule'!$K$2:$K$825)), ROW(35:35))), "")</f>
        <v/>
      </c>
      <c r="AA38" s="11" t="str">
        <f t="array" ref="AA38">IFERROR(INDEX('Bank Schedule'!AB:AB, SMALL(IF('Bank Schedule'!$K$2:$K$825="Vacant", ROW('Bank Schedule'!$K$2:$K$825)), ROW(35:35))), "")</f>
        <v/>
      </c>
      <c r="AB38" s="25" t="str">
        <f t="array" ref="AB38">IFERROR(INDEX('Bank Schedule'!AC:AC, SMALL(IF('Bank Schedule'!$K$2:$K$825="Vacant", ROW('Bank Schedule'!$K$2:$K$825)), ROW(35:35))), "")</f>
        <v/>
      </c>
      <c r="AC38" s="299" t="str">
        <f t="array" ref="AC38">IFERROR(INDEX('Bank Schedule'!AD:AD, SMALL(IF('Bank Schedule'!$K$2:$K$825="Vacant", ROW('Bank Schedule'!$K$2:$K$825)), ROW(35:35))), "")</f>
        <v/>
      </c>
      <c r="AD38" s="11" t="str">
        <f t="array" ref="AD38">IFERROR(INDEX('Bank Schedule'!AE:AE, SMALL(IF('Bank Schedule'!$K$2:$K$825="Vacant", ROW('Bank Schedule'!$K$2:$K$825)), ROW(35:35))), "")</f>
        <v/>
      </c>
      <c r="AE38" s="11" t="str">
        <f t="array" ref="AE38">IFERROR(INDEX('Bank Schedule'!AF:AF, SMALL(IF('Bank Schedule'!$K$2:$K$825="Vacant", ROW('Bank Schedule'!$K$2:$K$825)), ROW(35:35))), "")</f>
        <v/>
      </c>
      <c r="AF38" s="11" t="str">
        <f t="array" ref="AF38">IFERROR(INDEX('Bank Schedule'!AG:AG, SMALL(IF('Bank Schedule'!$K$2:$K$825="Vacant", ROW('Bank Schedule'!$K$2:$K$825)), ROW(35:35))), "")</f>
        <v/>
      </c>
      <c r="AG38" s="4"/>
    </row>
    <row r="39" spans="1:33" ht="28.5" hidden="1" customHeight="1">
      <c r="A39" s="2" t="str">
        <f t="array" ref="A39">IFERROR(INDEX('Bank Schedule'!A:A, SMALL(IF('Bank Schedule'!$K$2:$K$825="Vacant", ROW('Bank Schedule'!$K$2:$K$825)), ROW(36:36))), "")</f>
        <v/>
      </c>
      <c r="B39" s="11" t="str">
        <f t="array" ref="B39">IFERROR(INDEX('Bank Schedule'!B:B, SMALL(IF('Bank Schedule'!$K$2:$K$825="Vacant", ROW('Bank Schedule'!$K$2:$K$825)), ROW(36:36))), "")</f>
        <v/>
      </c>
      <c r="C39" s="11" t="str">
        <f t="array" ref="C39">IFERROR(INDEX('Bank Schedule'!C:C, SMALL(IF('Bank Schedule'!$K$2:$K$825="Vacant", ROW('Bank Schedule'!$K$2:$K$825)), ROW(36:36))), "")</f>
        <v/>
      </c>
      <c r="D39" s="11" t="str">
        <f t="array" ref="D39">IFERROR(INDEX('Bank Schedule'!D:D, SMALL(IF('Bank Schedule'!$K$2:$K$825="Vacant", ROW('Bank Schedule'!$K$2:$K$825)), ROW(36:36))), "")</f>
        <v/>
      </c>
      <c r="E39" s="25" t="str">
        <f t="array" ref="E39">IFERROR(INDEX('Bank Schedule'!E:E, SMALL(IF('Bank Schedule'!$K$2:$K$825="Vacant", ROW('Bank Schedule'!$K$2:$K$825)), ROW(36:36))), "")</f>
        <v/>
      </c>
      <c r="F39" s="25" t="str">
        <f t="array" ref="F39">IFERROR(INDEX('Bank Schedule'!F:F, SMALL(IF('Bank Schedule'!$K$2:$K$825="Vacant", ROW('Bank Schedule'!$K$2:$K$825)), ROW(36:36))), "")</f>
        <v/>
      </c>
      <c r="G39" s="25" t="str">
        <f t="array" ref="G39">IFERROR(INDEX('Bank Schedule'!G:G, SMALL(IF('Bank Schedule'!$K$2:$K$825="Vacant", ROW('Bank Schedule'!$K$2:$K$825)), ROW(36:36))), "")</f>
        <v/>
      </c>
      <c r="H39" s="55" t="str">
        <f t="array" ref="H39">IFERROR(INDEX('Bank Schedule'!H:H, SMALL(IF('Bank Schedule'!$K$2:$K$825="Vacant", ROW('Bank Schedule'!$K$2:$K$825)), ROW(36:36))), "")</f>
        <v/>
      </c>
      <c r="I39" s="55" t="str">
        <f t="array" ref="I39">IFERROR(INDEX('Bank Schedule'!I:I, SMALL(IF('Bank Schedule'!$K$2:$K$825="Vacant", ROW('Bank Schedule'!$K$2:$K$825)), ROW(36:36))), "")</f>
        <v/>
      </c>
      <c r="J39" s="11" t="str">
        <f t="array" ref="J39">IFERROR(INDEX('Bank Schedule'!K:K, SMALL(IF('Bank Schedule'!$K$2:$K$825="Vacant", ROW('Bank Schedule'!$K$2:$K$825)), ROW(36:36))), "")</f>
        <v/>
      </c>
      <c r="K39" s="11" t="str">
        <f t="array" ref="K39">IFERROR(INDEX('Bank Schedule'!L:L, SMALL(IF('Bank Schedule'!$K$2:$K$825="Vacant", ROW('Bank Schedule'!$K$2:$K$825)), ROW(36:36))), "")</f>
        <v/>
      </c>
      <c r="L39" s="11" t="str">
        <f t="array" ref="L39">IFERROR(INDEX('Bank Schedule'!M:M, SMALL(IF('Bank Schedule'!$K$2:$K$825="Vacant", ROW('Bank Schedule'!$K$2:$K$825)), ROW(36:36))), "")</f>
        <v/>
      </c>
      <c r="M39" s="106" t="str">
        <f t="array" ref="M39">IFERROR(INDEX('Bank Schedule'!N:N, SMALL(IF('Bank Schedule'!$K$2:$K$825="Vacant", ROW('Bank Schedule'!$K$2:$K$825)), ROW(36:36))), "")</f>
        <v/>
      </c>
      <c r="N39" s="11" t="str">
        <f t="array" ref="N39">IFERROR(INDEX('Bank Schedule'!O:O, SMALL(IF('Bank Schedule'!$K$2:$K$825="Vacant", ROW('Bank Schedule'!$K$2:$K$825)), ROW(36:36))), "")</f>
        <v/>
      </c>
      <c r="O39" s="11" t="str">
        <f t="array" ref="O39">IFERROR(INDEX('Bank Schedule'!P:P, SMALL(IF('Bank Schedule'!$K$2:$K$825="Vacant", ROW('Bank Schedule'!$K$2:$K$825)), ROW(36:36))), "")</f>
        <v/>
      </c>
      <c r="P39" s="11" t="str">
        <f t="array" ref="P39">IFERROR(INDEX('Bank Schedule'!Q:Q, SMALL(IF('Bank Schedule'!$K$2:$K$825="Vacant", ROW('Bank Schedule'!$K$2:$K$825)), ROW(36:36))), "")</f>
        <v/>
      </c>
      <c r="Q39" s="11" t="str">
        <f t="array" ref="Q39">IFERROR(INDEX('Bank Schedule'!R:R, SMALL(IF('Bank Schedule'!$K$2:$K$825="Vacant", ROW('Bank Schedule'!$K$2:$K$825)), ROW(36:36))), "")</f>
        <v/>
      </c>
      <c r="R39" s="11" t="str">
        <f t="array" ref="R39">IFERROR(INDEX('Bank Schedule'!S:S, SMALL(IF('Bank Schedule'!$K$2:$K$825="Vacant", ROW('Bank Schedule'!$K$2:$K$825)), ROW(36:36))), "")</f>
        <v/>
      </c>
      <c r="S39" s="320" t="str">
        <f t="array" ref="S39">IFERROR(INDEX('Bank Schedule'!T:T, SMALL(IF('Bank Schedule'!$K$2:$K$825="Vacant", ROW('Bank Schedule'!$K$2:$K$825)), ROW(36:36))), "")</f>
        <v/>
      </c>
      <c r="T39" s="320" t="str">
        <f t="array" ref="T39">IFERROR(INDEX('Bank Schedule'!U:U, SMALL(IF('Bank Schedule'!$K$2:$K$825="Vacant", ROW('Bank Schedule'!$K$2:$K$825)), ROW(36:36))), "")</f>
        <v/>
      </c>
      <c r="U39" s="320" t="str">
        <f t="array" ref="U39">IFERROR(INDEX('Bank Schedule'!V:V, SMALL(IF('Bank Schedule'!$K$2:$K$825="Vacant", ROW('Bank Schedule'!$K$2:$K$825)), ROW(36:36))), "")</f>
        <v/>
      </c>
      <c r="V39" s="320" t="str">
        <f t="array" ref="V39">IFERROR(INDEX('Bank Schedule'!W:W, SMALL(IF('Bank Schedule'!$K$2:$K$825="Vacant", ROW('Bank Schedule'!$K$2:$K$825)), ROW(36:36))), "")</f>
        <v/>
      </c>
      <c r="W39" s="319" t="str">
        <f t="array" ref="W39">IFERROR(INDEX('Bank Schedule'!X:X, SMALL(IF('Bank Schedule'!$K$2:$K$825="Vacant", ROW('Bank Schedule'!$K$2:$K$825)), ROW(36:36))), "")</f>
        <v/>
      </c>
      <c r="X39" s="11" t="str">
        <f t="array" ref="X39">IFERROR(INDEX('Bank Schedule'!Y:Y, SMALL(IF('Bank Schedule'!$K$2:$K$825="Vacant", ROW('Bank Schedule'!$K$2:$K$825)), ROW(36:36))), "")</f>
        <v/>
      </c>
      <c r="Y39" s="11" t="str">
        <f t="array" ref="Y39">IFERROR(INDEX('Bank Schedule'!Z:Z, SMALL(IF('Bank Schedule'!$K$2:$K$825="Vacant", ROW('Bank Schedule'!$K$2:$K$825)), ROW(36:36))), "")</f>
        <v/>
      </c>
      <c r="Z39" s="11" t="str">
        <f t="array" ref="Z39">IFERROR(INDEX('Bank Schedule'!AA:AA, SMALL(IF('Bank Schedule'!$K$2:$K$825="Vacant", ROW('Bank Schedule'!$K$2:$K$825)), ROW(36:36))), "")</f>
        <v/>
      </c>
      <c r="AA39" s="11" t="str">
        <f t="array" ref="AA39">IFERROR(INDEX('Bank Schedule'!AB:AB, SMALL(IF('Bank Schedule'!$K$2:$K$825="Vacant", ROW('Bank Schedule'!$K$2:$K$825)), ROW(36:36))), "")</f>
        <v/>
      </c>
      <c r="AB39" s="25" t="str">
        <f t="array" ref="AB39">IFERROR(INDEX('Bank Schedule'!AC:AC, SMALL(IF('Bank Schedule'!$K$2:$K$825="Vacant", ROW('Bank Schedule'!$K$2:$K$825)), ROW(36:36))), "")</f>
        <v/>
      </c>
      <c r="AC39" s="299" t="str">
        <f t="array" ref="AC39">IFERROR(INDEX('Bank Schedule'!AD:AD, SMALL(IF('Bank Schedule'!$K$2:$K$825="Vacant", ROW('Bank Schedule'!$K$2:$K$825)), ROW(36:36))), "")</f>
        <v/>
      </c>
      <c r="AD39" s="11" t="str">
        <f t="array" ref="AD39">IFERROR(INDEX('Bank Schedule'!AE:AE, SMALL(IF('Bank Schedule'!$K$2:$K$825="Vacant", ROW('Bank Schedule'!$K$2:$K$825)), ROW(36:36))), "")</f>
        <v/>
      </c>
      <c r="AE39" s="11" t="str">
        <f t="array" ref="AE39">IFERROR(INDEX('Bank Schedule'!AF:AF, SMALL(IF('Bank Schedule'!$K$2:$K$825="Vacant", ROW('Bank Schedule'!$K$2:$K$825)), ROW(36:36))), "")</f>
        <v/>
      </c>
      <c r="AF39" s="11" t="str">
        <f t="array" ref="AF39">IFERROR(INDEX('Bank Schedule'!AG:AG, SMALL(IF('Bank Schedule'!$K$2:$K$825="Vacant", ROW('Bank Schedule'!$K$2:$K$825)), ROW(36:36))), "")</f>
        <v/>
      </c>
      <c r="AG39" s="4"/>
    </row>
    <row r="40" spans="1:33" ht="28.5" hidden="1" customHeight="1">
      <c r="A40" s="2" t="str">
        <f t="array" ref="A40">IFERROR(INDEX('Bank Schedule'!A:A, SMALL(IF('Bank Schedule'!$K$2:$K$825="Vacant", ROW('Bank Schedule'!$K$2:$K$825)), ROW(37:37))), "")</f>
        <v/>
      </c>
      <c r="B40" s="11" t="str">
        <f t="array" ref="B40">IFERROR(INDEX('Bank Schedule'!B:B, SMALL(IF('Bank Schedule'!$K$2:$K$825="Vacant", ROW('Bank Schedule'!$K$2:$K$825)), ROW(37:37))), "")</f>
        <v/>
      </c>
      <c r="C40" s="11" t="str">
        <f t="array" ref="C40">IFERROR(INDEX('Bank Schedule'!C:C, SMALL(IF('Bank Schedule'!$K$2:$K$825="Vacant", ROW('Bank Schedule'!$K$2:$K$825)), ROW(37:37))), "")</f>
        <v/>
      </c>
      <c r="D40" s="11" t="str">
        <f t="array" ref="D40">IFERROR(INDEX('Bank Schedule'!D:D, SMALL(IF('Bank Schedule'!$K$2:$K$825="Vacant", ROW('Bank Schedule'!$K$2:$K$825)), ROW(37:37))), "")</f>
        <v/>
      </c>
      <c r="E40" s="25" t="str">
        <f t="array" ref="E40">IFERROR(INDEX('Bank Schedule'!E:E, SMALL(IF('Bank Schedule'!$K$2:$K$825="Vacant", ROW('Bank Schedule'!$K$2:$K$825)), ROW(37:37))), "")</f>
        <v/>
      </c>
      <c r="F40" s="25" t="str">
        <f t="array" ref="F40">IFERROR(INDEX('Bank Schedule'!F:F, SMALL(IF('Bank Schedule'!$K$2:$K$825="Vacant", ROW('Bank Schedule'!$K$2:$K$825)), ROW(37:37))), "")</f>
        <v/>
      </c>
      <c r="G40" s="25" t="str">
        <f t="array" ref="G40">IFERROR(INDEX('Bank Schedule'!G:G, SMALL(IF('Bank Schedule'!$K$2:$K$825="Vacant", ROW('Bank Schedule'!$K$2:$K$825)), ROW(37:37))), "")</f>
        <v/>
      </c>
      <c r="H40" s="55" t="str">
        <f t="array" ref="H40">IFERROR(INDEX('Bank Schedule'!H:H, SMALL(IF('Bank Schedule'!$K$2:$K$825="Vacant", ROW('Bank Schedule'!$K$2:$K$825)), ROW(37:37))), "")</f>
        <v/>
      </c>
      <c r="I40" s="55" t="str">
        <f t="array" ref="I40">IFERROR(INDEX('Bank Schedule'!I:I, SMALL(IF('Bank Schedule'!$K$2:$K$825="Vacant", ROW('Bank Schedule'!$K$2:$K$825)), ROW(37:37))), "")</f>
        <v/>
      </c>
      <c r="J40" s="11" t="str">
        <f t="array" ref="J40">IFERROR(INDEX('Bank Schedule'!K:K, SMALL(IF('Bank Schedule'!$K$2:$K$825="Vacant", ROW('Bank Schedule'!$K$2:$K$825)), ROW(37:37))), "")</f>
        <v/>
      </c>
      <c r="K40" s="11" t="str">
        <f t="array" ref="K40">IFERROR(INDEX('Bank Schedule'!L:L, SMALL(IF('Bank Schedule'!$K$2:$K$825="Vacant", ROW('Bank Schedule'!$K$2:$K$825)), ROW(37:37))), "")</f>
        <v/>
      </c>
      <c r="L40" s="11" t="str">
        <f t="array" ref="L40">IFERROR(INDEX('Bank Schedule'!M:M, SMALL(IF('Bank Schedule'!$K$2:$K$825="Vacant", ROW('Bank Schedule'!$K$2:$K$825)), ROW(37:37))), "")</f>
        <v/>
      </c>
      <c r="M40" s="106" t="str">
        <f t="array" ref="M40">IFERROR(INDEX('Bank Schedule'!N:N, SMALL(IF('Bank Schedule'!$K$2:$K$825="Vacant", ROW('Bank Schedule'!$K$2:$K$825)), ROW(37:37))), "")</f>
        <v/>
      </c>
      <c r="N40" s="11" t="str">
        <f t="array" ref="N40">IFERROR(INDEX('Bank Schedule'!O:O, SMALL(IF('Bank Schedule'!$K$2:$K$825="Vacant", ROW('Bank Schedule'!$K$2:$K$825)), ROW(37:37))), "")</f>
        <v/>
      </c>
      <c r="O40" s="11" t="str">
        <f t="array" ref="O40">IFERROR(INDEX('Bank Schedule'!P:P, SMALL(IF('Bank Schedule'!$K$2:$K$825="Vacant", ROW('Bank Schedule'!$K$2:$K$825)), ROW(37:37))), "")</f>
        <v/>
      </c>
      <c r="P40" s="11" t="str">
        <f t="array" ref="P40">IFERROR(INDEX('Bank Schedule'!Q:Q, SMALL(IF('Bank Schedule'!$K$2:$K$825="Vacant", ROW('Bank Schedule'!$K$2:$K$825)), ROW(37:37))), "")</f>
        <v/>
      </c>
      <c r="Q40" s="11" t="str">
        <f t="array" ref="Q40">IFERROR(INDEX('Bank Schedule'!R:R, SMALL(IF('Bank Schedule'!$K$2:$K$825="Vacant", ROW('Bank Schedule'!$K$2:$K$825)), ROW(37:37))), "")</f>
        <v/>
      </c>
      <c r="R40" s="11" t="str">
        <f t="array" ref="R40">IFERROR(INDEX('Bank Schedule'!S:S, SMALL(IF('Bank Schedule'!$K$2:$K$825="Vacant", ROW('Bank Schedule'!$K$2:$K$825)), ROW(37:37))), "")</f>
        <v/>
      </c>
      <c r="S40" s="320" t="str">
        <f t="array" ref="S40">IFERROR(INDEX('Bank Schedule'!T:T, SMALL(IF('Bank Schedule'!$K$2:$K$825="Vacant", ROW('Bank Schedule'!$K$2:$K$825)), ROW(37:37))), "")</f>
        <v/>
      </c>
      <c r="T40" s="320" t="str">
        <f t="array" ref="T40">IFERROR(INDEX('Bank Schedule'!U:U, SMALL(IF('Bank Schedule'!$K$2:$K$825="Vacant", ROW('Bank Schedule'!$K$2:$K$825)), ROW(37:37))), "")</f>
        <v/>
      </c>
      <c r="U40" s="320" t="str">
        <f t="array" ref="U40">IFERROR(INDEX('Bank Schedule'!V:V, SMALL(IF('Bank Schedule'!$K$2:$K$825="Vacant", ROW('Bank Schedule'!$K$2:$K$825)), ROW(37:37))), "")</f>
        <v/>
      </c>
      <c r="V40" s="320" t="str">
        <f t="array" ref="V40">IFERROR(INDEX('Bank Schedule'!W:W, SMALL(IF('Bank Schedule'!$K$2:$K$825="Vacant", ROW('Bank Schedule'!$K$2:$K$825)), ROW(37:37))), "")</f>
        <v/>
      </c>
      <c r="W40" s="319" t="str">
        <f t="array" ref="W40">IFERROR(INDEX('Bank Schedule'!X:X, SMALL(IF('Bank Schedule'!$K$2:$K$825="Vacant", ROW('Bank Schedule'!$K$2:$K$825)), ROW(37:37))), "")</f>
        <v/>
      </c>
      <c r="X40" s="11" t="str">
        <f t="array" ref="X40">IFERROR(INDEX('Bank Schedule'!Y:Y, SMALL(IF('Bank Schedule'!$K$2:$K$825="Vacant", ROW('Bank Schedule'!$K$2:$K$825)), ROW(37:37))), "")</f>
        <v/>
      </c>
      <c r="Y40" s="11" t="str">
        <f t="array" ref="Y40">IFERROR(INDEX('Bank Schedule'!Z:Z, SMALL(IF('Bank Schedule'!$K$2:$K$825="Vacant", ROW('Bank Schedule'!$K$2:$K$825)), ROW(37:37))), "")</f>
        <v/>
      </c>
      <c r="Z40" s="11" t="str">
        <f t="array" ref="Z40">IFERROR(INDEX('Bank Schedule'!AA:AA, SMALL(IF('Bank Schedule'!$K$2:$K$825="Vacant", ROW('Bank Schedule'!$K$2:$K$825)), ROW(37:37))), "")</f>
        <v/>
      </c>
      <c r="AA40" s="11" t="str">
        <f t="array" ref="AA40">IFERROR(INDEX('Bank Schedule'!AB:AB, SMALL(IF('Bank Schedule'!$K$2:$K$825="Vacant", ROW('Bank Schedule'!$K$2:$K$825)), ROW(37:37))), "")</f>
        <v/>
      </c>
      <c r="AB40" s="25" t="str">
        <f t="array" ref="AB40">IFERROR(INDEX('Bank Schedule'!AC:AC, SMALL(IF('Bank Schedule'!$K$2:$K$825="Vacant", ROW('Bank Schedule'!$K$2:$K$825)), ROW(37:37))), "")</f>
        <v/>
      </c>
      <c r="AC40" s="299" t="str">
        <f t="array" ref="AC40">IFERROR(INDEX('Bank Schedule'!AD:AD, SMALL(IF('Bank Schedule'!$K$2:$K$825="Vacant", ROW('Bank Schedule'!$K$2:$K$825)), ROW(37:37))), "")</f>
        <v/>
      </c>
      <c r="AD40" s="11" t="str">
        <f t="array" ref="AD40">IFERROR(INDEX('Bank Schedule'!AE:AE, SMALL(IF('Bank Schedule'!$K$2:$K$825="Vacant", ROW('Bank Schedule'!$K$2:$K$825)), ROW(37:37))), "")</f>
        <v/>
      </c>
      <c r="AE40" s="11" t="str">
        <f t="array" ref="AE40">IFERROR(INDEX('Bank Schedule'!AF:AF, SMALL(IF('Bank Schedule'!$K$2:$K$825="Vacant", ROW('Bank Schedule'!$K$2:$K$825)), ROW(37:37))), "")</f>
        <v/>
      </c>
      <c r="AF40" s="11" t="str">
        <f t="array" ref="AF40">IFERROR(INDEX('Bank Schedule'!AG:AG, SMALL(IF('Bank Schedule'!$K$2:$K$825="Vacant", ROW('Bank Schedule'!$K$2:$K$825)), ROW(37:37))), "")</f>
        <v/>
      </c>
      <c r="AG40" s="4"/>
    </row>
    <row r="41" spans="1:33" ht="28.5" hidden="1" customHeight="1">
      <c r="A41" s="2" t="str">
        <f t="array" ref="A41">IFERROR(INDEX('Bank Schedule'!A:A, SMALL(IF('Bank Schedule'!$K$2:$K$825="Vacant", ROW('Bank Schedule'!$K$2:$K$825)), ROW(38:38))), "")</f>
        <v/>
      </c>
      <c r="B41" s="11" t="str">
        <f t="array" ref="B41">IFERROR(INDEX('Bank Schedule'!B:B, SMALL(IF('Bank Schedule'!$K$2:$K$825="Vacant", ROW('Bank Schedule'!$K$2:$K$825)), ROW(38:38))), "")</f>
        <v/>
      </c>
      <c r="C41" s="11" t="str">
        <f t="array" ref="C41">IFERROR(INDEX('Bank Schedule'!C:C, SMALL(IF('Bank Schedule'!$K$2:$K$825="Vacant", ROW('Bank Schedule'!$K$2:$K$825)), ROW(38:38))), "")</f>
        <v/>
      </c>
      <c r="D41" s="11" t="str">
        <f t="array" ref="D41">IFERROR(INDEX('Bank Schedule'!D:D, SMALL(IF('Bank Schedule'!$K$2:$K$825="Vacant", ROW('Bank Schedule'!$K$2:$K$825)), ROW(38:38))), "")</f>
        <v/>
      </c>
      <c r="E41" s="25" t="str">
        <f t="array" ref="E41">IFERROR(INDEX('Bank Schedule'!E:E, SMALL(IF('Bank Schedule'!$K$2:$K$825="Vacant", ROW('Bank Schedule'!$K$2:$K$825)), ROW(38:38))), "")</f>
        <v/>
      </c>
      <c r="F41" s="25" t="str">
        <f t="array" ref="F41">IFERROR(INDEX('Bank Schedule'!F:F, SMALL(IF('Bank Schedule'!$K$2:$K$825="Vacant", ROW('Bank Schedule'!$K$2:$K$825)), ROW(38:38))), "")</f>
        <v/>
      </c>
      <c r="G41" s="25" t="str">
        <f t="array" ref="G41">IFERROR(INDEX('Bank Schedule'!G:G, SMALL(IF('Bank Schedule'!$K$2:$K$825="Vacant", ROW('Bank Schedule'!$K$2:$K$825)), ROW(38:38))), "")</f>
        <v/>
      </c>
      <c r="H41" s="55" t="str">
        <f t="array" ref="H41">IFERROR(INDEX('Bank Schedule'!H:H, SMALL(IF('Bank Schedule'!$K$2:$K$825="Vacant", ROW('Bank Schedule'!$K$2:$K$825)), ROW(38:38))), "")</f>
        <v/>
      </c>
      <c r="I41" s="55" t="str">
        <f t="array" ref="I41">IFERROR(INDEX('Bank Schedule'!I:I, SMALL(IF('Bank Schedule'!$K$2:$K$825="Vacant", ROW('Bank Schedule'!$K$2:$K$825)), ROW(38:38))), "")</f>
        <v/>
      </c>
      <c r="J41" s="11" t="str">
        <f t="array" ref="J41">IFERROR(INDEX('Bank Schedule'!K:K, SMALL(IF('Bank Schedule'!$K$2:$K$825="Vacant", ROW('Bank Schedule'!$K$2:$K$825)), ROW(38:38))), "")</f>
        <v/>
      </c>
      <c r="K41" s="11" t="str">
        <f t="array" ref="K41">IFERROR(INDEX('Bank Schedule'!L:L, SMALL(IF('Bank Schedule'!$K$2:$K$825="Vacant", ROW('Bank Schedule'!$K$2:$K$825)), ROW(38:38))), "")</f>
        <v/>
      </c>
      <c r="L41" s="11" t="str">
        <f t="array" ref="L41">IFERROR(INDEX('Bank Schedule'!M:M, SMALL(IF('Bank Schedule'!$K$2:$K$825="Vacant", ROW('Bank Schedule'!$K$2:$K$825)), ROW(38:38))), "")</f>
        <v/>
      </c>
      <c r="M41" s="106" t="str">
        <f t="array" ref="M41">IFERROR(INDEX('Bank Schedule'!N:N, SMALL(IF('Bank Schedule'!$K$2:$K$825="Vacant", ROW('Bank Schedule'!$K$2:$K$825)), ROW(38:38))), "")</f>
        <v/>
      </c>
      <c r="N41" s="11" t="str">
        <f t="array" ref="N41">IFERROR(INDEX('Bank Schedule'!O:O, SMALL(IF('Bank Schedule'!$K$2:$K$825="Vacant", ROW('Bank Schedule'!$K$2:$K$825)), ROW(38:38))), "")</f>
        <v/>
      </c>
      <c r="O41" s="11" t="str">
        <f t="array" ref="O41">IFERROR(INDEX('Bank Schedule'!P:P, SMALL(IF('Bank Schedule'!$K$2:$K$825="Vacant", ROW('Bank Schedule'!$K$2:$K$825)), ROW(38:38))), "")</f>
        <v/>
      </c>
      <c r="P41" s="11" t="str">
        <f t="array" ref="P41">IFERROR(INDEX('Bank Schedule'!Q:Q, SMALL(IF('Bank Schedule'!$K$2:$K$825="Vacant", ROW('Bank Schedule'!$K$2:$K$825)), ROW(38:38))), "")</f>
        <v/>
      </c>
      <c r="Q41" s="11" t="str">
        <f t="array" ref="Q41">IFERROR(INDEX('Bank Schedule'!R:R, SMALL(IF('Bank Schedule'!$K$2:$K$825="Vacant", ROW('Bank Schedule'!$K$2:$K$825)), ROW(38:38))), "")</f>
        <v/>
      </c>
      <c r="R41" s="11" t="str">
        <f t="array" ref="R41">IFERROR(INDEX('Bank Schedule'!S:S, SMALL(IF('Bank Schedule'!$K$2:$K$825="Vacant", ROW('Bank Schedule'!$K$2:$K$825)), ROW(38:38))), "")</f>
        <v/>
      </c>
      <c r="S41" s="320" t="str">
        <f t="array" ref="S41">IFERROR(INDEX('Bank Schedule'!T:T, SMALL(IF('Bank Schedule'!$K$2:$K$825="Vacant", ROW('Bank Schedule'!$K$2:$K$825)), ROW(38:38))), "")</f>
        <v/>
      </c>
      <c r="T41" s="320" t="str">
        <f t="array" ref="T41">IFERROR(INDEX('Bank Schedule'!U:U, SMALL(IF('Bank Schedule'!$K$2:$K$825="Vacant", ROW('Bank Schedule'!$K$2:$K$825)), ROW(38:38))), "")</f>
        <v/>
      </c>
      <c r="U41" s="320" t="str">
        <f t="array" ref="U41">IFERROR(INDEX('Bank Schedule'!V:V, SMALL(IF('Bank Schedule'!$K$2:$K$825="Vacant", ROW('Bank Schedule'!$K$2:$K$825)), ROW(38:38))), "")</f>
        <v/>
      </c>
      <c r="V41" s="320" t="str">
        <f t="array" ref="V41">IFERROR(INDEX('Bank Schedule'!W:W, SMALL(IF('Bank Schedule'!$K$2:$K$825="Vacant", ROW('Bank Schedule'!$K$2:$K$825)), ROW(38:38))), "")</f>
        <v/>
      </c>
      <c r="W41" s="319" t="str">
        <f t="array" ref="W41">IFERROR(INDEX('Bank Schedule'!X:X, SMALL(IF('Bank Schedule'!$K$2:$K$825="Vacant", ROW('Bank Schedule'!$K$2:$K$825)), ROW(38:38))), "")</f>
        <v/>
      </c>
      <c r="X41" s="11" t="str">
        <f t="array" ref="X41">IFERROR(INDEX('Bank Schedule'!Y:Y, SMALL(IF('Bank Schedule'!$K$2:$K$825="Vacant", ROW('Bank Schedule'!$K$2:$K$825)), ROW(38:38))), "")</f>
        <v/>
      </c>
      <c r="Y41" s="11" t="str">
        <f t="array" ref="Y41">IFERROR(INDEX('Bank Schedule'!Z:Z, SMALL(IF('Bank Schedule'!$K$2:$K$825="Vacant", ROW('Bank Schedule'!$K$2:$K$825)), ROW(38:38))), "")</f>
        <v/>
      </c>
      <c r="Z41" s="11" t="str">
        <f t="array" ref="Z41">IFERROR(INDEX('Bank Schedule'!AA:AA, SMALL(IF('Bank Schedule'!$K$2:$K$825="Vacant", ROW('Bank Schedule'!$K$2:$K$825)), ROW(38:38))), "")</f>
        <v/>
      </c>
      <c r="AA41" s="11" t="str">
        <f t="array" ref="AA41">IFERROR(INDEX('Bank Schedule'!AB:AB, SMALL(IF('Bank Schedule'!$K$2:$K$825="Vacant", ROW('Bank Schedule'!$K$2:$K$825)), ROW(38:38))), "")</f>
        <v/>
      </c>
      <c r="AB41" s="25" t="str">
        <f t="array" ref="AB41">IFERROR(INDEX('Bank Schedule'!AC:AC, SMALL(IF('Bank Schedule'!$K$2:$K$825="Vacant", ROW('Bank Schedule'!$K$2:$K$825)), ROW(38:38))), "")</f>
        <v/>
      </c>
      <c r="AC41" s="299" t="str">
        <f t="array" ref="AC41">IFERROR(INDEX('Bank Schedule'!AD:AD, SMALL(IF('Bank Schedule'!$K$2:$K$825="Vacant", ROW('Bank Schedule'!$K$2:$K$825)), ROW(38:38))), "")</f>
        <v/>
      </c>
      <c r="AD41" s="11" t="str">
        <f t="array" ref="AD41">IFERROR(INDEX('Bank Schedule'!AE:AE, SMALL(IF('Bank Schedule'!$K$2:$K$825="Vacant", ROW('Bank Schedule'!$K$2:$K$825)), ROW(38:38))), "")</f>
        <v/>
      </c>
      <c r="AE41" s="11" t="str">
        <f t="array" ref="AE41">IFERROR(INDEX('Bank Schedule'!AF:AF, SMALL(IF('Bank Schedule'!$K$2:$K$825="Vacant", ROW('Bank Schedule'!$K$2:$K$825)), ROW(38:38))), "")</f>
        <v/>
      </c>
      <c r="AF41" s="11" t="str">
        <f t="array" ref="AF41">IFERROR(INDEX('Bank Schedule'!AG:AG, SMALL(IF('Bank Schedule'!$K$2:$K$825="Vacant", ROW('Bank Schedule'!$K$2:$K$825)), ROW(38:38))), "")</f>
        <v/>
      </c>
      <c r="AG41" s="4"/>
    </row>
    <row r="42" spans="1:33" ht="28.5" hidden="1" customHeight="1">
      <c r="A42" s="2" t="str">
        <f t="array" ref="A42">IFERROR(INDEX('Bank Schedule'!A:A, SMALL(IF('Bank Schedule'!$K$2:$K$825="Vacant", ROW('Bank Schedule'!$K$2:$K$825)), ROW(39:39))), "")</f>
        <v/>
      </c>
      <c r="B42" s="11" t="str">
        <f t="array" ref="B42">IFERROR(INDEX('Bank Schedule'!B:B, SMALL(IF('Bank Schedule'!$K$2:$K$825="Vacant", ROW('Bank Schedule'!$K$2:$K$825)), ROW(39:39))), "")</f>
        <v/>
      </c>
      <c r="C42" s="11" t="str">
        <f t="array" ref="C42">IFERROR(INDEX('Bank Schedule'!C:C, SMALL(IF('Bank Schedule'!$K$2:$K$825="Vacant", ROW('Bank Schedule'!$K$2:$K$825)), ROW(39:39))), "")</f>
        <v/>
      </c>
      <c r="D42" s="11" t="str">
        <f t="array" ref="D42">IFERROR(INDEX('Bank Schedule'!D:D, SMALL(IF('Bank Schedule'!$K$2:$K$825="Vacant", ROW('Bank Schedule'!$K$2:$K$825)), ROW(39:39))), "")</f>
        <v/>
      </c>
      <c r="E42" s="25" t="str">
        <f t="array" ref="E42">IFERROR(INDEX('Bank Schedule'!E:E, SMALL(IF('Bank Schedule'!$K$2:$K$825="Vacant", ROW('Bank Schedule'!$K$2:$K$825)), ROW(39:39))), "")</f>
        <v/>
      </c>
      <c r="F42" s="25" t="str">
        <f t="array" ref="F42">IFERROR(INDEX('Bank Schedule'!F:F, SMALL(IF('Bank Schedule'!$K$2:$K$825="Vacant", ROW('Bank Schedule'!$K$2:$K$825)), ROW(39:39))), "")</f>
        <v/>
      </c>
      <c r="G42" s="25" t="str">
        <f t="array" ref="G42">IFERROR(INDEX('Bank Schedule'!G:G, SMALL(IF('Bank Schedule'!$K$2:$K$825="Vacant", ROW('Bank Schedule'!$K$2:$K$825)), ROW(39:39))), "")</f>
        <v/>
      </c>
      <c r="H42" s="55" t="str">
        <f t="array" ref="H42">IFERROR(INDEX('Bank Schedule'!H:H, SMALL(IF('Bank Schedule'!$K$2:$K$825="Vacant", ROW('Bank Schedule'!$K$2:$K$825)), ROW(39:39))), "")</f>
        <v/>
      </c>
      <c r="I42" s="55" t="str">
        <f t="array" ref="I42">IFERROR(INDEX('Bank Schedule'!I:I, SMALL(IF('Bank Schedule'!$K$2:$K$825="Vacant", ROW('Bank Schedule'!$K$2:$K$825)), ROW(39:39))), "")</f>
        <v/>
      </c>
      <c r="J42" s="11" t="str">
        <f t="array" ref="J42">IFERROR(INDEX('Bank Schedule'!K:K, SMALL(IF('Bank Schedule'!$K$2:$K$825="Vacant", ROW('Bank Schedule'!$K$2:$K$825)), ROW(39:39))), "")</f>
        <v/>
      </c>
      <c r="K42" s="11" t="str">
        <f t="array" ref="K42">IFERROR(INDEX('Bank Schedule'!L:L, SMALL(IF('Bank Schedule'!$K$2:$K$825="Vacant", ROW('Bank Schedule'!$K$2:$K$825)), ROW(39:39))), "")</f>
        <v/>
      </c>
      <c r="L42" s="11" t="str">
        <f t="array" ref="L42">IFERROR(INDEX('Bank Schedule'!M:M, SMALL(IF('Bank Schedule'!$K$2:$K$825="Vacant", ROW('Bank Schedule'!$K$2:$K$825)), ROW(39:39))), "")</f>
        <v/>
      </c>
      <c r="M42" s="106" t="str">
        <f t="array" ref="M42">IFERROR(INDEX('Bank Schedule'!N:N, SMALL(IF('Bank Schedule'!$K$2:$K$825="Vacant", ROW('Bank Schedule'!$K$2:$K$825)), ROW(39:39))), "")</f>
        <v/>
      </c>
      <c r="N42" s="11" t="str">
        <f t="array" ref="N42">IFERROR(INDEX('Bank Schedule'!O:O, SMALL(IF('Bank Schedule'!$K$2:$K$825="Vacant", ROW('Bank Schedule'!$K$2:$K$825)), ROW(39:39))), "")</f>
        <v/>
      </c>
      <c r="O42" s="11" t="str">
        <f t="array" ref="O42">IFERROR(INDEX('Bank Schedule'!P:P, SMALL(IF('Bank Schedule'!$K$2:$K$825="Vacant", ROW('Bank Schedule'!$K$2:$K$825)), ROW(39:39))), "")</f>
        <v/>
      </c>
      <c r="P42" s="11" t="str">
        <f t="array" ref="P42">IFERROR(INDEX('Bank Schedule'!Q:Q, SMALL(IF('Bank Schedule'!$K$2:$K$825="Vacant", ROW('Bank Schedule'!$K$2:$K$825)), ROW(39:39))), "")</f>
        <v/>
      </c>
      <c r="Q42" s="11" t="str">
        <f t="array" ref="Q42">IFERROR(INDEX('Bank Schedule'!R:R, SMALL(IF('Bank Schedule'!$K$2:$K$825="Vacant", ROW('Bank Schedule'!$K$2:$K$825)), ROW(39:39))), "")</f>
        <v/>
      </c>
      <c r="R42" s="11" t="str">
        <f t="array" ref="R42">IFERROR(INDEX('Bank Schedule'!S:S, SMALL(IF('Bank Schedule'!$K$2:$K$825="Vacant", ROW('Bank Schedule'!$K$2:$K$825)), ROW(39:39))), "")</f>
        <v/>
      </c>
      <c r="S42" s="320" t="str">
        <f t="array" ref="S42">IFERROR(INDEX('Bank Schedule'!T:T, SMALL(IF('Bank Schedule'!$K$2:$K$825="Vacant", ROW('Bank Schedule'!$K$2:$K$825)), ROW(39:39))), "")</f>
        <v/>
      </c>
      <c r="T42" s="320" t="str">
        <f t="array" ref="T42">IFERROR(INDEX('Bank Schedule'!U:U, SMALL(IF('Bank Schedule'!$K$2:$K$825="Vacant", ROW('Bank Schedule'!$K$2:$K$825)), ROW(39:39))), "")</f>
        <v/>
      </c>
      <c r="U42" s="320" t="str">
        <f t="array" ref="U42">IFERROR(INDEX('Bank Schedule'!V:V, SMALL(IF('Bank Schedule'!$K$2:$K$825="Vacant", ROW('Bank Schedule'!$K$2:$K$825)), ROW(39:39))), "")</f>
        <v/>
      </c>
      <c r="V42" s="320" t="str">
        <f t="array" ref="V42">IFERROR(INDEX('Bank Schedule'!W:W, SMALL(IF('Bank Schedule'!$K$2:$K$825="Vacant", ROW('Bank Schedule'!$K$2:$K$825)), ROW(39:39))), "")</f>
        <v/>
      </c>
      <c r="W42" s="319" t="str">
        <f t="array" ref="W42">IFERROR(INDEX('Bank Schedule'!X:X, SMALL(IF('Bank Schedule'!$K$2:$K$825="Vacant", ROW('Bank Schedule'!$K$2:$K$825)), ROW(39:39))), "")</f>
        <v/>
      </c>
      <c r="X42" s="11" t="str">
        <f t="array" ref="X42">IFERROR(INDEX('Bank Schedule'!Y:Y, SMALL(IF('Bank Schedule'!$K$2:$K$825="Vacant", ROW('Bank Schedule'!$K$2:$K$825)), ROW(39:39))), "")</f>
        <v/>
      </c>
      <c r="Y42" s="11" t="str">
        <f t="array" ref="Y42">IFERROR(INDEX('Bank Schedule'!Z:Z, SMALL(IF('Bank Schedule'!$K$2:$K$825="Vacant", ROW('Bank Schedule'!$K$2:$K$825)), ROW(39:39))), "")</f>
        <v/>
      </c>
      <c r="Z42" s="11" t="str">
        <f t="array" ref="Z42">IFERROR(INDEX('Bank Schedule'!AA:AA, SMALL(IF('Bank Schedule'!$K$2:$K$825="Vacant", ROW('Bank Schedule'!$K$2:$K$825)), ROW(39:39))), "")</f>
        <v/>
      </c>
      <c r="AA42" s="11" t="str">
        <f t="array" ref="AA42">IFERROR(INDEX('Bank Schedule'!AB:AB, SMALL(IF('Bank Schedule'!$K$2:$K$825="Vacant", ROW('Bank Schedule'!$K$2:$K$825)), ROW(39:39))), "")</f>
        <v/>
      </c>
      <c r="AB42" s="25" t="str">
        <f t="array" ref="AB42">IFERROR(INDEX('Bank Schedule'!AC:AC, SMALL(IF('Bank Schedule'!$K$2:$K$825="Vacant", ROW('Bank Schedule'!$K$2:$K$825)), ROW(39:39))), "")</f>
        <v/>
      </c>
      <c r="AC42" s="299" t="str">
        <f t="array" ref="AC42">IFERROR(INDEX('Bank Schedule'!AD:AD, SMALL(IF('Bank Schedule'!$K$2:$K$825="Vacant", ROW('Bank Schedule'!$K$2:$K$825)), ROW(39:39))), "")</f>
        <v/>
      </c>
      <c r="AD42" s="11" t="str">
        <f t="array" ref="AD42">IFERROR(INDEX('Bank Schedule'!AE:AE, SMALL(IF('Bank Schedule'!$K$2:$K$825="Vacant", ROW('Bank Schedule'!$K$2:$K$825)), ROW(39:39))), "")</f>
        <v/>
      </c>
      <c r="AE42" s="11" t="str">
        <f t="array" ref="AE42">IFERROR(INDEX('Bank Schedule'!AF:AF, SMALL(IF('Bank Schedule'!$K$2:$K$825="Vacant", ROW('Bank Schedule'!$K$2:$K$825)), ROW(39:39))), "")</f>
        <v/>
      </c>
      <c r="AF42" s="11" t="str">
        <f t="array" ref="AF42">IFERROR(INDEX('Bank Schedule'!AG:AG, SMALL(IF('Bank Schedule'!$K$2:$K$825="Vacant", ROW('Bank Schedule'!$K$2:$K$825)), ROW(39:39))), "")</f>
        <v/>
      </c>
      <c r="AG42" s="4"/>
    </row>
    <row r="43" spans="1:33" ht="28.5" hidden="1" customHeight="1">
      <c r="A43" s="2" t="str">
        <f t="array" ref="A43">IFERROR(INDEX('Bank Schedule'!A:A, SMALL(IF('Bank Schedule'!$K$2:$K$825="Vacant", ROW('Bank Schedule'!$K$2:$K$825)), ROW(40:40))), "")</f>
        <v/>
      </c>
      <c r="B43" s="11" t="str">
        <f t="array" ref="B43">IFERROR(INDEX('Bank Schedule'!B:B, SMALL(IF('Bank Schedule'!$K$2:$K$825="Vacant", ROW('Bank Schedule'!$K$2:$K$825)), ROW(40:40))), "")</f>
        <v/>
      </c>
      <c r="C43" s="11" t="str">
        <f t="array" ref="C43">IFERROR(INDEX('Bank Schedule'!C:C, SMALL(IF('Bank Schedule'!$K$2:$K$825="Vacant", ROW('Bank Schedule'!$K$2:$K$825)), ROW(40:40))), "")</f>
        <v/>
      </c>
      <c r="D43" s="11" t="str">
        <f t="array" ref="D43">IFERROR(INDEX('Bank Schedule'!D:D, SMALL(IF('Bank Schedule'!$K$2:$K$825="Vacant", ROW('Bank Schedule'!$K$2:$K$825)), ROW(40:40))), "")</f>
        <v/>
      </c>
      <c r="E43" s="25" t="str">
        <f t="array" ref="E43">IFERROR(INDEX('Bank Schedule'!E:E, SMALL(IF('Bank Schedule'!$K$2:$K$825="Vacant", ROW('Bank Schedule'!$K$2:$K$825)), ROW(40:40))), "")</f>
        <v/>
      </c>
      <c r="F43" s="25" t="str">
        <f t="array" ref="F43">IFERROR(INDEX('Bank Schedule'!F:F, SMALL(IF('Bank Schedule'!$K$2:$K$825="Vacant", ROW('Bank Schedule'!$K$2:$K$825)), ROW(40:40))), "")</f>
        <v/>
      </c>
      <c r="G43" s="25" t="str">
        <f t="array" ref="G43">IFERROR(INDEX('Bank Schedule'!G:G, SMALL(IF('Bank Schedule'!$K$2:$K$825="Vacant", ROW('Bank Schedule'!$K$2:$K$825)), ROW(40:40))), "")</f>
        <v/>
      </c>
      <c r="H43" s="55" t="str">
        <f t="array" ref="H43">IFERROR(INDEX('Bank Schedule'!H:H, SMALL(IF('Bank Schedule'!$K$2:$K$825="Vacant", ROW('Bank Schedule'!$K$2:$K$825)), ROW(40:40))), "")</f>
        <v/>
      </c>
      <c r="I43" s="55" t="str">
        <f t="array" ref="I43">IFERROR(INDEX('Bank Schedule'!I:I, SMALL(IF('Bank Schedule'!$K$2:$K$825="Vacant", ROW('Bank Schedule'!$K$2:$K$825)), ROW(40:40))), "")</f>
        <v/>
      </c>
      <c r="J43" s="11" t="str">
        <f t="array" ref="J43">IFERROR(INDEX('Bank Schedule'!K:K, SMALL(IF('Bank Schedule'!$K$2:$K$825="Vacant", ROW('Bank Schedule'!$K$2:$K$825)), ROW(40:40))), "")</f>
        <v/>
      </c>
      <c r="K43" s="11" t="str">
        <f t="array" ref="K43">IFERROR(INDEX('Bank Schedule'!L:L, SMALL(IF('Bank Schedule'!$K$2:$K$825="Vacant", ROW('Bank Schedule'!$K$2:$K$825)), ROW(40:40))), "")</f>
        <v/>
      </c>
      <c r="L43" s="11" t="str">
        <f t="array" ref="L43">IFERROR(INDEX('Bank Schedule'!M:M, SMALL(IF('Bank Schedule'!$K$2:$K$825="Vacant", ROW('Bank Schedule'!$K$2:$K$825)), ROW(40:40))), "")</f>
        <v/>
      </c>
      <c r="M43" s="106" t="str">
        <f t="array" ref="M43">IFERROR(INDEX('Bank Schedule'!N:N, SMALL(IF('Bank Schedule'!$K$2:$K$825="Vacant", ROW('Bank Schedule'!$K$2:$K$825)), ROW(40:40))), "")</f>
        <v/>
      </c>
      <c r="N43" s="11" t="str">
        <f t="array" ref="N43">IFERROR(INDEX('Bank Schedule'!O:O, SMALL(IF('Bank Schedule'!$K$2:$K$825="Vacant", ROW('Bank Schedule'!$K$2:$K$825)), ROW(40:40))), "")</f>
        <v/>
      </c>
      <c r="O43" s="11" t="str">
        <f t="array" ref="O43">IFERROR(INDEX('Bank Schedule'!P:P, SMALL(IF('Bank Schedule'!$K$2:$K$825="Vacant", ROW('Bank Schedule'!$K$2:$K$825)), ROW(40:40))), "")</f>
        <v/>
      </c>
      <c r="P43" s="11" t="str">
        <f t="array" ref="P43">IFERROR(INDEX('Bank Schedule'!Q:Q, SMALL(IF('Bank Schedule'!$K$2:$K$825="Vacant", ROW('Bank Schedule'!$K$2:$K$825)), ROW(40:40))), "")</f>
        <v/>
      </c>
      <c r="Q43" s="11" t="str">
        <f t="array" ref="Q43">IFERROR(INDEX('Bank Schedule'!R:R, SMALL(IF('Bank Schedule'!$K$2:$K$825="Vacant", ROW('Bank Schedule'!$K$2:$K$825)), ROW(40:40))), "")</f>
        <v/>
      </c>
      <c r="R43" s="11" t="str">
        <f t="array" ref="R43">IFERROR(INDEX('Bank Schedule'!S:S, SMALL(IF('Bank Schedule'!$K$2:$K$825="Vacant", ROW('Bank Schedule'!$K$2:$K$825)), ROW(40:40))), "")</f>
        <v/>
      </c>
      <c r="S43" s="320" t="str">
        <f t="array" ref="S43">IFERROR(INDEX('Bank Schedule'!T:T, SMALL(IF('Bank Schedule'!$K$2:$K$825="Vacant", ROW('Bank Schedule'!$K$2:$K$825)), ROW(40:40))), "")</f>
        <v/>
      </c>
      <c r="T43" s="320" t="str">
        <f t="array" ref="T43">IFERROR(INDEX('Bank Schedule'!U:U, SMALL(IF('Bank Schedule'!$K$2:$K$825="Vacant", ROW('Bank Schedule'!$K$2:$K$825)), ROW(40:40))), "")</f>
        <v/>
      </c>
      <c r="U43" s="320" t="str">
        <f t="array" ref="U43">IFERROR(INDEX('Bank Schedule'!V:V, SMALL(IF('Bank Schedule'!$K$2:$K$825="Vacant", ROW('Bank Schedule'!$K$2:$K$825)), ROW(40:40))), "")</f>
        <v/>
      </c>
      <c r="V43" s="320" t="str">
        <f t="array" ref="V43">IFERROR(INDEX('Bank Schedule'!W:W, SMALL(IF('Bank Schedule'!$K$2:$K$825="Vacant", ROW('Bank Schedule'!$K$2:$K$825)), ROW(40:40))), "")</f>
        <v/>
      </c>
      <c r="W43" s="319" t="str">
        <f t="array" ref="W43">IFERROR(INDEX('Bank Schedule'!X:X, SMALL(IF('Bank Schedule'!$K$2:$K$825="Vacant", ROW('Bank Schedule'!$K$2:$K$825)), ROW(40:40))), "")</f>
        <v/>
      </c>
      <c r="X43" s="11" t="str">
        <f t="array" ref="X43">IFERROR(INDEX('Bank Schedule'!Y:Y, SMALL(IF('Bank Schedule'!$K$2:$K$825="Vacant", ROW('Bank Schedule'!$K$2:$K$825)), ROW(40:40))), "")</f>
        <v/>
      </c>
      <c r="Y43" s="11" t="str">
        <f t="array" ref="Y43">IFERROR(INDEX('Bank Schedule'!Z:Z, SMALL(IF('Bank Schedule'!$K$2:$K$825="Vacant", ROW('Bank Schedule'!$K$2:$K$825)), ROW(40:40))), "")</f>
        <v/>
      </c>
      <c r="Z43" s="11" t="str">
        <f t="array" ref="Z43">IFERROR(INDEX('Bank Schedule'!AA:AA, SMALL(IF('Bank Schedule'!$K$2:$K$825="Vacant", ROW('Bank Schedule'!$K$2:$K$825)), ROW(40:40))), "")</f>
        <v/>
      </c>
      <c r="AA43" s="11" t="str">
        <f t="array" ref="AA43">IFERROR(INDEX('Bank Schedule'!AB:AB, SMALL(IF('Bank Schedule'!$K$2:$K$825="Vacant", ROW('Bank Schedule'!$K$2:$K$825)), ROW(40:40))), "")</f>
        <v/>
      </c>
      <c r="AB43" s="25" t="str">
        <f t="array" ref="AB43">IFERROR(INDEX('Bank Schedule'!AC:AC, SMALL(IF('Bank Schedule'!$K$2:$K$825="Vacant", ROW('Bank Schedule'!$K$2:$K$825)), ROW(40:40))), "")</f>
        <v/>
      </c>
      <c r="AC43" s="299" t="str">
        <f t="array" ref="AC43">IFERROR(INDEX('Bank Schedule'!AD:AD, SMALL(IF('Bank Schedule'!$K$2:$K$825="Vacant", ROW('Bank Schedule'!$K$2:$K$825)), ROW(40:40))), "")</f>
        <v/>
      </c>
      <c r="AD43" s="11" t="str">
        <f t="array" ref="AD43">IFERROR(INDEX('Bank Schedule'!AE:AE, SMALL(IF('Bank Schedule'!$K$2:$K$825="Vacant", ROW('Bank Schedule'!$K$2:$K$825)), ROW(40:40))), "")</f>
        <v/>
      </c>
      <c r="AE43" s="11" t="str">
        <f t="array" ref="AE43">IFERROR(INDEX('Bank Schedule'!AF:AF, SMALL(IF('Bank Schedule'!$K$2:$K$825="Vacant", ROW('Bank Schedule'!$K$2:$K$825)), ROW(40:40))), "")</f>
        <v/>
      </c>
      <c r="AF43" s="11" t="str">
        <f t="array" ref="AF43">IFERROR(INDEX('Bank Schedule'!AG:AG, SMALL(IF('Bank Schedule'!$K$2:$K$825="Vacant", ROW('Bank Schedule'!$K$2:$K$825)), ROW(40:40))), "")</f>
        <v/>
      </c>
      <c r="AG43" s="4"/>
    </row>
    <row r="44" spans="1:33" ht="28.5" hidden="1" customHeight="1">
      <c r="A44" s="2" t="str">
        <f t="array" ref="A44">IFERROR(INDEX('Bank Schedule'!A:A, SMALL(IF('Bank Schedule'!$K$2:$K$825="Vacant", ROW('Bank Schedule'!$K$2:$K$825)), ROW(41:41))), "")</f>
        <v/>
      </c>
      <c r="B44" s="11" t="str">
        <f t="array" ref="B44">IFERROR(INDEX('Bank Schedule'!B:B, SMALL(IF('Bank Schedule'!$K$2:$K$825="Vacant", ROW('Bank Schedule'!$K$2:$K$825)), ROW(41:41))), "")</f>
        <v/>
      </c>
      <c r="C44" s="11" t="str">
        <f t="array" ref="C44">IFERROR(INDEX('Bank Schedule'!C:C, SMALL(IF('Bank Schedule'!$K$2:$K$825="Vacant", ROW('Bank Schedule'!$K$2:$K$825)), ROW(41:41))), "")</f>
        <v/>
      </c>
      <c r="D44" s="11" t="str">
        <f t="array" ref="D44">IFERROR(INDEX('Bank Schedule'!D:D, SMALL(IF('Bank Schedule'!$K$2:$K$825="Vacant", ROW('Bank Schedule'!$K$2:$K$825)), ROW(41:41))), "")</f>
        <v/>
      </c>
      <c r="E44" s="25" t="str">
        <f t="array" ref="E44">IFERROR(INDEX('Bank Schedule'!E:E, SMALL(IF('Bank Schedule'!$K$2:$K$825="Vacant", ROW('Bank Schedule'!$K$2:$K$825)), ROW(41:41))), "")</f>
        <v/>
      </c>
      <c r="F44" s="25" t="str">
        <f t="array" ref="F44">IFERROR(INDEX('Bank Schedule'!F:F, SMALL(IF('Bank Schedule'!$K$2:$K$825="Vacant", ROW('Bank Schedule'!$K$2:$K$825)), ROW(41:41))), "")</f>
        <v/>
      </c>
      <c r="G44" s="25" t="str">
        <f t="array" ref="G44">IFERROR(INDEX('Bank Schedule'!G:G, SMALL(IF('Bank Schedule'!$K$2:$K$825="Vacant", ROW('Bank Schedule'!$K$2:$K$825)), ROW(41:41))), "")</f>
        <v/>
      </c>
      <c r="H44" s="55" t="str">
        <f t="array" ref="H44">IFERROR(INDEX('Bank Schedule'!H:H, SMALL(IF('Bank Schedule'!$K$2:$K$825="Vacant", ROW('Bank Schedule'!$K$2:$K$825)), ROW(41:41))), "")</f>
        <v/>
      </c>
      <c r="I44" s="55" t="str">
        <f t="array" ref="I44">IFERROR(INDEX('Bank Schedule'!I:I, SMALL(IF('Bank Schedule'!$K$2:$K$825="Vacant", ROW('Bank Schedule'!$K$2:$K$825)), ROW(41:41))), "")</f>
        <v/>
      </c>
      <c r="J44" s="11" t="str">
        <f t="array" ref="J44">IFERROR(INDEX('Bank Schedule'!K:K, SMALL(IF('Bank Schedule'!$K$2:$K$825="Vacant", ROW('Bank Schedule'!$K$2:$K$825)), ROW(41:41))), "")</f>
        <v/>
      </c>
      <c r="K44" s="11" t="str">
        <f t="array" ref="K44">IFERROR(INDEX('Bank Schedule'!L:L, SMALL(IF('Bank Schedule'!$K$2:$K$825="Vacant", ROW('Bank Schedule'!$K$2:$K$825)), ROW(41:41))), "")</f>
        <v/>
      </c>
      <c r="L44" s="11" t="str">
        <f t="array" ref="L44">IFERROR(INDEX('Bank Schedule'!M:M, SMALL(IF('Bank Schedule'!$K$2:$K$825="Vacant", ROW('Bank Schedule'!$K$2:$K$825)), ROW(41:41))), "")</f>
        <v/>
      </c>
      <c r="M44" s="106" t="str">
        <f t="array" ref="M44">IFERROR(INDEX('Bank Schedule'!N:N, SMALL(IF('Bank Schedule'!$K$2:$K$825="Vacant", ROW('Bank Schedule'!$K$2:$K$825)), ROW(41:41))), "")</f>
        <v/>
      </c>
      <c r="N44" s="11" t="str">
        <f t="array" ref="N44">IFERROR(INDEX('Bank Schedule'!O:O, SMALL(IF('Bank Schedule'!$K$2:$K$825="Vacant", ROW('Bank Schedule'!$K$2:$K$825)), ROW(41:41))), "")</f>
        <v/>
      </c>
      <c r="O44" s="11" t="str">
        <f t="array" ref="O44">IFERROR(INDEX('Bank Schedule'!P:P, SMALL(IF('Bank Schedule'!$K$2:$K$825="Vacant", ROW('Bank Schedule'!$K$2:$K$825)), ROW(41:41))), "")</f>
        <v/>
      </c>
      <c r="P44" s="11" t="str">
        <f t="array" ref="P44">IFERROR(INDEX('Bank Schedule'!Q:Q, SMALL(IF('Bank Schedule'!$K$2:$K$825="Vacant", ROW('Bank Schedule'!$K$2:$K$825)), ROW(41:41))), "")</f>
        <v/>
      </c>
      <c r="Q44" s="11" t="str">
        <f t="array" ref="Q44">IFERROR(INDEX('Bank Schedule'!R:R, SMALL(IF('Bank Schedule'!$K$2:$K$825="Vacant", ROW('Bank Schedule'!$K$2:$K$825)), ROW(41:41))), "")</f>
        <v/>
      </c>
      <c r="R44" s="11" t="str">
        <f t="array" ref="R44">IFERROR(INDEX('Bank Schedule'!S:S, SMALL(IF('Bank Schedule'!$K$2:$K$825="Vacant", ROW('Bank Schedule'!$K$2:$K$825)), ROW(41:41))), "")</f>
        <v/>
      </c>
      <c r="S44" s="320" t="str">
        <f t="array" ref="S44">IFERROR(INDEX('Bank Schedule'!T:T, SMALL(IF('Bank Schedule'!$K$2:$K$825="Vacant", ROW('Bank Schedule'!$K$2:$K$825)), ROW(41:41))), "")</f>
        <v/>
      </c>
      <c r="T44" s="320" t="str">
        <f t="array" ref="T44">IFERROR(INDEX('Bank Schedule'!U:U, SMALL(IF('Bank Schedule'!$K$2:$K$825="Vacant", ROW('Bank Schedule'!$K$2:$K$825)), ROW(41:41))), "")</f>
        <v/>
      </c>
      <c r="U44" s="320" t="str">
        <f t="array" ref="U44">IFERROR(INDEX('Bank Schedule'!V:V, SMALL(IF('Bank Schedule'!$K$2:$K$825="Vacant", ROW('Bank Schedule'!$K$2:$K$825)), ROW(41:41))), "")</f>
        <v/>
      </c>
      <c r="V44" s="320" t="str">
        <f t="array" ref="V44">IFERROR(INDEX('Bank Schedule'!W:W, SMALL(IF('Bank Schedule'!$K$2:$K$825="Vacant", ROW('Bank Schedule'!$K$2:$K$825)), ROW(41:41))), "")</f>
        <v/>
      </c>
      <c r="W44" s="319" t="str">
        <f t="array" ref="W44">IFERROR(INDEX('Bank Schedule'!X:X, SMALL(IF('Bank Schedule'!$K$2:$K$825="Vacant", ROW('Bank Schedule'!$K$2:$K$825)), ROW(41:41))), "")</f>
        <v/>
      </c>
      <c r="X44" s="11" t="str">
        <f t="array" ref="X44">IFERROR(INDEX('Bank Schedule'!Y:Y, SMALL(IF('Bank Schedule'!$K$2:$K$825="Vacant", ROW('Bank Schedule'!$K$2:$K$825)), ROW(41:41))), "")</f>
        <v/>
      </c>
      <c r="Y44" s="11" t="str">
        <f t="array" ref="Y44">IFERROR(INDEX('Bank Schedule'!Z:Z, SMALL(IF('Bank Schedule'!$K$2:$K$825="Vacant", ROW('Bank Schedule'!$K$2:$K$825)), ROW(41:41))), "")</f>
        <v/>
      </c>
      <c r="Z44" s="11" t="str">
        <f t="array" ref="Z44">IFERROR(INDEX('Bank Schedule'!AA:AA, SMALL(IF('Bank Schedule'!$K$2:$K$825="Vacant", ROW('Bank Schedule'!$K$2:$K$825)), ROW(41:41))), "")</f>
        <v/>
      </c>
      <c r="AA44" s="11" t="str">
        <f t="array" ref="AA44">IFERROR(INDEX('Bank Schedule'!AB:AB, SMALL(IF('Bank Schedule'!$K$2:$K$825="Vacant", ROW('Bank Schedule'!$K$2:$K$825)), ROW(41:41))), "")</f>
        <v/>
      </c>
      <c r="AB44" s="25" t="str">
        <f t="array" ref="AB44">IFERROR(INDEX('Bank Schedule'!AC:AC, SMALL(IF('Bank Schedule'!$K$2:$K$825="Vacant", ROW('Bank Schedule'!$K$2:$K$825)), ROW(41:41))), "")</f>
        <v/>
      </c>
      <c r="AC44" s="299" t="str">
        <f t="array" ref="AC44">IFERROR(INDEX('Bank Schedule'!AD:AD, SMALL(IF('Bank Schedule'!$K$2:$K$825="Vacant", ROW('Bank Schedule'!$K$2:$K$825)), ROW(41:41))), "")</f>
        <v/>
      </c>
      <c r="AD44" s="11" t="str">
        <f t="array" ref="AD44">IFERROR(INDEX('Bank Schedule'!AE:AE, SMALL(IF('Bank Schedule'!$K$2:$K$825="Vacant", ROW('Bank Schedule'!$K$2:$K$825)), ROW(41:41))), "")</f>
        <v/>
      </c>
      <c r="AE44" s="11" t="str">
        <f t="array" ref="AE44">IFERROR(INDEX('Bank Schedule'!AF:AF, SMALL(IF('Bank Schedule'!$K$2:$K$825="Vacant", ROW('Bank Schedule'!$K$2:$K$825)), ROW(41:41))), "")</f>
        <v/>
      </c>
      <c r="AF44" s="11" t="str">
        <f t="array" ref="AF44">IFERROR(INDEX('Bank Schedule'!AG:AG, SMALL(IF('Bank Schedule'!$K$2:$K$825="Vacant", ROW('Bank Schedule'!$K$2:$K$825)), ROW(41:41))), "")</f>
        <v/>
      </c>
      <c r="AG44" s="4"/>
    </row>
    <row r="45" spans="1:33" ht="28.5" hidden="1" customHeight="1">
      <c r="A45" s="2" t="str">
        <f t="array" ref="A45">IFERROR(INDEX('Bank Schedule'!A:A, SMALL(IF('Bank Schedule'!$K$2:$K$825="Vacant", ROW('Bank Schedule'!$K$2:$K$825)), ROW(42:42))), "")</f>
        <v/>
      </c>
      <c r="B45" s="11" t="str">
        <f t="array" ref="B45">IFERROR(INDEX('Bank Schedule'!B:B, SMALL(IF('Bank Schedule'!$K$2:$K$825="Vacant", ROW('Bank Schedule'!$K$2:$K$825)), ROW(42:42))), "")</f>
        <v/>
      </c>
      <c r="C45" s="11" t="str">
        <f t="array" ref="C45">IFERROR(INDEX('Bank Schedule'!C:C, SMALL(IF('Bank Schedule'!$K$2:$K$825="Vacant", ROW('Bank Schedule'!$K$2:$K$825)), ROW(42:42))), "")</f>
        <v/>
      </c>
      <c r="D45" s="11" t="str">
        <f t="array" ref="D45">IFERROR(INDEX('Bank Schedule'!D:D, SMALL(IF('Bank Schedule'!$K$2:$K$825="Vacant", ROW('Bank Schedule'!$K$2:$K$825)), ROW(42:42))), "")</f>
        <v/>
      </c>
      <c r="E45" s="25" t="str">
        <f t="array" ref="E45">IFERROR(INDEX('Bank Schedule'!E:E, SMALL(IF('Bank Schedule'!$K$2:$K$825="Vacant", ROW('Bank Schedule'!$K$2:$K$825)), ROW(42:42))), "")</f>
        <v/>
      </c>
      <c r="F45" s="25" t="str">
        <f t="array" ref="F45">IFERROR(INDEX('Bank Schedule'!F:F, SMALL(IF('Bank Schedule'!$K$2:$K$825="Vacant", ROW('Bank Schedule'!$K$2:$K$825)), ROW(42:42))), "")</f>
        <v/>
      </c>
      <c r="G45" s="25" t="str">
        <f t="array" ref="G45">IFERROR(INDEX('Bank Schedule'!G:G, SMALL(IF('Bank Schedule'!$K$2:$K$825="Vacant", ROW('Bank Schedule'!$K$2:$K$825)), ROW(42:42))), "")</f>
        <v/>
      </c>
      <c r="H45" s="55" t="str">
        <f t="array" ref="H45">IFERROR(INDEX('Bank Schedule'!H:H, SMALL(IF('Bank Schedule'!$K$2:$K$825="Vacant", ROW('Bank Schedule'!$K$2:$K$825)), ROW(42:42))), "")</f>
        <v/>
      </c>
      <c r="I45" s="55" t="str">
        <f t="array" ref="I45">IFERROR(INDEX('Bank Schedule'!I:I, SMALL(IF('Bank Schedule'!$K$2:$K$825="Vacant", ROW('Bank Schedule'!$K$2:$K$825)), ROW(42:42))), "")</f>
        <v/>
      </c>
      <c r="J45" s="11" t="str">
        <f t="array" ref="J45">IFERROR(INDEX('Bank Schedule'!K:K, SMALL(IF('Bank Schedule'!$K$2:$K$825="Vacant", ROW('Bank Schedule'!$K$2:$K$825)), ROW(42:42))), "")</f>
        <v/>
      </c>
      <c r="K45" s="11" t="str">
        <f t="array" ref="K45">IFERROR(INDEX('Bank Schedule'!L:L, SMALL(IF('Bank Schedule'!$K$2:$K$825="Vacant", ROW('Bank Schedule'!$K$2:$K$825)), ROW(42:42))), "")</f>
        <v/>
      </c>
      <c r="L45" s="11" t="str">
        <f t="array" ref="L45">IFERROR(INDEX('Bank Schedule'!M:M, SMALL(IF('Bank Schedule'!$K$2:$K$825="Vacant", ROW('Bank Schedule'!$K$2:$K$825)), ROW(42:42))), "")</f>
        <v/>
      </c>
      <c r="M45" s="106" t="str">
        <f t="array" ref="M45">IFERROR(INDEX('Bank Schedule'!N:N, SMALL(IF('Bank Schedule'!$K$2:$K$825="Vacant", ROW('Bank Schedule'!$K$2:$K$825)), ROW(42:42))), "")</f>
        <v/>
      </c>
      <c r="N45" s="11" t="str">
        <f t="array" ref="N45">IFERROR(INDEX('Bank Schedule'!O:O, SMALL(IF('Bank Schedule'!$K$2:$K$825="Vacant", ROW('Bank Schedule'!$K$2:$K$825)), ROW(42:42))), "")</f>
        <v/>
      </c>
      <c r="O45" s="11" t="str">
        <f t="array" ref="O45">IFERROR(INDEX('Bank Schedule'!P:P, SMALL(IF('Bank Schedule'!$K$2:$K$825="Vacant", ROW('Bank Schedule'!$K$2:$K$825)), ROW(42:42))), "")</f>
        <v/>
      </c>
      <c r="P45" s="11" t="str">
        <f t="array" ref="P45">IFERROR(INDEX('Bank Schedule'!Q:Q, SMALL(IF('Bank Schedule'!$K$2:$K$825="Vacant", ROW('Bank Schedule'!$K$2:$K$825)), ROW(42:42))), "")</f>
        <v/>
      </c>
      <c r="Q45" s="11" t="str">
        <f t="array" ref="Q45">IFERROR(INDEX('Bank Schedule'!R:R, SMALL(IF('Bank Schedule'!$K$2:$K$825="Vacant", ROW('Bank Schedule'!$K$2:$K$825)), ROW(42:42))), "")</f>
        <v/>
      </c>
      <c r="R45" s="11" t="str">
        <f t="array" ref="R45">IFERROR(INDEX('Bank Schedule'!S:S, SMALL(IF('Bank Schedule'!$K$2:$K$825="Vacant", ROW('Bank Schedule'!$K$2:$K$825)), ROW(42:42))), "")</f>
        <v/>
      </c>
      <c r="S45" s="320" t="str">
        <f t="array" ref="S45">IFERROR(INDEX('Bank Schedule'!T:T, SMALL(IF('Bank Schedule'!$K$2:$K$825="Vacant", ROW('Bank Schedule'!$K$2:$K$825)), ROW(42:42))), "")</f>
        <v/>
      </c>
      <c r="T45" s="320" t="str">
        <f t="array" ref="T45">IFERROR(INDEX('Bank Schedule'!U:U, SMALL(IF('Bank Schedule'!$K$2:$K$825="Vacant", ROW('Bank Schedule'!$K$2:$K$825)), ROW(42:42))), "")</f>
        <v/>
      </c>
      <c r="U45" s="320" t="str">
        <f t="array" ref="U45">IFERROR(INDEX('Bank Schedule'!V:V, SMALL(IF('Bank Schedule'!$K$2:$K$825="Vacant", ROW('Bank Schedule'!$K$2:$K$825)), ROW(42:42))), "")</f>
        <v/>
      </c>
      <c r="V45" s="320" t="str">
        <f t="array" ref="V45">IFERROR(INDEX('Bank Schedule'!W:W, SMALL(IF('Bank Schedule'!$K$2:$K$825="Vacant", ROW('Bank Schedule'!$K$2:$K$825)), ROW(42:42))), "")</f>
        <v/>
      </c>
      <c r="W45" s="319" t="str">
        <f t="array" ref="W45">IFERROR(INDEX('Bank Schedule'!X:X, SMALL(IF('Bank Schedule'!$K$2:$K$825="Vacant", ROW('Bank Schedule'!$K$2:$K$825)), ROW(42:42))), "")</f>
        <v/>
      </c>
      <c r="X45" s="11" t="str">
        <f t="array" ref="X45">IFERROR(INDEX('Bank Schedule'!Y:Y, SMALL(IF('Bank Schedule'!$K$2:$K$825="Vacant", ROW('Bank Schedule'!$K$2:$K$825)), ROW(42:42))), "")</f>
        <v/>
      </c>
      <c r="Y45" s="11" t="str">
        <f t="array" ref="Y45">IFERROR(INDEX('Bank Schedule'!Z:Z, SMALL(IF('Bank Schedule'!$K$2:$K$825="Vacant", ROW('Bank Schedule'!$K$2:$K$825)), ROW(42:42))), "")</f>
        <v/>
      </c>
      <c r="Z45" s="11" t="str">
        <f t="array" ref="Z45">IFERROR(INDEX('Bank Schedule'!AA:AA, SMALL(IF('Bank Schedule'!$K$2:$K$825="Vacant", ROW('Bank Schedule'!$K$2:$K$825)), ROW(42:42))), "")</f>
        <v/>
      </c>
      <c r="AA45" s="11" t="str">
        <f t="array" ref="AA45">IFERROR(INDEX('Bank Schedule'!AB:AB, SMALL(IF('Bank Schedule'!$K$2:$K$825="Vacant", ROW('Bank Schedule'!$K$2:$K$825)), ROW(42:42))), "")</f>
        <v/>
      </c>
      <c r="AB45" s="25" t="str">
        <f t="array" ref="AB45">IFERROR(INDEX('Bank Schedule'!AC:AC, SMALL(IF('Bank Schedule'!$K$2:$K$825="Vacant", ROW('Bank Schedule'!$K$2:$K$825)), ROW(42:42))), "")</f>
        <v/>
      </c>
      <c r="AC45" s="299" t="str">
        <f t="array" ref="AC45">IFERROR(INDEX('Bank Schedule'!AD:AD, SMALL(IF('Bank Schedule'!$K$2:$K$825="Vacant", ROW('Bank Schedule'!$K$2:$K$825)), ROW(42:42))), "")</f>
        <v/>
      </c>
      <c r="AD45" s="11" t="str">
        <f t="array" ref="AD45">IFERROR(INDEX('Bank Schedule'!AE:AE, SMALL(IF('Bank Schedule'!$K$2:$K$825="Vacant", ROW('Bank Schedule'!$K$2:$K$825)), ROW(42:42))), "")</f>
        <v/>
      </c>
      <c r="AE45" s="11" t="str">
        <f t="array" ref="AE45">IFERROR(INDEX('Bank Schedule'!AF:AF, SMALL(IF('Bank Schedule'!$K$2:$K$825="Vacant", ROW('Bank Schedule'!$K$2:$K$825)), ROW(42:42))), "")</f>
        <v/>
      </c>
      <c r="AF45" s="11" t="str">
        <f t="array" ref="AF45">IFERROR(INDEX('Bank Schedule'!AG:AG, SMALL(IF('Bank Schedule'!$K$2:$K$825="Vacant", ROW('Bank Schedule'!$K$2:$K$825)), ROW(42:42))), "")</f>
        <v/>
      </c>
      <c r="AG45" s="4"/>
    </row>
    <row r="46" spans="1:33" ht="28.5" hidden="1" customHeight="1">
      <c r="A46" s="2" t="str">
        <f t="array" ref="A46">IFERROR(INDEX('Bank Schedule'!A:A, SMALL(IF('Bank Schedule'!$K$2:$K$825="Vacant", ROW('Bank Schedule'!$K$2:$K$825)), ROW(43:43))), "")</f>
        <v/>
      </c>
      <c r="B46" s="11" t="str">
        <f t="array" ref="B46">IFERROR(INDEX('Bank Schedule'!B:B, SMALL(IF('Bank Schedule'!$K$2:$K$825="Vacant", ROW('Bank Schedule'!$K$2:$K$825)), ROW(43:43))), "")</f>
        <v/>
      </c>
      <c r="C46" s="11" t="str">
        <f t="array" ref="C46">IFERROR(INDEX('Bank Schedule'!C:C, SMALL(IF('Bank Schedule'!$K$2:$K$825="Vacant", ROW('Bank Schedule'!$K$2:$K$825)), ROW(43:43))), "")</f>
        <v/>
      </c>
      <c r="D46" s="11" t="str">
        <f t="array" ref="D46">IFERROR(INDEX('Bank Schedule'!D:D, SMALL(IF('Bank Schedule'!$K$2:$K$825="Vacant", ROW('Bank Schedule'!$K$2:$K$825)), ROW(43:43))), "")</f>
        <v/>
      </c>
      <c r="E46" s="25" t="str">
        <f t="array" ref="E46">IFERROR(INDEX('Bank Schedule'!E:E, SMALL(IF('Bank Schedule'!$K$2:$K$825="Vacant", ROW('Bank Schedule'!$K$2:$K$825)), ROW(43:43))), "")</f>
        <v/>
      </c>
      <c r="F46" s="25" t="str">
        <f t="array" ref="F46">IFERROR(INDEX('Bank Schedule'!F:F, SMALL(IF('Bank Schedule'!$K$2:$K$825="Vacant", ROW('Bank Schedule'!$K$2:$K$825)), ROW(43:43))), "")</f>
        <v/>
      </c>
      <c r="G46" s="25" t="str">
        <f t="array" ref="G46">IFERROR(INDEX('Bank Schedule'!G:G, SMALL(IF('Bank Schedule'!$K$2:$K$825="Vacant", ROW('Bank Schedule'!$K$2:$K$825)), ROW(43:43))), "")</f>
        <v/>
      </c>
      <c r="H46" s="55" t="str">
        <f t="array" ref="H46">IFERROR(INDEX('Bank Schedule'!H:H, SMALL(IF('Bank Schedule'!$K$2:$K$825="Vacant", ROW('Bank Schedule'!$K$2:$K$825)), ROW(43:43))), "")</f>
        <v/>
      </c>
      <c r="I46" s="55" t="str">
        <f t="array" ref="I46">IFERROR(INDEX('Bank Schedule'!I:I, SMALL(IF('Bank Schedule'!$K$2:$K$825="Vacant", ROW('Bank Schedule'!$K$2:$K$825)), ROW(43:43))), "")</f>
        <v/>
      </c>
      <c r="J46" s="11" t="str">
        <f t="array" ref="J46">IFERROR(INDEX('Bank Schedule'!K:K, SMALL(IF('Bank Schedule'!$K$2:$K$825="Vacant", ROW('Bank Schedule'!$K$2:$K$825)), ROW(43:43))), "")</f>
        <v/>
      </c>
      <c r="K46" s="11" t="str">
        <f t="array" ref="K46">IFERROR(INDEX('Bank Schedule'!L:L, SMALL(IF('Bank Schedule'!$K$2:$K$825="Vacant", ROW('Bank Schedule'!$K$2:$K$825)), ROW(43:43))), "")</f>
        <v/>
      </c>
      <c r="L46" s="11" t="str">
        <f t="array" ref="L46">IFERROR(INDEX('Bank Schedule'!M:M, SMALL(IF('Bank Schedule'!$K$2:$K$825="Vacant", ROW('Bank Schedule'!$K$2:$K$825)), ROW(43:43))), "")</f>
        <v/>
      </c>
      <c r="M46" s="106" t="str">
        <f t="array" ref="M46">IFERROR(INDEX('Bank Schedule'!N:N, SMALL(IF('Bank Schedule'!$K$2:$K$825="Vacant", ROW('Bank Schedule'!$K$2:$K$825)), ROW(43:43))), "")</f>
        <v/>
      </c>
      <c r="N46" s="11" t="str">
        <f t="array" ref="N46">IFERROR(INDEX('Bank Schedule'!O:O, SMALL(IF('Bank Schedule'!$K$2:$K$825="Vacant", ROW('Bank Schedule'!$K$2:$K$825)), ROW(43:43))), "")</f>
        <v/>
      </c>
      <c r="O46" s="11" t="str">
        <f t="array" ref="O46">IFERROR(INDEX('Bank Schedule'!P:P, SMALL(IF('Bank Schedule'!$K$2:$K$825="Vacant", ROW('Bank Schedule'!$K$2:$K$825)), ROW(43:43))), "")</f>
        <v/>
      </c>
      <c r="P46" s="11" t="str">
        <f t="array" ref="P46">IFERROR(INDEX('Bank Schedule'!Q:Q, SMALL(IF('Bank Schedule'!$K$2:$K$825="Vacant", ROW('Bank Schedule'!$K$2:$K$825)), ROW(43:43))), "")</f>
        <v/>
      </c>
      <c r="Q46" s="11" t="str">
        <f t="array" ref="Q46">IFERROR(INDEX('Bank Schedule'!R:R, SMALL(IF('Bank Schedule'!$K$2:$K$825="Vacant", ROW('Bank Schedule'!$K$2:$K$825)), ROW(43:43))), "")</f>
        <v/>
      </c>
      <c r="R46" s="11" t="str">
        <f t="array" ref="R46">IFERROR(INDEX('Bank Schedule'!S:S, SMALL(IF('Bank Schedule'!$K$2:$K$825="Vacant", ROW('Bank Schedule'!$K$2:$K$825)), ROW(43:43))), "")</f>
        <v/>
      </c>
      <c r="S46" s="320" t="str">
        <f t="array" ref="S46">IFERROR(INDEX('Bank Schedule'!T:T, SMALL(IF('Bank Schedule'!$K$2:$K$825="Vacant", ROW('Bank Schedule'!$K$2:$K$825)), ROW(43:43))), "")</f>
        <v/>
      </c>
      <c r="T46" s="320" t="str">
        <f t="array" ref="T46">IFERROR(INDEX('Bank Schedule'!U:U, SMALL(IF('Bank Schedule'!$K$2:$K$825="Vacant", ROW('Bank Schedule'!$K$2:$K$825)), ROW(43:43))), "")</f>
        <v/>
      </c>
      <c r="U46" s="320" t="str">
        <f t="array" ref="U46">IFERROR(INDEX('Bank Schedule'!V:V, SMALL(IF('Bank Schedule'!$K$2:$K$825="Vacant", ROW('Bank Schedule'!$K$2:$K$825)), ROW(43:43))), "")</f>
        <v/>
      </c>
      <c r="V46" s="320" t="str">
        <f t="array" ref="V46">IFERROR(INDEX('Bank Schedule'!W:W, SMALL(IF('Bank Schedule'!$K$2:$K$825="Vacant", ROW('Bank Schedule'!$K$2:$K$825)), ROW(43:43))), "")</f>
        <v/>
      </c>
      <c r="W46" s="319" t="str">
        <f t="array" ref="W46">IFERROR(INDEX('Bank Schedule'!X:X, SMALL(IF('Bank Schedule'!$K$2:$K$825="Vacant", ROW('Bank Schedule'!$K$2:$K$825)), ROW(43:43))), "")</f>
        <v/>
      </c>
      <c r="X46" s="11" t="str">
        <f t="array" ref="X46">IFERROR(INDEX('Bank Schedule'!Y:Y, SMALL(IF('Bank Schedule'!$K$2:$K$825="Vacant", ROW('Bank Schedule'!$K$2:$K$825)), ROW(43:43))), "")</f>
        <v/>
      </c>
      <c r="Y46" s="11" t="str">
        <f t="array" ref="Y46">IFERROR(INDEX('Bank Schedule'!Z:Z, SMALL(IF('Bank Schedule'!$K$2:$K$825="Vacant", ROW('Bank Schedule'!$K$2:$K$825)), ROW(43:43))), "")</f>
        <v/>
      </c>
      <c r="Z46" s="11" t="str">
        <f t="array" ref="Z46">IFERROR(INDEX('Bank Schedule'!AA:AA, SMALL(IF('Bank Schedule'!$K$2:$K$825="Vacant", ROW('Bank Schedule'!$K$2:$K$825)), ROW(43:43))), "")</f>
        <v/>
      </c>
      <c r="AA46" s="11" t="str">
        <f t="array" ref="AA46">IFERROR(INDEX('Bank Schedule'!AB:AB, SMALL(IF('Bank Schedule'!$K$2:$K$825="Vacant", ROW('Bank Schedule'!$K$2:$K$825)), ROW(43:43))), "")</f>
        <v/>
      </c>
      <c r="AB46" s="25" t="str">
        <f t="array" ref="AB46">IFERROR(INDEX('Bank Schedule'!AC:AC, SMALL(IF('Bank Schedule'!$K$2:$K$825="Vacant", ROW('Bank Schedule'!$K$2:$K$825)), ROW(43:43))), "")</f>
        <v/>
      </c>
      <c r="AC46" s="299" t="str">
        <f t="array" ref="AC46">IFERROR(INDEX('Bank Schedule'!AD:AD, SMALL(IF('Bank Schedule'!$K$2:$K$825="Vacant", ROW('Bank Schedule'!$K$2:$K$825)), ROW(43:43))), "")</f>
        <v/>
      </c>
      <c r="AD46" s="11" t="str">
        <f t="array" ref="AD46">IFERROR(INDEX('Bank Schedule'!AE:AE, SMALL(IF('Bank Schedule'!$K$2:$K$825="Vacant", ROW('Bank Schedule'!$K$2:$K$825)), ROW(43:43))), "")</f>
        <v/>
      </c>
      <c r="AE46" s="11" t="str">
        <f t="array" ref="AE46">IFERROR(INDEX('Bank Schedule'!AF:AF, SMALL(IF('Bank Schedule'!$K$2:$K$825="Vacant", ROW('Bank Schedule'!$K$2:$K$825)), ROW(43:43))), "")</f>
        <v/>
      </c>
      <c r="AF46" s="11" t="str">
        <f t="array" ref="AF46">IFERROR(INDEX('Bank Schedule'!AG:AG, SMALL(IF('Bank Schedule'!$K$2:$K$825="Vacant", ROW('Bank Schedule'!$K$2:$K$825)), ROW(43:43))), "")</f>
        <v/>
      </c>
      <c r="AG46" s="4"/>
    </row>
    <row r="47" spans="1:33" ht="28.5" hidden="1" customHeight="1">
      <c r="A47" s="2" t="str">
        <f t="array" ref="A47">IFERROR(INDEX('Bank Schedule'!A:A, SMALL(IF('Bank Schedule'!$K$2:$K$825="Vacant", ROW('Bank Schedule'!$K$2:$K$825)), ROW(44:44))), "")</f>
        <v/>
      </c>
      <c r="B47" s="11" t="str">
        <f t="array" ref="B47">IFERROR(INDEX('Bank Schedule'!B:B, SMALL(IF('Bank Schedule'!$K$2:$K$825="Vacant", ROW('Bank Schedule'!$K$2:$K$825)), ROW(44:44))), "")</f>
        <v/>
      </c>
      <c r="C47" s="11" t="str">
        <f t="array" ref="C47">IFERROR(INDEX('Bank Schedule'!C:C, SMALL(IF('Bank Schedule'!$K$2:$K$825="Vacant", ROW('Bank Schedule'!$K$2:$K$825)), ROW(44:44))), "")</f>
        <v/>
      </c>
      <c r="D47" s="11" t="str">
        <f t="array" ref="D47">IFERROR(INDEX('Bank Schedule'!D:D, SMALL(IF('Bank Schedule'!$K$2:$K$825="Vacant", ROW('Bank Schedule'!$K$2:$K$825)), ROW(44:44))), "")</f>
        <v/>
      </c>
      <c r="E47" s="25" t="str">
        <f t="array" ref="E47">IFERROR(INDEX('Bank Schedule'!E:E, SMALL(IF('Bank Schedule'!$K$2:$K$825="Vacant", ROW('Bank Schedule'!$K$2:$K$825)), ROW(44:44))), "")</f>
        <v/>
      </c>
      <c r="F47" s="25" t="str">
        <f t="array" ref="F47">IFERROR(INDEX('Bank Schedule'!F:F, SMALL(IF('Bank Schedule'!$K$2:$K$825="Vacant", ROW('Bank Schedule'!$K$2:$K$825)), ROW(44:44))), "")</f>
        <v/>
      </c>
      <c r="G47" s="25" t="str">
        <f t="array" ref="G47">IFERROR(INDEX('Bank Schedule'!G:G, SMALL(IF('Bank Schedule'!$K$2:$K$825="Vacant", ROW('Bank Schedule'!$K$2:$K$825)), ROW(44:44))), "")</f>
        <v/>
      </c>
      <c r="H47" s="55" t="str">
        <f t="array" ref="H47">IFERROR(INDEX('Bank Schedule'!H:H, SMALL(IF('Bank Schedule'!$K$2:$K$825="Vacant", ROW('Bank Schedule'!$K$2:$K$825)), ROW(44:44))), "")</f>
        <v/>
      </c>
      <c r="I47" s="55" t="str">
        <f t="array" ref="I47">IFERROR(INDEX('Bank Schedule'!I:I, SMALL(IF('Bank Schedule'!$K$2:$K$825="Vacant", ROW('Bank Schedule'!$K$2:$K$825)), ROW(44:44))), "")</f>
        <v/>
      </c>
      <c r="J47" s="11" t="str">
        <f t="array" ref="J47">IFERROR(INDEX('Bank Schedule'!K:K, SMALL(IF('Bank Schedule'!$K$2:$K$825="Vacant", ROW('Bank Schedule'!$K$2:$K$825)), ROW(44:44))), "")</f>
        <v/>
      </c>
      <c r="K47" s="11" t="str">
        <f t="array" ref="K47">IFERROR(INDEX('Bank Schedule'!L:L, SMALL(IF('Bank Schedule'!$K$2:$K$825="Vacant", ROW('Bank Schedule'!$K$2:$K$825)), ROW(44:44))), "")</f>
        <v/>
      </c>
      <c r="L47" s="11" t="str">
        <f t="array" ref="L47">IFERROR(INDEX('Bank Schedule'!M:M, SMALL(IF('Bank Schedule'!$K$2:$K$825="Vacant", ROW('Bank Schedule'!$K$2:$K$825)), ROW(44:44))), "")</f>
        <v/>
      </c>
      <c r="M47" s="106" t="str">
        <f t="array" ref="M47">IFERROR(INDEX('Bank Schedule'!N:N, SMALL(IF('Bank Schedule'!$K$2:$K$825="Vacant", ROW('Bank Schedule'!$K$2:$K$825)), ROW(44:44))), "")</f>
        <v/>
      </c>
      <c r="N47" s="11" t="str">
        <f t="array" ref="N47">IFERROR(INDEX('Bank Schedule'!O:O, SMALL(IF('Bank Schedule'!$K$2:$K$825="Vacant", ROW('Bank Schedule'!$K$2:$K$825)), ROW(44:44))), "")</f>
        <v/>
      </c>
      <c r="O47" s="11" t="str">
        <f t="array" ref="O47">IFERROR(INDEX('Bank Schedule'!P:P, SMALL(IF('Bank Schedule'!$K$2:$K$825="Vacant", ROW('Bank Schedule'!$K$2:$K$825)), ROW(44:44))), "")</f>
        <v/>
      </c>
      <c r="P47" s="11" t="str">
        <f t="array" ref="P47">IFERROR(INDEX('Bank Schedule'!Q:Q, SMALL(IF('Bank Schedule'!$K$2:$K$825="Vacant", ROW('Bank Schedule'!$K$2:$K$825)), ROW(44:44))), "")</f>
        <v/>
      </c>
      <c r="Q47" s="11" t="str">
        <f t="array" ref="Q47">IFERROR(INDEX('Bank Schedule'!R:R, SMALL(IF('Bank Schedule'!$K$2:$K$825="Vacant", ROW('Bank Schedule'!$K$2:$K$825)), ROW(44:44))), "")</f>
        <v/>
      </c>
      <c r="R47" s="11" t="str">
        <f t="array" ref="R47">IFERROR(INDEX('Bank Schedule'!S:S, SMALL(IF('Bank Schedule'!$K$2:$K$825="Vacant", ROW('Bank Schedule'!$K$2:$K$825)), ROW(44:44))), "")</f>
        <v/>
      </c>
      <c r="S47" s="320" t="str">
        <f t="array" ref="S47">IFERROR(INDEX('Bank Schedule'!T:T, SMALL(IF('Bank Schedule'!$K$2:$K$825="Vacant", ROW('Bank Schedule'!$K$2:$K$825)), ROW(44:44))), "")</f>
        <v/>
      </c>
      <c r="T47" s="320" t="str">
        <f t="array" ref="T47">IFERROR(INDEX('Bank Schedule'!U:U, SMALL(IF('Bank Schedule'!$K$2:$K$825="Vacant", ROW('Bank Schedule'!$K$2:$K$825)), ROW(44:44))), "")</f>
        <v/>
      </c>
      <c r="U47" s="320" t="str">
        <f t="array" ref="U47">IFERROR(INDEX('Bank Schedule'!V:V, SMALL(IF('Bank Schedule'!$K$2:$K$825="Vacant", ROW('Bank Schedule'!$K$2:$K$825)), ROW(44:44))), "")</f>
        <v/>
      </c>
      <c r="V47" s="320" t="str">
        <f t="array" ref="V47">IFERROR(INDEX('Bank Schedule'!W:W, SMALL(IF('Bank Schedule'!$K$2:$K$825="Vacant", ROW('Bank Schedule'!$K$2:$K$825)), ROW(44:44))), "")</f>
        <v/>
      </c>
      <c r="W47" s="319" t="str">
        <f t="array" ref="W47">IFERROR(INDEX('Bank Schedule'!X:X, SMALL(IF('Bank Schedule'!$K$2:$K$825="Vacant", ROW('Bank Schedule'!$K$2:$K$825)), ROW(44:44))), "")</f>
        <v/>
      </c>
      <c r="X47" s="11" t="str">
        <f t="array" ref="X47">IFERROR(INDEX('Bank Schedule'!Y:Y, SMALL(IF('Bank Schedule'!$K$2:$K$825="Vacant", ROW('Bank Schedule'!$K$2:$K$825)), ROW(44:44))), "")</f>
        <v/>
      </c>
      <c r="Y47" s="11" t="str">
        <f t="array" ref="Y47">IFERROR(INDEX('Bank Schedule'!Z:Z, SMALL(IF('Bank Schedule'!$K$2:$K$825="Vacant", ROW('Bank Schedule'!$K$2:$K$825)), ROW(44:44))), "")</f>
        <v/>
      </c>
      <c r="Z47" s="11" t="str">
        <f t="array" ref="Z47">IFERROR(INDEX('Bank Schedule'!AA:AA, SMALL(IF('Bank Schedule'!$K$2:$K$825="Vacant", ROW('Bank Schedule'!$K$2:$K$825)), ROW(44:44))), "")</f>
        <v/>
      </c>
      <c r="AA47" s="11" t="str">
        <f t="array" ref="AA47">IFERROR(INDEX('Bank Schedule'!AB:AB, SMALL(IF('Bank Schedule'!$K$2:$K$825="Vacant", ROW('Bank Schedule'!$K$2:$K$825)), ROW(44:44))), "")</f>
        <v/>
      </c>
      <c r="AB47" s="25" t="str">
        <f t="array" ref="AB47">IFERROR(INDEX('Bank Schedule'!AC:AC, SMALL(IF('Bank Schedule'!$K$2:$K$825="Vacant", ROW('Bank Schedule'!$K$2:$K$825)), ROW(44:44))), "")</f>
        <v/>
      </c>
      <c r="AC47" s="299" t="str">
        <f t="array" ref="AC47">IFERROR(INDEX('Bank Schedule'!AD:AD, SMALL(IF('Bank Schedule'!$K$2:$K$825="Vacant", ROW('Bank Schedule'!$K$2:$K$825)), ROW(44:44))), "")</f>
        <v/>
      </c>
      <c r="AD47" s="11" t="str">
        <f t="array" ref="AD47">IFERROR(INDEX('Bank Schedule'!AE:AE, SMALL(IF('Bank Schedule'!$K$2:$K$825="Vacant", ROW('Bank Schedule'!$K$2:$K$825)), ROW(44:44))), "")</f>
        <v/>
      </c>
      <c r="AE47" s="11" t="str">
        <f t="array" ref="AE47">IFERROR(INDEX('Bank Schedule'!AF:AF, SMALL(IF('Bank Schedule'!$K$2:$K$825="Vacant", ROW('Bank Schedule'!$K$2:$K$825)), ROW(44:44))), "")</f>
        <v/>
      </c>
      <c r="AF47" s="11" t="str">
        <f t="array" ref="AF47">IFERROR(INDEX('Bank Schedule'!AG:AG, SMALL(IF('Bank Schedule'!$K$2:$K$825="Vacant", ROW('Bank Schedule'!$K$2:$K$825)), ROW(44:44))), "")</f>
        <v/>
      </c>
      <c r="AG47" s="4"/>
    </row>
    <row r="48" spans="1:33" ht="28.5" hidden="1" customHeight="1">
      <c r="A48" s="2" t="str">
        <f t="array" ref="A48">IFERROR(INDEX('Bank Schedule'!A:A, SMALL(IF('Bank Schedule'!$K$2:$K$825="Vacant", ROW('Bank Schedule'!$K$2:$K$825)), ROW(45:45))), "")</f>
        <v/>
      </c>
      <c r="B48" s="11" t="str">
        <f t="array" ref="B48">IFERROR(INDEX('Bank Schedule'!B:B, SMALL(IF('Bank Schedule'!$K$2:$K$825="Vacant", ROW('Bank Schedule'!$K$2:$K$825)), ROW(45:45))), "")</f>
        <v/>
      </c>
      <c r="C48" s="11" t="str">
        <f t="array" ref="C48">IFERROR(INDEX('Bank Schedule'!C:C, SMALL(IF('Bank Schedule'!$K$2:$K$825="Vacant", ROW('Bank Schedule'!$K$2:$K$825)), ROW(45:45))), "")</f>
        <v/>
      </c>
      <c r="D48" s="11" t="str">
        <f t="array" ref="D48">IFERROR(INDEX('Bank Schedule'!D:D, SMALL(IF('Bank Schedule'!$K$2:$K$825="Vacant", ROW('Bank Schedule'!$K$2:$K$825)), ROW(45:45))), "")</f>
        <v/>
      </c>
      <c r="E48" s="25" t="str">
        <f t="array" ref="E48">IFERROR(INDEX('Bank Schedule'!E:E, SMALL(IF('Bank Schedule'!$K$2:$K$825="Vacant", ROW('Bank Schedule'!$K$2:$K$825)), ROW(45:45))), "")</f>
        <v/>
      </c>
      <c r="F48" s="25" t="str">
        <f t="array" ref="F48">IFERROR(INDEX('Bank Schedule'!F:F, SMALL(IF('Bank Schedule'!$K$2:$K$825="Vacant", ROW('Bank Schedule'!$K$2:$K$825)), ROW(45:45))), "")</f>
        <v/>
      </c>
      <c r="G48" s="25" t="str">
        <f t="array" ref="G48">IFERROR(INDEX('Bank Schedule'!G:G, SMALL(IF('Bank Schedule'!$K$2:$K$825="Vacant", ROW('Bank Schedule'!$K$2:$K$825)), ROW(45:45))), "")</f>
        <v/>
      </c>
      <c r="H48" s="55" t="str">
        <f t="array" ref="H48">IFERROR(INDEX('Bank Schedule'!H:H, SMALL(IF('Bank Schedule'!$K$2:$K$825="Vacant", ROW('Bank Schedule'!$K$2:$K$825)), ROW(45:45))), "")</f>
        <v/>
      </c>
      <c r="I48" s="55" t="str">
        <f t="array" ref="I48">IFERROR(INDEX('Bank Schedule'!I:I, SMALL(IF('Bank Schedule'!$K$2:$K$825="Vacant", ROW('Bank Schedule'!$K$2:$K$825)), ROW(45:45))), "")</f>
        <v/>
      </c>
      <c r="J48" s="11" t="str">
        <f t="array" ref="J48">IFERROR(INDEX('Bank Schedule'!K:K, SMALL(IF('Bank Schedule'!$K$2:$K$825="Vacant", ROW('Bank Schedule'!$K$2:$K$825)), ROW(45:45))), "")</f>
        <v/>
      </c>
      <c r="K48" s="11" t="str">
        <f t="array" ref="K48">IFERROR(INDEX('Bank Schedule'!L:L, SMALL(IF('Bank Schedule'!$K$2:$K$825="Vacant", ROW('Bank Schedule'!$K$2:$K$825)), ROW(45:45))), "")</f>
        <v/>
      </c>
      <c r="L48" s="11" t="str">
        <f t="array" ref="L48">IFERROR(INDEX('Bank Schedule'!M:M, SMALL(IF('Bank Schedule'!$K$2:$K$825="Vacant", ROW('Bank Schedule'!$K$2:$K$825)), ROW(45:45))), "")</f>
        <v/>
      </c>
      <c r="M48" s="106" t="str">
        <f t="array" ref="M48">IFERROR(INDEX('Bank Schedule'!N:N, SMALL(IF('Bank Schedule'!$K$2:$K$825="Vacant", ROW('Bank Schedule'!$K$2:$K$825)), ROW(45:45))), "")</f>
        <v/>
      </c>
      <c r="N48" s="11" t="str">
        <f t="array" ref="N48">IFERROR(INDEX('Bank Schedule'!O:O, SMALL(IF('Bank Schedule'!$K$2:$K$825="Vacant", ROW('Bank Schedule'!$K$2:$K$825)), ROW(45:45))), "")</f>
        <v/>
      </c>
      <c r="O48" s="11" t="str">
        <f t="array" ref="O48">IFERROR(INDEX('Bank Schedule'!P:P, SMALL(IF('Bank Schedule'!$K$2:$K$825="Vacant", ROW('Bank Schedule'!$K$2:$K$825)), ROW(45:45))), "")</f>
        <v/>
      </c>
      <c r="P48" s="11" t="str">
        <f t="array" ref="P48">IFERROR(INDEX('Bank Schedule'!Q:Q, SMALL(IF('Bank Schedule'!$K$2:$K$825="Vacant", ROW('Bank Schedule'!$K$2:$K$825)), ROW(45:45))), "")</f>
        <v/>
      </c>
      <c r="Q48" s="11" t="str">
        <f t="array" ref="Q48">IFERROR(INDEX('Bank Schedule'!R:R, SMALL(IF('Bank Schedule'!$K$2:$K$825="Vacant", ROW('Bank Schedule'!$K$2:$K$825)), ROW(45:45))), "")</f>
        <v/>
      </c>
      <c r="R48" s="11" t="str">
        <f t="array" ref="R48">IFERROR(INDEX('Bank Schedule'!S:S, SMALL(IF('Bank Schedule'!$K$2:$K$825="Vacant", ROW('Bank Schedule'!$K$2:$K$825)), ROW(45:45))), "")</f>
        <v/>
      </c>
      <c r="S48" s="320" t="str">
        <f t="array" ref="S48">IFERROR(INDEX('Bank Schedule'!T:T, SMALL(IF('Bank Schedule'!$K$2:$K$825="Vacant", ROW('Bank Schedule'!$K$2:$K$825)), ROW(45:45))), "")</f>
        <v/>
      </c>
      <c r="T48" s="320" t="str">
        <f t="array" ref="T48">IFERROR(INDEX('Bank Schedule'!U:U, SMALL(IF('Bank Schedule'!$K$2:$K$825="Vacant", ROW('Bank Schedule'!$K$2:$K$825)), ROW(45:45))), "")</f>
        <v/>
      </c>
      <c r="U48" s="320" t="str">
        <f t="array" ref="U48">IFERROR(INDEX('Bank Schedule'!V:V, SMALL(IF('Bank Schedule'!$K$2:$K$825="Vacant", ROW('Bank Schedule'!$K$2:$K$825)), ROW(45:45))), "")</f>
        <v/>
      </c>
      <c r="V48" s="320" t="str">
        <f t="array" ref="V48">IFERROR(INDEX('Bank Schedule'!W:W, SMALL(IF('Bank Schedule'!$K$2:$K$825="Vacant", ROW('Bank Schedule'!$K$2:$K$825)), ROW(45:45))), "")</f>
        <v/>
      </c>
      <c r="W48" s="319" t="str">
        <f t="array" ref="W48">IFERROR(INDEX('Bank Schedule'!X:X, SMALL(IF('Bank Schedule'!$K$2:$K$825="Vacant", ROW('Bank Schedule'!$K$2:$K$825)), ROW(45:45))), "")</f>
        <v/>
      </c>
      <c r="X48" s="11" t="str">
        <f t="array" ref="X48">IFERROR(INDEX('Bank Schedule'!Y:Y, SMALL(IF('Bank Schedule'!$K$2:$K$825="Vacant", ROW('Bank Schedule'!$K$2:$K$825)), ROW(45:45))), "")</f>
        <v/>
      </c>
      <c r="Y48" s="11" t="str">
        <f t="array" ref="Y48">IFERROR(INDEX('Bank Schedule'!Z:Z, SMALL(IF('Bank Schedule'!$K$2:$K$825="Vacant", ROW('Bank Schedule'!$K$2:$K$825)), ROW(45:45))), "")</f>
        <v/>
      </c>
      <c r="Z48" s="11" t="str">
        <f t="array" ref="Z48">IFERROR(INDEX('Bank Schedule'!AA:AA, SMALL(IF('Bank Schedule'!$K$2:$K$825="Vacant", ROW('Bank Schedule'!$K$2:$K$825)), ROW(45:45))), "")</f>
        <v/>
      </c>
      <c r="AA48" s="11" t="str">
        <f t="array" ref="AA48">IFERROR(INDEX('Bank Schedule'!AB:AB, SMALL(IF('Bank Schedule'!$K$2:$K$825="Vacant", ROW('Bank Schedule'!$K$2:$K$825)), ROW(45:45))), "")</f>
        <v/>
      </c>
      <c r="AB48" s="25" t="str">
        <f t="array" ref="AB48">IFERROR(INDEX('Bank Schedule'!AC:AC, SMALL(IF('Bank Schedule'!$K$2:$K$825="Vacant", ROW('Bank Schedule'!$K$2:$K$825)), ROW(45:45))), "")</f>
        <v/>
      </c>
      <c r="AC48" s="299" t="str">
        <f t="array" ref="AC48">IFERROR(INDEX('Bank Schedule'!AD:AD, SMALL(IF('Bank Schedule'!$K$2:$K$825="Vacant", ROW('Bank Schedule'!$K$2:$K$825)), ROW(45:45))), "")</f>
        <v/>
      </c>
      <c r="AD48" s="11" t="str">
        <f t="array" ref="AD48">IFERROR(INDEX('Bank Schedule'!AE:AE, SMALL(IF('Bank Schedule'!$K$2:$K$825="Vacant", ROW('Bank Schedule'!$K$2:$K$825)), ROW(45:45))), "")</f>
        <v/>
      </c>
      <c r="AE48" s="11" t="str">
        <f t="array" ref="AE48">IFERROR(INDEX('Bank Schedule'!AF:AF, SMALL(IF('Bank Schedule'!$K$2:$K$825="Vacant", ROW('Bank Schedule'!$K$2:$K$825)), ROW(45:45))), "")</f>
        <v/>
      </c>
      <c r="AF48" s="11" t="str">
        <f t="array" ref="AF48">IFERROR(INDEX('Bank Schedule'!AG:AG, SMALL(IF('Bank Schedule'!$K$2:$K$825="Vacant", ROW('Bank Schedule'!$K$2:$K$825)), ROW(45:45))), "")</f>
        <v/>
      </c>
      <c r="AG48" s="4"/>
    </row>
    <row r="49" spans="1:33" ht="28.5" hidden="1" customHeight="1">
      <c r="A49" s="2" t="str">
        <f t="array" ref="A49">IFERROR(INDEX('Bank Schedule'!A:A, SMALL(IF('Bank Schedule'!$K$2:$K$825="Vacant", ROW('Bank Schedule'!$K$2:$K$825)), ROW(46:46))), "")</f>
        <v/>
      </c>
      <c r="B49" s="11" t="str">
        <f t="array" ref="B49">IFERROR(INDEX('Bank Schedule'!B:B, SMALL(IF('Bank Schedule'!$K$2:$K$825="Vacant", ROW('Bank Schedule'!$K$2:$K$825)), ROW(46:46))), "")</f>
        <v/>
      </c>
      <c r="C49" s="11" t="str">
        <f t="array" ref="C49">IFERROR(INDEX('Bank Schedule'!C:C, SMALL(IF('Bank Schedule'!$K$2:$K$825="Vacant", ROW('Bank Schedule'!$K$2:$K$825)), ROW(46:46))), "")</f>
        <v/>
      </c>
      <c r="D49" s="11" t="str">
        <f t="array" ref="D49">IFERROR(INDEX('Bank Schedule'!D:D, SMALL(IF('Bank Schedule'!$K$2:$K$825="Vacant", ROW('Bank Schedule'!$K$2:$K$825)), ROW(46:46))), "")</f>
        <v/>
      </c>
      <c r="E49" s="25" t="str">
        <f t="array" ref="E49">IFERROR(INDEX('Bank Schedule'!E:E, SMALL(IF('Bank Schedule'!$K$2:$K$825="Vacant", ROW('Bank Schedule'!$K$2:$K$825)), ROW(46:46))), "")</f>
        <v/>
      </c>
      <c r="F49" s="25" t="str">
        <f t="array" ref="F49">IFERROR(INDEX('Bank Schedule'!F:F, SMALL(IF('Bank Schedule'!$K$2:$K$825="Vacant", ROW('Bank Schedule'!$K$2:$K$825)), ROW(46:46))), "")</f>
        <v/>
      </c>
      <c r="G49" s="25" t="str">
        <f t="array" ref="G49">IFERROR(INDEX('Bank Schedule'!G:G, SMALL(IF('Bank Schedule'!$K$2:$K$825="Vacant", ROW('Bank Schedule'!$K$2:$K$825)), ROW(46:46))), "")</f>
        <v/>
      </c>
      <c r="H49" s="55" t="str">
        <f t="array" ref="H49">IFERROR(INDEX('Bank Schedule'!H:H, SMALL(IF('Bank Schedule'!$K$2:$K$825="Vacant", ROW('Bank Schedule'!$K$2:$K$825)), ROW(46:46))), "")</f>
        <v/>
      </c>
      <c r="I49" s="55" t="str">
        <f t="array" ref="I49">IFERROR(INDEX('Bank Schedule'!I:I, SMALL(IF('Bank Schedule'!$K$2:$K$825="Vacant", ROW('Bank Schedule'!$K$2:$K$825)), ROW(46:46))), "")</f>
        <v/>
      </c>
      <c r="J49" s="11" t="str">
        <f t="array" ref="J49">IFERROR(INDEX('Bank Schedule'!K:K, SMALL(IF('Bank Schedule'!$K$2:$K$825="Vacant", ROW('Bank Schedule'!$K$2:$K$825)), ROW(46:46))), "")</f>
        <v/>
      </c>
      <c r="K49" s="11" t="str">
        <f t="array" ref="K49">IFERROR(INDEX('Bank Schedule'!L:L, SMALL(IF('Bank Schedule'!$K$2:$K$825="Vacant", ROW('Bank Schedule'!$K$2:$K$825)), ROW(46:46))), "")</f>
        <v/>
      </c>
      <c r="L49" s="11" t="str">
        <f t="array" ref="L49">IFERROR(INDEX('Bank Schedule'!M:M, SMALL(IF('Bank Schedule'!$K$2:$K$825="Vacant", ROW('Bank Schedule'!$K$2:$K$825)), ROW(46:46))), "")</f>
        <v/>
      </c>
      <c r="M49" s="106" t="str">
        <f t="array" ref="M49">IFERROR(INDEX('Bank Schedule'!N:N, SMALL(IF('Bank Schedule'!$K$2:$K$825="Vacant", ROW('Bank Schedule'!$K$2:$K$825)), ROW(46:46))), "")</f>
        <v/>
      </c>
      <c r="N49" s="11" t="str">
        <f t="array" ref="N49">IFERROR(INDEX('Bank Schedule'!O:O, SMALL(IF('Bank Schedule'!$K$2:$K$825="Vacant", ROW('Bank Schedule'!$K$2:$K$825)), ROW(46:46))), "")</f>
        <v/>
      </c>
      <c r="O49" s="11" t="str">
        <f t="array" ref="O49">IFERROR(INDEX('Bank Schedule'!P:P, SMALL(IF('Bank Schedule'!$K$2:$K$825="Vacant", ROW('Bank Schedule'!$K$2:$K$825)), ROW(46:46))), "")</f>
        <v/>
      </c>
      <c r="P49" s="11" t="str">
        <f t="array" ref="P49">IFERROR(INDEX('Bank Schedule'!Q:Q, SMALL(IF('Bank Schedule'!$K$2:$K$825="Vacant", ROW('Bank Schedule'!$K$2:$K$825)), ROW(46:46))), "")</f>
        <v/>
      </c>
      <c r="Q49" s="11" t="str">
        <f t="array" ref="Q49">IFERROR(INDEX('Bank Schedule'!R:R, SMALL(IF('Bank Schedule'!$K$2:$K$825="Vacant", ROW('Bank Schedule'!$K$2:$K$825)), ROW(46:46))), "")</f>
        <v/>
      </c>
      <c r="R49" s="11" t="str">
        <f t="array" ref="R49">IFERROR(INDEX('Bank Schedule'!S:S, SMALL(IF('Bank Schedule'!$K$2:$K$825="Vacant", ROW('Bank Schedule'!$K$2:$K$825)), ROW(46:46))), "")</f>
        <v/>
      </c>
      <c r="S49" s="320" t="str">
        <f t="array" ref="S49">IFERROR(INDEX('Bank Schedule'!T:T, SMALL(IF('Bank Schedule'!$K$2:$K$825="Vacant", ROW('Bank Schedule'!$K$2:$K$825)), ROW(46:46))), "")</f>
        <v/>
      </c>
      <c r="T49" s="320" t="str">
        <f t="array" ref="T49">IFERROR(INDEX('Bank Schedule'!U:U, SMALL(IF('Bank Schedule'!$K$2:$K$825="Vacant", ROW('Bank Schedule'!$K$2:$K$825)), ROW(46:46))), "")</f>
        <v/>
      </c>
      <c r="U49" s="320" t="str">
        <f t="array" ref="U49">IFERROR(INDEX('Bank Schedule'!V:V, SMALL(IF('Bank Schedule'!$K$2:$K$825="Vacant", ROW('Bank Schedule'!$K$2:$K$825)), ROW(46:46))), "")</f>
        <v/>
      </c>
      <c r="V49" s="320" t="str">
        <f t="array" ref="V49">IFERROR(INDEX('Bank Schedule'!W:W, SMALL(IF('Bank Schedule'!$K$2:$K$825="Vacant", ROW('Bank Schedule'!$K$2:$K$825)), ROW(46:46))), "")</f>
        <v/>
      </c>
      <c r="W49" s="319" t="str">
        <f t="array" ref="W49">IFERROR(INDEX('Bank Schedule'!X:X, SMALL(IF('Bank Schedule'!$K$2:$K$825="Vacant", ROW('Bank Schedule'!$K$2:$K$825)), ROW(46:46))), "")</f>
        <v/>
      </c>
      <c r="X49" s="11" t="str">
        <f t="array" ref="X49">IFERROR(INDEX('Bank Schedule'!Y:Y, SMALL(IF('Bank Schedule'!$K$2:$K$825="Vacant", ROW('Bank Schedule'!$K$2:$K$825)), ROW(46:46))), "")</f>
        <v/>
      </c>
      <c r="Y49" s="11" t="str">
        <f t="array" ref="Y49">IFERROR(INDEX('Bank Schedule'!Z:Z, SMALL(IF('Bank Schedule'!$K$2:$K$825="Vacant", ROW('Bank Schedule'!$K$2:$K$825)), ROW(46:46))), "")</f>
        <v/>
      </c>
      <c r="Z49" s="11" t="str">
        <f t="array" ref="Z49">IFERROR(INDEX('Bank Schedule'!AA:AA, SMALL(IF('Bank Schedule'!$K$2:$K$825="Vacant", ROW('Bank Schedule'!$K$2:$K$825)), ROW(46:46))), "")</f>
        <v/>
      </c>
      <c r="AA49" s="11" t="str">
        <f t="array" ref="AA49">IFERROR(INDEX('Bank Schedule'!AB:AB, SMALL(IF('Bank Schedule'!$K$2:$K$825="Vacant", ROW('Bank Schedule'!$K$2:$K$825)), ROW(46:46))), "")</f>
        <v/>
      </c>
      <c r="AB49" s="25" t="str">
        <f t="array" ref="AB49">IFERROR(INDEX('Bank Schedule'!AC:AC, SMALL(IF('Bank Schedule'!$K$2:$K$825="Vacant", ROW('Bank Schedule'!$K$2:$K$825)), ROW(46:46))), "")</f>
        <v/>
      </c>
      <c r="AC49" s="299" t="str">
        <f t="array" ref="AC49">IFERROR(INDEX('Bank Schedule'!AD:AD, SMALL(IF('Bank Schedule'!$K$2:$K$825="Vacant", ROW('Bank Schedule'!$K$2:$K$825)), ROW(46:46))), "")</f>
        <v/>
      </c>
      <c r="AD49" s="11" t="str">
        <f t="array" ref="AD49">IFERROR(INDEX('Bank Schedule'!AE:AE, SMALL(IF('Bank Schedule'!$K$2:$K$825="Vacant", ROW('Bank Schedule'!$K$2:$K$825)), ROW(46:46))), "")</f>
        <v/>
      </c>
      <c r="AE49" s="11" t="str">
        <f t="array" ref="AE49">IFERROR(INDEX('Bank Schedule'!AF:AF, SMALL(IF('Bank Schedule'!$K$2:$K$825="Vacant", ROW('Bank Schedule'!$K$2:$K$825)), ROW(46:46))), "")</f>
        <v/>
      </c>
      <c r="AF49" s="11" t="str">
        <f t="array" ref="AF49">IFERROR(INDEX('Bank Schedule'!AG:AG, SMALL(IF('Bank Schedule'!$K$2:$K$825="Vacant", ROW('Bank Schedule'!$K$2:$K$825)), ROW(46:46))), "")</f>
        <v/>
      </c>
      <c r="AG49" s="4"/>
    </row>
    <row r="50" spans="1:33" ht="28.5" hidden="1" customHeight="1">
      <c r="A50" s="2" t="str">
        <f t="array" ref="A50">IFERROR(INDEX('Bank Schedule'!A:A, SMALL(IF('Bank Schedule'!$K$2:$K$825="Vacant", ROW('Bank Schedule'!$K$2:$K$825)), ROW(47:47))), "")</f>
        <v/>
      </c>
      <c r="B50" s="11" t="str">
        <f t="array" ref="B50">IFERROR(INDEX('Bank Schedule'!B:B, SMALL(IF('Bank Schedule'!$K$2:$K$825="Vacant", ROW('Bank Schedule'!$K$2:$K$825)), ROW(47:47))), "")</f>
        <v/>
      </c>
      <c r="C50" s="11" t="str">
        <f t="array" ref="C50">IFERROR(INDEX('Bank Schedule'!C:C, SMALL(IF('Bank Schedule'!$K$2:$K$825="Vacant", ROW('Bank Schedule'!$K$2:$K$825)), ROW(47:47))), "")</f>
        <v/>
      </c>
      <c r="D50" s="11" t="str">
        <f t="array" ref="D50">IFERROR(INDEX('Bank Schedule'!D:D, SMALL(IF('Bank Schedule'!$K$2:$K$825="Vacant", ROW('Bank Schedule'!$K$2:$K$825)), ROW(47:47))), "")</f>
        <v/>
      </c>
      <c r="E50" s="25" t="str">
        <f t="array" ref="E50">IFERROR(INDEX('Bank Schedule'!E:E, SMALL(IF('Bank Schedule'!$K$2:$K$825="Vacant", ROW('Bank Schedule'!$K$2:$K$825)), ROW(47:47))), "")</f>
        <v/>
      </c>
      <c r="F50" s="25" t="str">
        <f t="array" ref="F50">IFERROR(INDEX('Bank Schedule'!F:F, SMALL(IF('Bank Schedule'!$K$2:$K$825="Vacant", ROW('Bank Schedule'!$K$2:$K$825)), ROW(47:47))), "")</f>
        <v/>
      </c>
      <c r="G50" s="25" t="str">
        <f t="array" ref="G50">IFERROR(INDEX('Bank Schedule'!G:G, SMALL(IF('Bank Schedule'!$K$2:$K$825="Vacant", ROW('Bank Schedule'!$K$2:$K$825)), ROW(47:47))), "")</f>
        <v/>
      </c>
      <c r="H50" s="55" t="str">
        <f t="array" ref="H50">IFERROR(INDEX('Bank Schedule'!H:H, SMALL(IF('Bank Schedule'!$K$2:$K$825="Vacant", ROW('Bank Schedule'!$K$2:$K$825)), ROW(47:47))), "")</f>
        <v/>
      </c>
      <c r="I50" s="55" t="str">
        <f t="array" ref="I50">IFERROR(INDEX('Bank Schedule'!I:I, SMALL(IF('Bank Schedule'!$K$2:$K$825="Vacant", ROW('Bank Schedule'!$K$2:$K$825)), ROW(47:47))), "")</f>
        <v/>
      </c>
      <c r="J50" s="11" t="str">
        <f t="array" ref="J50">IFERROR(INDEX('Bank Schedule'!K:K, SMALL(IF('Bank Schedule'!$K$2:$K$825="Vacant", ROW('Bank Schedule'!$K$2:$K$825)), ROW(47:47))), "")</f>
        <v/>
      </c>
      <c r="K50" s="11" t="str">
        <f t="array" ref="K50">IFERROR(INDEX('Bank Schedule'!L:L, SMALL(IF('Bank Schedule'!$K$2:$K$825="Vacant", ROW('Bank Schedule'!$K$2:$K$825)), ROW(47:47))), "")</f>
        <v/>
      </c>
      <c r="L50" s="11" t="str">
        <f t="array" ref="L50">IFERROR(INDEX('Bank Schedule'!M:M, SMALL(IF('Bank Schedule'!$K$2:$K$825="Vacant", ROW('Bank Schedule'!$K$2:$K$825)), ROW(47:47))), "")</f>
        <v/>
      </c>
      <c r="M50" s="106" t="str">
        <f t="array" ref="M50">IFERROR(INDEX('Bank Schedule'!N:N, SMALL(IF('Bank Schedule'!$K$2:$K$825="Vacant", ROW('Bank Schedule'!$K$2:$K$825)), ROW(47:47))), "")</f>
        <v/>
      </c>
      <c r="N50" s="11" t="str">
        <f t="array" ref="N50">IFERROR(INDEX('Bank Schedule'!O:O, SMALL(IF('Bank Schedule'!$K$2:$K$825="Vacant", ROW('Bank Schedule'!$K$2:$K$825)), ROW(47:47))), "")</f>
        <v/>
      </c>
      <c r="O50" s="11" t="str">
        <f t="array" ref="O50">IFERROR(INDEX('Bank Schedule'!P:P, SMALL(IF('Bank Schedule'!$K$2:$K$825="Vacant", ROW('Bank Schedule'!$K$2:$K$825)), ROW(47:47))), "")</f>
        <v/>
      </c>
      <c r="P50" s="11" t="str">
        <f t="array" ref="P50">IFERROR(INDEX('Bank Schedule'!Q:Q, SMALL(IF('Bank Schedule'!$K$2:$K$825="Vacant", ROW('Bank Schedule'!$K$2:$K$825)), ROW(47:47))), "")</f>
        <v/>
      </c>
      <c r="Q50" s="11" t="str">
        <f t="array" ref="Q50">IFERROR(INDEX('Bank Schedule'!R:R, SMALL(IF('Bank Schedule'!$K$2:$K$825="Vacant", ROW('Bank Schedule'!$K$2:$K$825)), ROW(47:47))), "")</f>
        <v/>
      </c>
      <c r="R50" s="11" t="str">
        <f t="array" ref="R50">IFERROR(INDEX('Bank Schedule'!S:S, SMALL(IF('Bank Schedule'!$K$2:$K$825="Vacant", ROW('Bank Schedule'!$K$2:$K$825)), ROW(47:47))), "")</f>
        <v/>
      </c>
      <c r="S50" s="320" t="str">
        <f t="array" ref="S50">IFERROR(INDEX('Bank Schedule'!T:T, SMALL(IF('Bank Schedule'!$K$2:$K$825="Vacant", ROW('Bank Schedule'!$K$2:$K$825)), ROW(47:47))), "")</f>
        <v/>
      </c>
      <c r="T50" s="320" t="str">
        <f t="array" ref="T50">IFERROR(INDEX('Bank Schedule'!U:U, SMALL(IF('Bank Schedule'!$K$2:$K$825="Vacant", ROW('Bank Schedule'!$K$2:$K$825)), ROW(47:47))), "")</f>
        <v/>
      </c>
      <c r="U50" s="320" t="str">
        <f t="array" ref="U50">IFERROR(INDEX('Bank Schedule'!V:V, SMALL(IF('Bank Schedule'!$K$2:$K$825="Vacant", ROW('Bank Schedule'!$K$2:$K$825)), ROW(47:47))), "")</f>
        <v/>
      </c>
      <c r="V50" s="320" t="str">
        <f t="array" ref="V50">IFERROR(INDEX('Bank Schedule'!W:W, SMALL(IF('Bank Schedule'!$K$2:$K$825="Vacant", ROW('Bank Schedule'!$K$2:$K$825)), ROW(47:47))), "")</f>
        <v/>
      </c>
      <c r="W50" s="319" t="str">
        <f t="array" ref="W50">IFERROR(INDEX('Bank Schedule'!X:X, SMALL(IF('Bank Schedule'!$K$2:$K$825="Vacant", ROW('Bank Schedule'!$K$2:$K$825)), ROW(47:47))), "")</f>
        <v/>
      </c>
      <c r="X50" s="11" t="str">
        <f t="array" ref="X50">IFERROR(INDEX('Bank Schedule'!Y:Y, SMALL(IF('Bank Schedule'!$K$2:$K$825="Vacant", ROW('Bank Schedule'!$K$2:$K$825)), ROW(47:47))), "")</f>
        <v/>
      </c>
      <c r="Y50" s="11" t="str">
        <f t="array" ref="Y50">IFERROR(INDEX('Bank Schedule'!Z:Z, SMALL(IF('Bank Schedule'!$K$2:$K$825="Vacant", ROW('Bank Schedule'!$K$2:$K$825)), ROW(47:47))), "")</f>
        <v/>
      </c>
      <c r="Z50" s="11" t="str">
        <f t="array" ref="Z50">IFERROR(INDEX('Bank Schedule'!AA:AA, SMALL(IF('Bank Schedule'!$K$2:$K$825="Vacant", ROW('Bank Schedule'!$K$2:$K$825)), ROW(47:47))), "")</f>
        <v/>
      </c>
      <c r="AA50" s="11" t="str">
        <f t="array" ref="AA50">IFERROR(INDEX('Bank Schedule'!AB:AB, SMALL(IF('Bank Schedule'!$K$2:$K$825="Vacant", ROW('Bank Schedule'!$K$2:$K$825)), ROW(47:47))), "")</f>
        <v/>
      </c>
      <c r="AB50" s="25" t="str">
        <f t="array" ref="AB50">IFERROR(INDEX('Bank Schedule'!AC:AC, SMALL(IF('Bank Schedule'!$K$2:$K$825="Vacant", ROW('Bank Schedule'!$K$2:$K$825)), ROW(47:47))), "")</f>
        <v/>
      </c>
      <c r="AC50" s="299" t="str">
        <f t="array" ref="AC50">IFERROR(INDEX('Bank Schedule'!AD:AD, SMALL(IF('Bank Schedule'!$K$2:$K$825="Vacant", ROW('Bank Schedule'!$K$2:$K$825)), ROW(47:47))), "")</f>
        <v/>
      </c>
      <c r="AD50" s="11" t="str">
        <f t="array" ref="AD50">IFERROR(INDEX('Bank Schedule'!AE:AE, SMALL(IF('Bank Schedule'!$K$2:$K$825="Vacant", ROW('Bank Schedule'!$K$2:$K$825)), ROW(47:47))), "")</f>
        <v/>
      </c>
      <c r="AE50" s="11" t="str">
        <f t="array" ref="AE50">IFERROR(INDEX('Bank Schedule'!AF:AF, SMALL(IF('Bank Schedule'!$K$2:$K$825="Vacant", ROW('Bank Schedule'!$K$2:$K$825)), ROW(47:47))), "")</f>
        <v/>
      </c>
      <c r="AF50" s="11" t="str">
        <f t="array" ref="AF50">IFERROR(INDEX('Bank Schedule'!AG:AG, SMALL(IF('Bank Schedule'!$K$2:$K$825="Vacant", ROW('Bank Schedule'!$K$2:$K$825)), ROW(47:47))), "")</f>
        <v/>
      </c>
      <c r="AG50" s="4"/>
    </row>
    <row r="51" spans="1:33" ht="28.5" hidden="1" customHeight="1">
      <c r="A51" s="2" t="str">
        <f t="array" ref="A51">IFERROR(INDEX('Bank Schedule'!A:A, SMALL(IF('Bank Schedule'!$K$2:$K$825="Vacant", ROW('Bank Schedule'!$K$2:$K$825)), ROW(48:48))), "")</f>
        <v/>
      </c>
      <c r="B51" s="11" t="str">
        <f t="array" ref="B51">IFERROR(INDEX('Bank Schedule'!B:B, SMALL(IF('Bank Schedule'!$K$2:$K$825="Vacant", ROW('Bank Schedule'!$K$2:$K$825)), ROW(48:48))), "")</f>
        <v/>
      </c>
      <c r="C51" s="11" t="str">
        <f t="array" ref="C51">IFERROR(INDEX('Bank Schedule'!C:C, SMALL(IF('Bank Schedule'!$K$2:$K$825="Vacant", ROW('Bank Schedule'!$K$2:$K$825)), ROW(48:48))), "")</f>
        <v/>
      </c>
      <c r="D51" s="11" t="str">
        <f t="array" ref="D51">IFERROR(INDEX('Bank Schedule'!D:D, SMALL(IF('Bank Schedule'!$K$2:$K$825="Vacant", ROW('Bank Schedule'!$K$2:$K$825)), ROW(48:48))), "")</f>
        <v/>
      </c>
      <c r="E51" s="25" t="str">
        <f t="array" ref="E51">IFERROR(INDEX('Bank Schedule'!E:E, SMALL(IF('Bank Schedule'!$K$2:$K$825="Vacant", ROW('Bank Schedule'!$K$2:$K$825)), ROW(48:48))), "")</f>
        <v/>
      </c>
      <c r="F51" s="25" t="str">
        <f t="array" ref="F51">IFERROR(INDEX('Bank Schedule'!F:F, SMALL(IF('Bank Schedule'!$K$2:$K$825="Vacant", ROW('Bank Schedule'!$K$2:$K$825)), ROW(48:48))), "")</f>
        <v/>
      </c>
      <c r="G51" s="25" t="str">
        <f t="array" ref="G51">IFERROR(INDEX('Bank Schedule'!G:G, SMALL(IF('Bank Schedule'!$K$2:$K$825="Vacant", ROW('Bank Schedule'!$K$2:$K$825)), ROW(48:48))), "")</f>
        <v/>
      </c>
      <c r="H51" s="55" t="str">
        <f t="array" ref="H51">IFERROR(INDEX('Bank Schedule'!H:H, SMALL(IF('Bank Schedule'!$K$2:$K$825="Vacant", ROW('Bank Schedule'!$K$2:$K$825)), ROW(48:48))), "")</f>
        <v/>
      </c>
      <c r="I51" s="55" t="str">
        <f t="array" ref="I51">IFERROR(INDEX('Bank Schedule'!I:I, SMALL(IF('Bank Schedule'!$K$2:$K$825="Vacant", ROW('Bank Schedule'!$K$2:$K$825)), ROW(48:48))), "")</f>
        <v/>
      </c>
      <c r="J51" s="11" t="str">
        <f t="array" ref="J51">IFERROR(INDEX('Bank Schedule'!K:K, SMALL(IF('Bank Schedule'!$K$2:$K$825="Vacant", ROW('Bank Schedule'!$K$2:$K$825)), ROW(48:48))), "")</f>
        <v/>
      </c>
      <c r="K51" s="11" t="str">
        <f t="array" ref="K51">IFERROR(INDEX('Bank Schedule'!L:L, SMALL(IF('Bank Schedule'!$K$2:$K$825="Vacant", ROW('Bank Schedule'!$K$2:$K$825)), ROW(48:48))), "")</f>
        <v/>
      </c>
      <c r="L51" s="11" t="str">
        <f t="array" ref="L51">IFERROR(INDEX('Bank Schedule'!M:M, SMALL(IF('Bank Schedule'!$K$2:$K$825="Vacant", ROW('Bank Schedule'!$K$2:$K$825)), ROW(48:48))), "")</f>
        <v/>
      </c>
      <c r="M51" s="106" t="str">
        <f t="array" ref="M51">IFERROR(INDEX('Bank Schedule'!N:N, SMALL(IF('Bank Schedule'!$K$2:$K$825="Vacant", ROW('Bank Schedule'!$K$2:$K$825)), ROW(48:48))), "")</f>
        <v/>
      </c>
      <c r="N51" s="11" t="str">
        <f t="array" ref="N51">IFERROR(INDEX('Bank Schedule'!O:O, SMALL(IF('Bank Schedule'!$K$2:$K$825="Vacant", ROW('Bank Schedule'!$K$2:$K$825)), ROW(48:48))), "")</f>
        <v/>
      </c>
      <c r="O51" s="11" t="str">
        <f t="array" ref="O51">IFERROR(INDEX('Bank Schedule'!P:P, SMALL(IF('Bank Schedule'!$K$2:$K$825="Vacant", ROW('Bank Schedule'!$K$2:$K$825)), ROW(48:48))), "")</f>
        <v/>
      </c>
      <c r="P51" s="11" t="str">
        <f t="array" ref="P51">IFERROR(INDEX('Bank Schedule'!Q:Q, SMALL(IF('Bank Schedule'!$K$2:$K$825="Vacant", ROW('Bank Schedule'!$K$2:$K$825)), ROW(48:48))), "")</f>
        <v/>
      </c>
      <c r="Q51" s="11" t="str">
        <f t="array" ref="Q51">IFERROR(INDEX('Bank Schedule'!R:R, SMALL(IF('Bank Schedule'!$K$2:$K$825="Vacant", ROW('Bank Schedule'!$K$2:$K$825)), ROW(48:48))), "")</f>
        <v/>
      </c>
      <c r="R51" s="11" t="str">
        <f t="array" ref="R51">IFERROR(INDEX('Bank Schedule'!S:S, SMALL(IF('Bank Schedule'!$K$2:$K$825="Vacant", ROW('Bank Schedule'!$K$2:$K$825)), ROW(48:48))), "")</f>
        <v/>
      </c>
      <c r="S51" s="320" t="str">
        <f t="array" ref="S51">IFERROR(INDEX('Bank Schedule'!T:T, SMALL(IF('Bank Schedule'!$K$2:$K$825="Vacant", ROW('Bank Schedule'!$K$2:$K$825)), ROW(48:48))), "")</f>
        <v/>
      </c>
      <c r="T51" s="320" t="str">
        <f t="array" ref="T51">IFERROR(INDEX('Bank Schedule'!U:U, SMALL(IF('Bank Schedule'!$K$2:$K$825="Vacant", ROW('Bank Schedule'!$K$2:$K$825)), ROW(48:48))), "")</f>
        <v/>
      </c>
      <c r="U51" s="320" t="str">
        <f t="array" ref="U51">IFERROR(INDEX('Bank Schedule'!V:V, SMALL(IF('Bank Schedule'!$K$2:$K$825="Vacant", ROW('Bank Schedule'!$K$2:$K$825)), ROW(48:48))), "")</f>
        <v/>
      </c>
      <c r="V51" s="320" t="str">
        <f t="array" ref="V51">IFERROR(INDEX('Bank Schedule'!W:W, SMALL(IF('Bank Schedule'!$K$2:$K$825="Vacant", ROW('Bank Schedule'!$K$2:$K$825)), ROW(48:48))), "")</f>
        <v/>
      </c>
      <c r="W51" s="319" t="str">
        <f t="array" ref="W51">IFERROR(INDEX('Bank Schedule'!X:X, SMALL(IF('Bank Schedule'!$K$2:$K$825="Vacant", ROW('Bank Schedule'!$K$2:$K$825)), ROW(48:48))), "")</f>
        <v/>
      </c>
      <c r="X51" s="11" t="str">
        <f t="array" ref="X51">IFERROR(INDEX('Bank Schedule'!Y:Y, SMALL(IF('Bank Schedule'!$K$2:$K$825="Vacant", ROW('Bank Schedule'!$K$2:$K$825)), ROW(48:48))), "")</f>
        <v/>
      </c>
      <c r="Y51" s="11" t="str">
        <f t="array" ref="Y51">IFERROR(INDEX('Bank Schedule'!Z:Z, SMALL(IF('Bank Schedule'!$K$2:$K$825="Vacant", ROW('Bank Schedule'!$K$2:$K$825)), ROW(48:48))), "")</f>
        <v/>
      </c>
      <c r="Z51" s="11" t="str">
        <f t="array" ref="Z51">IFERROR(INDEX('Bank Schedule'!AA:AA, SMALL(IF('Bank Schedule'!$K$2:$K$825="Vacant", ROW('Bank Schedule'!$K$2:$K$825)), ROW(48:48))), "")</f>
        <v/>
      </c>
      <c r="AA51" s="11" t="str">
        <f t="array" ref="AA51">IFERROR(INDEX('Bank Schedule'!AB:AB, SMALL(IF('Bank Schedule'!$K$2:$K$825="Vacant", ROW('Bank Schedule'!$K$2:$K$825)), ROW(48:48))), "")</f>
        <v/>
      </c>
      <c r="AB51" s="25" t="str">
        <f t="array" ref="AB51">IFERROR(INDEX('Bank Schedule'!AC:AC, SMALL(IF('Bank Schedule'!$K$2:$K$825="Vacant", ROW('Bank Schedule'!$K$2:$K$825)), ROW(48:48))), "")</f>
        <v/>
      </c>
      <c r="AC51" s="299" t="str">
        <f t="array" ref="AC51">IFERROR(INDEX('Bank Schedule'!AD:AD, SMALL(IF('Bank Schedule'!$K$2:$K$825="Vacant", ROW('Bank Schedule'!$K$2:$K$825)), ROW(48:48))), "")</f>
        <v/>
      </c>
      <c r="AD51" s="11" t="str">
        <f t="array" ref="AD51">IFERROR(INDEX('Bank Schedule'!AE:AE, SMALL(IF('Bank Schedule'!$K$2:$K$825="Vacant", ROW('Bank Schedule'!$K$2:$K$825)), ROW(48:48))), "")</f>
        <v/>
      </c>
      <c r="AE51" s="11" t="str">
        <f t="array" ref="AE51">IFERROR(INDEX('Bank Schedule'!AF:AF, SMALL(IF('Bank Schedule'!$K$2:$K$825="Vacant", ROW('Bank Schedule'!$K$2:$K$825)), ROW(48:48))), "")</f>
        <v/>
      </c>
      <c r="AF51" s="11" t="str">
        <f t="array" ref="AF51">IFERROR(INDEX('Bank Schedule'!AG:AG, SMALL(IF('Bank Schedule'!$K$2:$K$825="Vacant", ROW('Bank Schedule'!$K$2:$K$825)), ROW(48:48))), "")</f>
        <v/>
      </c>
      <c r="AG51" s="4"/>
    </row>
    <row r="52" spans="1:33" ht="28.5" hidden="1" customHeight="1">
      <c r="A52" s="2" t="str">
        <f t="array" ref="A52">IFERROR(INDEX('Bank Schedule'!A:A, SMALL(IF('Bank Schedule'!$K$2:$K$825="Vacant", ROW('Bank Schedule'!$K$2:$K$825)), ROW(49:49))), "")</f>
        <v/>
      </c>
      <c r="B52" s="11" t="str">
        <f t="array" ref="B52">IFERROR(INDEX('Bank Schedule'!B:B, SMALL(IF('Bank Schedule'!$K$2:$K$825="Vacant", ROW('Bank Schedule'!$K$2:$K$825)), ROW(49:49))), "")</f>
        <v/>
      </c>
      <c r="C52" s="11" t="str">
        <f t="array" ref="C52">IFERROR(INDEX('Bank Schedule'!C:C, SMALL(IF('Bank Schedule'!$K$2:$K$825="Vacant", ROW('Bank Schedule'!$K$2:$K$825)), ROW(49:49))), "")</f>
        <v/>
      </c>
      <c r="D52" s="11" t="str">
        <f t="array" ref="D52">IFERROR(INDEX('Bank Schedule'!D:D, SMALL(IF('Bank Schedule'!$K$2:$K$825="Vacant", ROW('Bank Schedule'!$K$2:$K$825)), ROW(49:49))), "")</f>
        <v/>
      </c>
      <c r="E52" s="25" t="str">
        <f t="array" ref="E52">IFERROR(INDEX('Bank Schedule'!E:E, SMALL(IF('Bank Schedule'!$K$2:$K$825="Vacant", ROW('Bank Schedule'!$K$2:$K$825)), ROW(49:49))), "")</f>
        <v/>
      </c>
      <c r="F52" s="25" t="str">
        <f t="array" ref="F52">IFERROR(INDEX('Bank Schedule'!F:F, SMALL(IF('Bank Schedule'!$K$2:$K$825="Vacant", ROW('Bank Schedule'!$K$2:$K$825)), ROW(49:49))), "")</f>
        <v/>
      </c>
      <c r="G52" s="25" t="str">
        <f t="array" ref="G52">IFERROR(INDEX('Bank Schedule'!G:G, SMALL(IF('Bank Schedule'!$K$2:$K$825="Vacant", ROW('Bank Schedule'!$K$2:$K$825)), ROW(49:49))), "")</f>
        <v/>
      </c>
      <c r="H52" s="55" t="str">
        <f t="array" ref="H52">IFERROR(INDEX('Bank Schedule'!H:H, SMALL(IF('Bank Schedule'!$K$2:$K$825="Vacant", ROW('Bank Schedule'!$K$2:$K$825)), ROW(49:49))), "")</f>
        <v/>
      </c>
      <c r="I52" s="55" t="str">
        <f t="array" ref="I52">IFERROR(INDEX('Bank Schedule'!I:I, SMALL(IF('Bank Schedule'!$K$2:$K$825="Vacant", ROW('Bank Schedule'!$K$2:$K$825)), ROW(49:49))), "")</f>
        <v/>
      </c>
      <c r="J52" s="11" t="str">
        <f t="array" ref="J52">IFERROR(INDEX('Bank Schedule'!K:K, SMALL(IF('Bank Schedule'!$K$2:$K$825="Vacant", ROW('Bank Schedule'!$K$2:$K$825)), ROW(49:49))), "")</f>
        <v/>
      </c>
      <c r="K52" s="11" t="str">
        <f t="array" ref="K52">IFERROR(INDEX('Bank Schedule'!L:L, SMALL(IF('Bank Schedule'!$K$2:$K$825="Vacant", ROW('Bank Schedule'!$K$2:$K$825)), ROW(49:49))), "")</f>
        <v/>
      </c>
      <c r="L52" s="11" t="str">
        <f t="array" ref="L52">IFERROR(INDEX('Bank Schedule'!M:M, SMALL(IF('Bank Schedule'!$K$2:$K$825="Vacant", ROW('Bank Schedule'!$K$2:$K$825)), ROW(49:49))), "")</f>
        <v/>
      </c>
      <c r="M52" s="106" t="str">
        <f t="array" ref="M52">IFERROR(INDEX('Bank Schedule'!N:N, SMALL(IF('Bank Schedule'!$K$2:$K$825="Vacant", ROW('Bank Schedule'!$K$2:$K$825)), ROW(49:49))), "")</f>
        <v/>
      </c>
      <c r="N52" s="11" t="str">
        <f t="array" ref="N52">IFERROR(INDEX('Bank Schedule'!O:O, SMALL(IF('Bank Schedule'!$K$2:$K$825="Vacant", ROW('Bank Schedule'!$K$2:$K$825)), ROW(49:49))), "")</f>
        <v/>
      </c>
      <c r="O52" s="11" t="str">
        <f t="array" ref="O52">IFERROR(INDEX('Bank Schedule'!P:P, SMALL(IF('Bank Schedule'!$K$2:$K$825="Vacant", ROW('Bank Schedule'!$K$2:$K$825)), ROW(49:49))), "")</f>
        <v/>
      </c>
      <c r="P52" s="11" t="str">
        <f t="array" ref="P52">IFERROR(INDEX('Bank Schedule'!Q:Q, SMALL(IF('Bank Schedule'!$K$2:$K$825="Vacant", ROW('Bank Schedule'!$K$2:$K$825)), ROW(49:49))), "")</f>
        <v/>
      </c>
      <c r="Q52" s="11" t="str">
        <f t="array" ref="Q52">IFERROR(INDEX('Bank Schedule'!R:R, SMALL(IF('Bank Schedule'!$K$2:$K$825="Vacant", ROW('Bank Schedule'!$K$2:$K$825)), ROW(49:49))), "")</f>
        <v/>
      </c>
      <c r="R52" s="11" t="str">
        <f t="array" ref="R52">IFERROR(INDEX('Bank Schedule'!S:S, SMALL(IF('Bank Schedule'!$K$2:$K$825="Vacant", ROW('Bank Schedule'!$K$2:$K$825)), ROW(49:49))), "")</f>
        <v/>
      </c>
      <c r="S52" s="320" t="str">
        <f t="array" ref="S52">IFERROR(INDEX('Bank Schedule'!T:T, SMALL(IF('Bank Schedule'!$K$2:$K$825="Vacant", ROW('Bank Schedule'!$K$2:$K$825)), ROW(49:49))), "")</f>
        <v/>
      </c>
      <c r="T52" s="320" t="str">
        <f t="array" ref="T52">IFERROR(INDEX('Bank Schedule'!U:U, SMALL(IF('Bank Schedule'!$K$2:$K$825="Vacant", ROW('Bank Schedule'!$K$2:$K$825)), ROW(49:49))), "")</f>
        <v/>
      </c>
      <c r="U52" s="320" t="str">
        <f t="array" ref="U52">IFERROR(INDEX('Bank Schedule'!V:V, SMALL(IF('Bank Schedule'!$K$2:$K$825="Vacant", ROW('Bank Schedule'!$K$2:$K$825)), ROW(49:49))), "")</f>
        <v/>
      </c>
      <c r="V52" s="320" t="str">
        <f t="array" ref="V52">IFERROR(INDEX('Bank Schedule'!W:W, SMALL(IF('Bank Schedule'!$K$2:$K$825="Vacant", ROW('Bank Schedule'!$K$2:$K$825)), ROW(49:49))), "")</f>
        <v/>
      </c>
      <c r="W52" s="319" t="str">
        <f t="array" ref="W52">IFERROR(INDEX('Bank Schedule'!X:X, SMALL(IF('Bank Schedule'!$K$2:$K$825="Vacant", ROW('Bank Schedule'!$K$2:$K$825)), ROW(49:49))), "")</f>
        <v/>
      </c>
      <c r="X52" s="11" t="str">
        <f t="array" ref="X52">IFERROR(INDEX('Bank Schedule'!Y:Y, SMALL(IF('Bank Schedule'!$K$2:$K$825="Vacant", ROW('Bank Schedule'!$K$2:$K$825)), ROW(49:49))), "")</f>
        <v/>
      </c>
      <c r="Y52" s="11" t="str">
        <f t="array" ref="Y52">IFERROR(INDEX('Bank Schedule'!Z:Z, SMALL(IF('Bank Schedule'!$K$2:$K$825="Vacant", ROW('Bank Schedule'!$K$2:$K$825)), ROW(49:49))), "")</f>
        <v/>
      </c>
      <c r="Z52" s="11" t="str">
        <f t="array" ref="Z52">IFERROR(INDEX('Bank Schedule'!AA:AA, SMALL(IF('Bank Schedule'!$K$2:$K$825="Vacant", ROW('Bank Schedule'!$K$2:$K$825)), ROW(49:49))), "")</f>
        <v/>
      </c>
      <c r="AA52" s="11" t="str">
        <f t="array" ref="AA52">IFERROR(INDEX('Bank Schedule'!AB:AB, SMALL(IF('Bank Schedule'!$K$2:$K$825="Vacant", ROW('Bank Schedule'!$K$2:$K$825)), ROW(49:49))), "")</f>
        <v/>
      </c>
      <c r="AB52" s="25" t="str">
        <f t="array" ref="AB52">IFERROR(INDEX('Bank Schedule'!AC:AC, SMALL(IF('Bank Schedule'!$K$2:$K$825="Vacant", ROW('Bank Schedule'!$K$2:$K$825)), ROW(49:49))), "")</f>
        <v/>
      </c>
      <c r="AC52" s="299" t="str">
        <f t="array" ref="AC52">IFERROR(INDEX('Bank Schedule'!AD:AD, SMALL(IF('Bank Schedule'!$K$2:$K$825="Vacant", ROW('Bank Schedule'!$K$2:$K$825)), ROW(49:49))), "")</f>
        <v/>
      </c>
      <c r="AD52" s="11" t="str">
        <f t="array" ref="AD52">IFERROR(INDEX('Bank Schedule'!AE:AE, SMALL(IF('Bank Schedule'!$K$2:$K$825="Vacant", ROW('Bank Schedule'!$K$2:$K$825)), ROW(49:49))), "")</f>
        <v/>
      </c>
      <c r="AE52" s="11" t="str">
        <f t="array" ref="AE52">IFERROR(INDEX('Bank Schedule'!AF:AF, SMALL(IF('Bank Schedule'!$K$2:$K$825="Vacant", ROW('Bank Schedule'!$K$2:$K$825)), ROW(49:49))), "")</f>
        <v/>
      </c>
      <c r="AF52" s="11" t="str">
        <f t="array" ref="AF52">IFERROR(INDEX('Bank Schedule'!AG:AG, SMALL(IF('Bank Schedule'!$K$2:$K$825="Vacant", ROW('Bank Schedule'!$K$2:$K$825)), ROW(49:49))), "")</f>
        <v/>
      </c>
      <c r="AG52" s="4"/>
    </row>
    <row r="53" spans="1:33" ht="28.5" hidden="1" customHeight="1">
      <c r="A53" s="2" t="str">
        <f t="array" ref="A53">IFERROR(INDEX('Bank Schedule'!A:A, SMALL(IF('Bank Schedule'!$K$2:$K$825="Vacant", ROW('Bank Schedule'!$K$2:$K$825)), ROW(50:50))), "")</f>
        <v/>
      </c>
      <c r="B53" s="11" t="str">
        <f t="array" ref="B53">IFERROR(INDEX('Bank Schedule'!B:B, SMALL(IF('Bank Schedule'!$K$2:$K$825="Vacant", ROW('Bank Schedule'!$K$2:$K$825)), ROW(50:50))), "")</f>
        <v/>
      </c>
      <c r="C53" s="11" t="str">
        <f t="array" ref="C53">IFERROR(INDEX('Bank Schedule'!C:C, SMALL(IF('Bank Schedule'!$K$2:$K$825="Vacant", ROW('Bank Schedule'!$K$2:$K$825)), ROW(50:50))), "")</f>
        <v/>
      </c>
      <c r="D53" s="11" t="str">
        <f t="array" ref="D53">IFERROR(INDEX('Bank Schedule'!D:D, SMALL(IF('Bank Schedule'!$K$2:$K$825="Vacant", ROW('Bank Schedule'!$K$2:$K$825)), ROW(50:50))), "")</f>
        <v/>
      </c>
      <c r="E53" s="25" t="str">
        <f t="array" ref="E53">IFERROR(INDEX('Bank Schedule'!E:E, SMALL(IF('Bank Schedule'!$K$2:$K$825="Vacant", ROW('Bank Schedule'!$K$2:$K$825)), ROW(50:50))), "")</f>
        <v/>
      </c>
      <c r="F53" s="25" t="str">
        <f t="array" ref="F53">IFERROR(INDEX('Bank Schedule'!F:F, SMALL(IF('Bank Schedule'!$K$2:$K$825="Vacant", ROW('Bank Schedule'!$K$2:$K$825)), ROW(50:50))), "")</f>
        <v/>
      </c>
      <c r="G53" s="25" t="str">
        <f t="array" ref="G53">IFERROR(INDEX('Bank Schedule'!G:G, SMALL(IF('Bank Schedule'!$K$2:$K$825="Vacant", ROW('Bank Schedule'!$K$2:$K$825)), ROW(50:50))), "")</f>
        <v/>
      </c>
      <c r="H53" s="55" t="str">
        <f t="array" ref="H53">IFERROR(INDEX('Bank Schedule'!H:H, SMALL(IF('Bank Schedule'!$K$2:$K$825="Vacant", ROW('Bank Schedule'!$K$2:$K$825)), ROW(50:50))), "")</f>
        <v/>
      </c>
      <c r="I53" s="55" t="str">
        <f t="array" ref="I53">IFERROR(INDEX('Bank Schedule'!I:I, SMALL(IF('Bank Schedule'!$K$2:$K$825="Vacant", ROW('Bank Schedule'!$K$2:$K$825)), ROW(50:50))), "")</f>
        <v/>
      </c>
      <c r="J53" s="11" t="str">
        <f t="array" ref="J53">IFERROR(INDEX('Bank Schedule'!K:K, SMALL(IF('Bank Schedule'!$K$2:$K$825="Vacant", ROW('Bank Schedule'!$K$2:$K$825)), ROW(50:50))), "")</f>
        <v/>
      </c>
      <c r="K53" s="11" t="str">
        <f t="array" ref="K53">IFERROR(INDEX('Bank Schedule'!L:L, SMALL(IF('Bank Schedule'!$K$2:$K$825="Vacant", ROW('Bank Schedule'!$K$2:$K$825)), ROW(50:50))), "")</f>
        <v/>
      </c>
      <c r="L53" s="11" t="str">
        <f t="array" ref="L53">IFERROR(INDEX('Bank Schedule'!M:M, SMALL(IF('Bank Schedule'!$K$2:$K$825="Vacant", ROW('Bank Schedule'!$K$2:$K$825)), ROW(50:50))), "")</f>
        <v/>
      </c>
      <c r="M53" s="106" t="str">
        <f t="array" ref="M53">IFERROR(INDEX('Bank Schedule'!N:N, SMALL(IF('Bank Schedule'!$K$2:$K$825="Vacant", ROW('Bank Schedule'!$K$2:$K$825)), ROW(50:50))), "")</f>
        <v/>
      </c>
      <c r="N53" s="11" t="str">
        <f t="array" ref="N53">IFERROR(INDEX('Bank Schedule'!O:O, SMALL(IF('Bank Schedule'!$K$2:$K$825="Vacant", ROW('Bank Schedule'!$K$2:$K$825)), ROW(50:50))), "")</f>
        <v/>
      </c>
      <c r="O53" s="11" t="str">
        <f t="array" ref="O53">IFERROR(INDEX('Bank Schedule'!P:P, SMALL(IF('Bank Schedule'!$K$2:$K$825="Vacant", ROW('Bank Schedule'!$K$2:$K$825)), ROW(50:50))), "")</f>
        <v/>
      </c>
      <c r="P53" s="11" t="str">
        <f t="array" ref="P53">IFERROR(INDEX('Bank Schedule'!Q:Q, SMALL(IF('Bank Schedule'!$K$2:$K$825="Vacant", ROW('Bank Schedule'!$K$2:$K$825)), ROW(50:50))), "")</f>
        <v/>
      </c>
      <c r="Q53" s="11" t="str">
        <f t="array" ref="Q53">IFERROR(INDEX('Bank Schedule'!R:R, SMALL(IF('Bank Schedule'!$K$2:$K$825="Vacant", ROW('Bank Schedule'!$K$2:$K$825)), ROW(50:50))), "")</f>
        <v/>
      </c>
      <c r="R53" s="11" t="str">
        <f t="array" ref="R53">IFERROR(INDEX('Bank Schedule'!S:S, SMALL(IF('Bank Schedule'!$K$2:$K$825="Vacant", ROW('Bank Schedule'!$K$2:$K$825)), ROW(50:50))), "")</f>
        <v/>
      </c>
      <c r="S53" s="320" t="str">
        <f t="array" ref="S53">IFERROR(INDEX('Bank Schedule'!T:T, SMALL(IF('Bank Schedule'!$K$2:$K$825="Vacant", ROW('Bank Schedule'!$K$2:$K$825)), ROW(50:50))), "")</f>
        <v/>
      </c>
      <c r="T53" s="320" t="str">
        <f t="array" ref="T53">IFERROR(INDEX('Bank Schedule'!U:U, SMALL(IF('Bank Schedule'!$K$2:$K$825="Vacant", ROW('Bank Schedule'!$K$2:$K$825)), ROW(50:50))), "")</f>
        <v/>
      </c>
      <c r="U53" s="320" t="str">
        <f t="array" ref="U53">IFERROR(INDEX('Bank Schedule'!V:V, SMALL(IF('Bank Schedule'!$K$2:$K$825="Vacant", ROW('Bank Schedule'!$K$2:$K$825)), ROW(50:50))), "")</f>
        <v/>
      </c>
      <c r="V53" s="320" t="str">
        <f t="array" ref="V53">IFERROR(INDEX('Bank Schedule'!W:W, SMALL(IF('Bank Schedule'!$K$2:$K$825="Vacant", ROW('Bank Schedule'!$K$2:$K$825)), ROW(50:50))), "")</f>
        <v/>
      </c>
      <c r="W53" s="319" t="str">
        <f t="array" ref="W53">IFERROR(INDEX('Bank Schedule'!X:X, SMALL(IF('Bank Schedule'!$K$2:$K$825="Vacant", ROW('Bank Schedule'!$K$2:$K$825)), ROW(50:50))), "")</f>
        <v/>
      </c>
      <c r="X53" s="11" t="str">
        <f t="array" ref="X53">IFERROR(INDEX('Bank Schedule'!Y:Y, SMALL(IF('Bank Schedule'!$K$2:$K$825="Vacant", ROW('Bank Schedule'!$K$2:$K$825)), ROW(50:50))), "")</f>
        <v/>
      </c>
      <c r="Y53" s="11" t="str">
        <f t="array" ref="Y53">IFERROR(INDEX('Bank Schedule'!Z:Z, SMALL(IF('Bank Schedule'!$K$2:$K$825="Vacant", ROW('Bank Schedule'!$K$2:$K$825)), ROW(50:50))), "")</f>
        <v/>
      </c>
      <c r="Z53" s="11" t="str">
        <f t="array" ref="Z53">IFERROR(INDEX('Bank Schedule'!AA:AA, SMALL(IF('Bank Schedule'!$K$2:$K$825="Vacant", ROW('Bank Schedule'!$K$2:$K$825)), ROW(50:50))), "")</f>
        <v/>
      </c>
      <c r="AA53" s="11" t="str">
        <f t="array" ref="AA53">IFERROR(INDEX('Bank Schedule'!AB:AB, SMALL(IF('Bank Schedule'!$K$2:$K$825="Vacant", ROW('Bank Schedule'!$K$2:$K$825)), ROW(50:50))), "")</f>
        <v/>
      </c>
      <c r="AB53" s="25" t="str">
        <f t="array" ref="AB53">IFERROR(INDEX('Bank Schedule'!AC:AC, SMALL(IF('Bank Schedule'!$K$2:$K$825="Vacant", ROW('Bank Schedule'!$K$2:$K$825)), ROW(50:50))), "")</f>
        <v/>
      </c>
      <c r="AC53" s="299" t="str">
        <f t="array" ref="AC53">IFERROR(INDEX('Bank Schedule'!AD:AD, SMALL(IF('Bank Schedule'!$K$2:$K$825="Vacant", ROW('Bank Schedule'!$K$2:$K$825)), ROW(50:50))), "")</f>
        <v/>
      </c>
      <c r="AD53" s="11" t="str">
        <f t="array" ref="AD53">IFERROR(INDEX('Bank Schedule'!AE:AE, SMALL(IF('Bank Schedule'!$K$2:$K$825="Vacant", ROW('Bank Schedule'!$K$2:$K$825)), ROW(50:50))), "")</f>
        <v/>
      </c>
      <c r="AE53" s="11" t="str">
        <f t="array" ref="AE53">IFERROR(INDEX('Bank Schedule'!AF:AF, SMALL(IF('Bank Schedule'!$K$2:$K$825="Vacant", ROW('Bank Schedule'!$K$2:$K$825)), ROW(50:50))), "")</f>
        <v/>
      </c>
      <c r="AF53" s="11" t="str">
        <f t="array" ref="AF53">IFERROR(INDEX('Bank Schedule'!AG:AG, SMALL(IF('Bank Schedule'!$K$2:$K$825="Vacant", ROW('Bank Schedule'!$K$2:$K$825)), ROW(50:50))), "")</f>
        <v/>
      </c>
      <c r="AG53" s="4"/>
    </row>
    <row r="54" spans="1:33" ht="28.5" hidden="1" customHeight="1">
      <c r="A54" s="2" t="str">
        <f t="array" ref="A54">IFERROR(INDEX('Bank Schedule'!A:A, SMALL(IF('Bank Schedule'!$K$2:$K$825="Vacant", ROW('Bank Schedule'!$K$2:$K$825)), ROW(51:51))), "")</f>
        <v/>
      </c>
      <c r="B54" s="11" t="str">
        <f t="array" ref="B54">IFERROR(INDEX('Bank Schedule'!B:B, SMALL(IF('Bank Schedule'!$K$2:$K$825="Vacant", ROW('Bank Schedule'!$K$2:$K$825)), ROW(51:51))), "")</f>
        <v/>
      </c>
      <c r="C54" s="11" t="str">
        <f t="array" ref="C54">IFERROR(INDEX('Bank Schedule'!C:C, SMALL(IF('Bank Schedule'!$K$2:$K$825="Vacant", ROW('Bank Schedule'!$K$2:$K$825)), ROW(51:51))), "")</f>
        <v/>
      </c>
      <c r="D54" s="11" t="str">
        <f t="array" ref="D54">IFERROR(INDEX('Bank Schedule'!D:D, SMALL(IF('Bank Schedule'!$K$2:$K$825="Vacant", ROW('Bank Schedule'!$K$2:$K$825)), ROW(51:51))), "")</f>
        <v/>
      </c>
      <c r="E54" s="25" t="str">
        <f t="array" ref="E54">IFERROR(INDEX('Bank Schedule'!E:E, SMALL(IF('Bank Schedule'!$K$2:$K$825="Vacant", ROW('Bank Schedule'!$K$2:$K$825)), ROW(51:51))), "")</f>
        <v/>
      </c>
      <c r="F54" s="25" t="str">
        <f t="array" ref="F54">IFERROR(INDEX('Bank Schedule'!F:F, SMALL(IF('Bank Schedule'!$K$2:$K$825="Vacant", ROW('Bank Schedule'!$K$2:$K$825)), ROW(51:51))), "")</f>
        <v/>
      </c>
      <c r="G54" s="25" t="str">
        <f t="array" ref="G54">IFERROR(INDEX('Bank Schedule'!G:G, SMALL(IF('Bank Schedule'!$K$2:$K$825="Vacant", ROW('Bank Schedule'!$K$2:$K$825)), ROW(51:51))), "")</f>
        <v/>
      </c>
      <c r="H54" s="55" t="str">
        <f t="array" ref="H54">IFERROR(INDEX('Bank Schedule'!H:H, SMALL(IF('Bank Schedule'!$K$2:$K$825="Vacant", ROW('Bank Schedule'!$K$2:$K$825)), ROW(51:51))), "")</f>
        <v/>
      </c>
      <c r="I54" s="55" t="str">
        <f t="array" ref="I54">IFERROR(INDEX('Bank Schedule'!I:I, SMALL(IF('Bank Schedule'!$K$2:$K$825="Vacant", ROW('Bank Schedule'!$K$2:$K$825)), ROW(51:51))), "")</f>
        <v/>
      </c>
      <c r="J54" s="11" t="str">
        <f t="array" ref="J54">IFERROR(INDEX('Bank Schedule'!K:K, SMALL(IF('Bank Schedule'!$K$2:$K$825="Vacant", ROW('Bank Schedule'!$K$2:$K$825)), ROW(51:51))), "")</f>
        <v/>
      </c>
      <c r="K54" s="11" t="str">
        <f t="array" ref="K54">IFERROR(INDEX('Bank Schedule'!L:L, SMALL(IF('Bank Schedule'!$K$2:$K$825="Vacant", ROW('Bank Schedule'!$K$2:$K$825)), ROW(51:51))), "")</f>
        <v/>
      </c>
      <c r="L54" s="11" t="str">
        <f t="array" ref="L54">IFERROR(INDEX('Bank Schedule'!M:M, SMALL(IF('Bank Schedule'!$K$2:$K$825="Vacant", ROW('Bank Schedule'!$K$2:$K$825)), ROW(51:51))), "")</f>
        <v/>
      </c>
      <c r="M54" s="106" t="str">
        <f t="array" ref="M54">IFERROR(INDEX('Bank Schedule'!N:N, SMALL(IF('Bank Schedule'!$K$2:$K$825="Vacant", ROW('Bank Schedule'!$K$2:$K$825)), ROW(51:51))), "")</f>
        <v/>
      </c>
      <c r="N54" s="11" t="str">
        <f t="array" ref="N54">IFERROR(INDEX('Bank Schedule'!O:O, SMALL(IF('Bank Schedule'!$K$2:$K$825="Vacant", ROW('Bank Schedule'!$K$2:$K$825)), ROW(51:51))), "")</f>
        <v/>
      </c>
      <c r="O54" s="11" t="str">
        <f t="array" ref="O54">IFERROR(INDEX('Bank Schedule'!P:P, SMALL(IF('Bank Schedule'!$K$2:$K$825="Vacant", ROW('Bank Schedule'!$K$2:$K$825)), ROW(51:51))), "")</f>
        <v/>
      </c>
      <c r="P54" s="11" t="str">
        <f t="array" ref="P54">IFERROR(INDEX('Bank Schedule'!Q:Q, SMALL(IF('Bank Schedule'!$K$2:$K$825="Vacant", ROW('Bank Schedule'!$K$2:$K$825)), ROW(51:51))), "")</f>
        <v/>
      </c>
      <c r="Q54" s="11" t="str">
        <f t="array" ref="Q54">IFERROR(INDEX('Bank Schedule'!R:R, SMALL(IF('Bank Schedule'!$K$2:$K$825="Vacant", ROW('Bank Schedule'!$K$2:$K$825)), ROW(51:51))), "")</f>
        <v/>
      </c>
      <c r="R54" s="11" t="str">
        <f t="array" ref="R54">IFERROR(INDEX('Bank Schedule'!S:S, SMALL(IF('Bank Schedule'!$K$2:$K$825="Vacant", ROW('Bank Schedule'!$K$2:$K$825)), ROW(51:51))), "")</f>
        <v/>
      </c>
      <c r="S54" s="320" t="str">
        <f t="array" ref="S54">IFERROR(INDEX('Bank Schedule'!T:T, SMALL(IF('Bank Schedule'!$K$2:$K$825="Vacant", ROW('Bank Schedule'!$K$2:$K$825)), ROW(51:51))), "")</f>
        <v/>
      </c>
      <c r="T54" s="320" t="str">
        <f t="array" ref="T54">IFERROR(INDEX('Bank Schedule'!U:U, SMALL(IF('Bank Schedule'!$K$2:$K$825="Vacant", ROW('Bank Schedule'!$K$2:$K$825)), ROW(51:51))), "")</f>
        <v/>
      </c>
      <c r="U54" s="320" t="str">
        <f t="array" ref="U54">IFERROR(INDEX('Bank Schedule'!V:V, SMALL(IF('Bank Schedule'!$K$2:$K$825="Vacant", ROW('Bank Schedule'!$K$2:$K$825)), ROW(51:51))), "")</f>
        <v/>
      </c>
      <c r="V54" s="320" t="str">
        <f t="array" ref="V54">IFERROR(INDEX('Bank Schedule'!W:W, SMALL(IF('Bank Schedule'!$K$2:$K$825="Vacant", ROW('Bank Schedule'!$K$2:$K$825)), ROW(51:51))), "")</f>
        <v/>
      </c>
      <c r="W54" s="319" t="str">
        <f t="array" ref="W54">IFERROR(INDEX('Bank Schedule'!X:X, SMALL(IF('Bank Schedule'!$K$2:$K$825="Vacant", ROW('Bank Schedule'!$K$2:$K$825)), ROW(51:51))), "")</f>
        <v/>
      </c>
      <c r="X54" s="11" t="str">
        <f t="array" ref="X54">IFERROR(INDEX('Bank Schedule'!Y:Y, SMALL(IF('Bank Schedule'!$K$2:$K$825="Vacant", ROW('Bank Schedule'!$K$2:$K$825)), ROW(51:51))), "")</f>
        <v/>
      </c>
      <c r="Y54" s="11" t="str">
        <f t="array" ref="Y54">IFERROR(INDEX('Bank Schedule'!Z:Z, SMALL(IF('Bank Schedule'!$K$2:$K$825="Vacant", ROW('Bank Schedule'!$K$2:$K$825)), ROW(51:51))), "")</f>
        <v/>
      </c>
      <c r="Z54" s="11" t="str">
        <f t="array" ref="Z54">IFERROR(INDEX('Bank Schedule'!AA:AA, SMALL(IF('Bank Schedule'!$K$2:$K$825="Vacant", ROW('Bank Schedule'!$K$2:$K$825)), ROW(51:51))), "")</f>
        <v/>
      </c>
      <c r="AA54" s="11" t="str">
        <f t="array" ref="AA54">IFERROR(INDEX('Bank Schedule'!AB:AB, SMALL(IF('Bank Schedule'!$K$2:$K$825="Vacant", ROW('Bank Schedule'!$K$2:$K$825)), ROW(51:51))), "")</f>
        <v/>
      </c>
      <c r="AB54" s="25" t="str">
        <f t="array" ref="AB54">IFERROR(INDEX('Bank Schedule'!AC:AC, SMALL(IF('Bank Schedule'!$K$2:$K$825="Vacant", ROW('Bank Schedule'!$K$2:$K$825)), ROW(51:51))), "")</f>
        <v/>
      </c>
      <c r="AC54" s="299" t="str">
        <f t="array" ref="AC54">IFERROR(INDEX('Bank Schedule'!AD:AD, SMALL(IF('Bank Schedule'!$K$2:$K$825="Vacant", ROW('Bank Schedule'!$K$2:$K$825)), ROW(51:51))), "")</f>
        <v/>
      </c>
      <c r="AD54" s="11" t="str">
        <f t="array" ref="AD54">IFERROR(INDEX('Bank Schedule'!AE:AE, SMALL(IF('Bank Schedule'!$K$2:$K$825="Vacant", ROW('Bank Schedule'!$K$2:$K$825)), ROW(51:51))), "")</f>
        <v/>
      </c>
      <c r="AE54" s="11" t="str">
        <f t="array" ref="AE54">IFERROR(INDEX('Bank Schedule'!AF:AF, SMALL(IF('Bank Schedule'!$K$2:$K$825="Vacant", ROW('Bank Schedule'!$K$2:$K$825)), ROW(51:51))), "")</f>
        <v/>
      </c>
      <c r="AF54" s="11" t="str">
        <f t="array" ref="AF54">IFERROR(INDEX('Bank Schedule'!AG:AG, SMALL(IF('Bank Schedule'!$K$2:$K$825="Vacant", ROW('Bank Schedule'!$K$2:$K$825)), ROW(51:51))), "")</f>
        <v/>
      </c>
      <c r="AG54" s="4"/>
    </row>
    <row r="55" spans="1:33" ht="28.5" hidden="1" customHeight="1">
      <c r="A55" s="2" t="str">
        <f t="array" ref="A55">IFERROR(INDEX('Bank Schedule'!A:A, SMALL(IF('Bank Schedule'!$K$2:$K$825="Vacant", ROW('Bank Schedule'!$K$2:$K$825)), ROW(52:52))), "")</f>
        <v/>
      </c>
      <c r="B55" s="11" t="str">
        <f t="array" ref="B55">IFERROR(INDEX('Bank Schedule'!B:B, SMALL(IF('Bank Schedule'!$K$2:$K$825="Vacant", ROW('Bank Schedule'!$K$2:$K$825)), ROW(52:52))), "")</f>
        <v/>
      </c>
      <c r="C55" s="11" t="str">
        <f t="array" ref="C55">IFERROR(INDEX('Bank Schedule'!C:C, SMALL(IF('Bank Schedule'!$K$2:$K$825="Vacant", ROW('Bank Schedule'!$K$2:$K$825)), ROW(52:52))), "")</f>
        <v/>
      </c>
      <c r="D55" s="11" t="str">
        <f t="array" ref="D55">IFERROR(INDEX('Bank Schedule'!D:D, SMALL(IF('Bank Schedule'!$K$2:$K$825="Vacant", ROW('Bank Schedule'!$K$2:$K$825)), ROW(52:52))), "")</f>
        <v/>
      </c>
      <c r="E55" s="25" t="str">
        <f t="array" ref="E55">IFERROR(INDEX('Bank Schedule'!E:E, SMALL(IF('Bank Schedule'!$K$2:$K$825="Vacant", ROW('Bank Schedule'!$K$2:$K$825)), ROW(52:52))), "")</f>
        <v/>
      </c>
      <c r="F55" s="25" t="str">
        <f t="array" ref="F55">IFERROR(INDEX('Bank Schedule'!F:F, SMALL(IF('Bank Schedule'!$K$2:$K$825="Vacant", ROW('Bank Schedule'!$K$2:$K$825)), ROW(52:52))), "")</f>
        <v/>
      </c>
      <c r="G55" s="25" t="str">
        <f t="array" ref="G55">IFERROR(INDEX('Bank Schedule'!G:G, SMALL(IF('Bank Schedule'!$K$2:$K$825="Vacant", ROW('Bank Schedule'!$K$2:$K$825)), ROW(52:52))), "")</f>
        <v/>
      </c>
      <c r="H55" s="55" t="str">
        <f t="array" ref="H55">IFERROR(INDEX('Bank Schedule'!H:H, SMALL(IF('Bank Schedule'!$K$2:$K$825="Vacant", ROW('Bank Schedule'!$K$2:$K$825)), ROW(52:52))), "")</f>
        <v/>
      </c>
      <c r="I55" s="55" t="str">
        <f t="array" ref="I55">IFERROR(INDEX('Bank Schedule'!I:I, SMALL(IF('Bank Schedule'!$K$2:$K$825="Vacant", ROW('Bank Schedule'!$K$2:$K$825)), ROW(52:52))), "")</f>
        <v/>
      </c>
      <c r="J55" s="11" t="str">
        <f t="array" ref="J55">IFERROR(INDEX('Bank Schedule'!K:K, SMALL(IF('Bank Schedule'!$K$2:$K$825="Vacant", ROW('Bank Schedule'!$K$2:$K$825)), ROW(52:52))), "")</f>
        <v/>
      </c>
      <c r="K55" s="11" t="str">
        <f t="array" ref="K55">IFERROR(INDEX('Bank Schedule'!L:L, SMALL(IF('Bank Schedule'!$K$2:$K$825="Vacant", ROW('Bank Schedule'!$K$2:$K$825)), ROW(52:52))), "")</f>
        <v/>
      </c>
      <c r="L55" s="11" t="str">
        <f t="array" ref="L55">IFERROR(INDEX('Bank Schedule'!M:M, SMALL(IF('Bank Schedule'!$K$2:$K$825="Vacant", ROW('Bank Schedule'!$K$2:$K$825)), ROW(52:52))), "")</f>
        <v/>
      </c>
      <c r="M55" s="106" t="str">
        <f t="array" ref="M55">IFERROR(INDEX('Bank Schedule'!N:N, SMALL(IF('Bank Schedule'!$K$2:$K$825="Vacant", ROW('Bank Schedule'!$K$2:$K$825)), ROW(52:52))), "")</f>
        <v/>
      </c>
      <c r="N55" s="11" t="str">
        <f t="array" ref="N55">IFERROR(INDEX('Bank Schedule'!O:O, SMALL(IF('Bank Schedule'!$K$2:$K$825="Vacant", ROW('Bank Schedule'!$K$2:$K$825)), ROW(52:52))), "")</f>
        <v/>
      </c>
      <c r="O55" s="11" t="str">
        <f t="array" ref="O55">IFERROR(INDEX('Bank Schedule'!P:P, SMALL(IF('Bank Schedule'!$K$2:$K$825="Vacant", ROW('Bank Schedule'!$K$2:$K$825)), ROW(52:52))), "")</f>
        <v/>
      </c>
      <c r="P55" s="11" t="str">
        <f t="array" ref="P55">IFERROR(INDEX('Bank Schedule'!Q:Q, SMALL(IF('Bank Schedule'!$K$2:$K$825="Vacant", ROW('Bank Schedule'!$K$2:$K$825)), ROW(52:52))), "")</f>
        <v/>
      </c>
      <c r="Q55" s="11" t="str">
        <f t="array" ref="Q55">IFERROR(INDEX('Bank Schedule'!R:R, SMALL(IF('Bank Schedule'!$K$2:$K$825="Vacant", ROW('Bank Schedule'!$K$2:$K$825)), ROW(52:52))), "")</f>
        <v/>
      </c>
      <c r="R55" s="11" t="str">
        <f t="array" ref="R55">IFERROR(INDEX('Bank Schedule'!S:S, SMALL(IF('Bank Schedule'!$K$2:$K$825="Vacant", ROW('Bank Schedule'!$K$2:$K$825)), ROW(52:52))), "")</f>
        <v/>
      </c>
      <c r="S55" s="320" t="str">
        <f t="array" ref="S55">IFERROR(INDEX('Bank Schedule'!T:T, SMALL(IF('Bank Schedule'!$K$2:$K$825="Vacant", ROW('Bank Schedule'!$K$2:$K$825)), ROW(52:52))), "")</f>
        <v/>
      </c>
      <c r="T55" s="320" t="str">
        <f t="array" ref="T55">IFERROR(INDEX('Bank Schedule'!U:U, SMALL(IF('Bank Schedule'!$K$2:$K$825="Vacant", ROW('Bank Schedule'!$K$2:$K$825)), ROW(52:52))), "")</f>
        <v/>
      </c>
      <c r="U55" s="320" t="str">
        <f t="array" ref="U55">IFERROR(INDEX('Bank Schedule'!V:V, SMALL(IF('Bank Schedule'!$K$2:$K$825="Vacant", ROW('Bank Schedule'!$K$2:$K$825)), ROW(52:52))), "")</f>
        <v/>
      </c>
      <c r="V55" s="320" t="str">
        <f t="array" ref="V55">IFERROR(INDEX('Bank Schedule'!W:W, SMALL(IF('Bank Schedule'!$K$2:$K$825="Vacant", ROW('Bank Schedule'!$K$2:$K$825)), ROW(52:52))), "")</f>
        <v/>
      </c>
      <c r="W55" s="319" t="str">
        <f t="array" ref="W55">IFERROR(INDEX('Bank Schedule'!X:X, SMALL(IF('Bank Schedule'!$K$2:$K$825="Vacant", ROW('Bank Schedule'!$K$2:$K$825)), ROW(52:52))), "")</f>
        <v/>
      </c>
      <c r="X55" s="11" t="str">
        <f t="array" ref="X55">IFERROR(INDEX('Bank Schedule'!Y:Y, SMALL(IF('Bank Schedule'!$K$2:$K$825="Vacant", ROW('Bank Schedule'!$K$2:$K$825)), ROW(52:52))), "")</f>
        <v/>
      </c>
      <c r="Y55" s="11" t="str">
        <f t="array" ref="Y55">IFERROR(INDEX('Bank Schedule'!Z:Z, SMALL(IF('Bank Schedule'!$K$2:$K$825="Vacant", ROW('Bank Schedule'!$K$2:$K$825)), ROW(52:52))), "")</f>
        <v/>
      </c>
      <c r="Z55" s="11" t="str">
        <f t="array" ref="Z55">IFERROR(INDEX('Bank Schedule'!AA:AA, SMALL(IF('Bank Schedule'!$K$2:$K$825="Vacant", ROW('Bank Schedule'!$K$2:$K$825)), ROW(52:52))), "")</f>
        <v/>
      </c>
      <c r="AA55" s="11" t="str">
        <f t="array" ref="AA55">IFERROR(INDEX('Bank Schedule'!AB:AB, SMALL(IF('Bank Schedule'!$K$2:$K$825="Vacant", ROW('Bank Schedule'!$K$2:$K$825)), ROW(52:52))), "")</f>
        <v/>
      </c>
      <c r="AB55" s="25" t="str">
        <f t="array" ref="AB55">IFERROR(INDEX('Bank Schedule'!AC:AC, SMALL(IF('Bank Schedule'!$K$2:$K$825="Vacant", ROW('Bank Schedule'!$K$2:$K$825)), ROW(52:52))), "")</f>
        <v/>
      </c>
      <c r="AC55" s="299" t="str">
        <f t="array" ref="AC55">IFERROR(INDEX('Bank Schedule'!AD:AD, SMALL(IF('Bank Schedule'!$K$2:$K$825="Vacant", ROW('Bank Schedule'!$K$2:$K$825)), ROW(52:52))), "")</f>
        <v/>
      </c>
      <c r="AD55" s="11" t="str">
        <f t="array" ref="AD55">IFERROR(INDEX('Bank Schedule'!AE:AE, SMALL(IF('Bank Schedule'!$K$2:$K$825="Vacant", ROW('Bank Schedule'!$K$2:$K$825)), ROW(52:52))), "")</f>
        <v/>
      </c>
      <c r="AE55" s="11" t="str">
        <f t="array" ref="AE55">IFERROR(INDEX('Bank Schedule'!AF:AF, SMALL(IF('Bank Schedule'!$K$2:$K$825="Vacant", ROW('Bank Schedule'!$K$2:$K$825)), ROW(52:52))), "")</f>
        <v/>
      </c>
      <c r="AF55" s="11" t="str">
        <f t="array" ref="AF55">IFERROR(INDEX('Bank Schedule'!AG:AG, SMALL(IF('Bank Schedule'!$K$2:$K$825="Vacant", ROW('Bank Schedule'!$K$2:$K$825)), ROW(52:52))), "")</f>
        <v/>
      </c>
      <c r="AG55" s="4"/>
    </row>
    <row r="56" spans="1:33" ht="28.5" hidden="1" customHeight="1">
      <c r="A56" s="2" t="str">
        <f t="array" ref="A56">IFERROR(INDEX('Bank Schedule'!A:A, SMALL(IF('Bank Schedule'!$K$2:$K$825="Vacant", ROW('Bank Schedule'!$K$2:$K$825)), ROW(53:53))), "")</f>
        <v/>
      </c>
      <c r="B56" s="11" t="str">
        <f t="array" ref="B56">IFERROR(INDEX('Bank Schedule'!B:B, SMALL(IF('Bank Schedule'!$K$2:$K$825="Vacant", ROW('Bank Schedule'!$K$2:$K$825)), ROW(53:53))), "")</f>
        <v/>
      </c>
      <c r="C56" s="11" t="str">
        <f t="array" ref="C56">IFERROR(INDEX('Bank Schedule'!C:C, SMALL(IF('Bank Schedule'!$K$2:$K$825="Vacant", ROW('Bank Schedule'!$K$2:$K$825)), ROW(53:53))), "")</f>
        <v/>
      </c>
      <c r="D56" s="11" t="str">
        <f t="array" ref="D56">IFERROR(INDEX('Bank Schedule'!D:D, SMALL(IF('Bank Schedule'!$K$2:$K$825="Vacant", ROW('Bank Schedule'!$K$2:$K$825)), ROW(53:53))), "")</f>
        <v/>
      </c>
      <c r="E56" s="25" t="str">
        <f t="array" ref="E56">IFERROR(INDEX('Bank Schedule'!E:E, SMALL(IF('Bank Schedule'!$K$2:$K$825="Vacant", ROW('Bank Schedule'!$K$2:$K$825)), ROW(53:53))), "")</f>
        <v/>
      </c>
      <c r="F56" s="25" t="str">
        <f t="array" ref="F56">IFERROR(INDEX('Bank Schedule'!F:F, SMALL(IF('Bank Schedule'!$K$2:$K$825="Vacant", ROW('Bank Schedule'!$K$2:$K$825)), ROW(53:53))), "")</f>
        <v/>
      </c>
      <c r="G56" s="25" t="str">
        <f t="array" ref="G56">IFERROR(INDEX('Bank Schedule'!G:G, SMALL(IF('Bank Schedule'!$K$2:$K$825="Vacant", ROW('Bank Schedule'!$K$2:$K$825)), ROW(53:53))), "")</f>
        <v/>
      </c>
      <c r="H56" s="55" t="str">
        <f t="array" ref="H56">IFERROR(INDEX('Bank Schedule'!H:H, SMALL(IF('Bank Schedule'!$K$2:$K$825="Vacant", ROW('Bank Schedule'!$K$2:$K$825)), ROW(53:53))), "")</f>
        <v/>
      </c>
      <c r="I56" s="55" t="str">
        <f t="array" ref="I56">IFERROR(INDEX('Bank Schedule'!I:I, SMALL(IF('Bank Schedule'!$K$2:$K$825="Vacant", ROW('Bank Schedule'!$K$2:$K$825)), ROW(53:53))), "")</f>
        <v/>
      </c>
      <c r="J56" s="11" t="str">
        <f t="array" ref="J56">IFERROR(INDEX('Bank Schedule'!K:K, SMALL(IF('Bank Schedule'!$K$2:$K$825="Vacant", ROW('Bank Schedule'!$K$2:$K$825)), ROW(53:53))), "")</f>
        <v/>
      </c>
      <c r="K56" s="11" t="str">
        <f t="array" ref="K56">IFERROR(INDEX('Bank Schedule'!L:L, SMALL(IF('Bank Schedule'!$K$2:$K$825="Vacant", ROW('Bank Schedule'!$K$2:$K$825)), ROW(53:53))), "")</f>
        <v/>
      </c>
      <c r="L56" s="11" t="str">
        <f t="array" ref="L56">IFERROR(INDEX('Bank Schedule'!M:M, SMALL(IF('Bank Schedule'!$K$2:$K$825="Vacant", ROW('Bank Schedule'!$K$2:$K$825)), ROW(53:53))), "")</f>
        <v/>
      </c>
      <c r="M56" s="106" t="str">
        <f t="array" ref="M56">IFERROR(INDEX('Bank Schedule'!N:N, SMALL(IF('Bank Schedule'!$K$2:$K$825="Vacant", ROW('Bank Schedule'!$K$2:$K$825)), ROW(53:53))), "")</f>
        <v/>
      </c>
      <c r="N56" s="11" t="str">
        <f t="array" ref="N56">IFERROR(INDEX('Bank Schedule'!O:O, SMALL(IF('Bank Schedule'!$K$2:$K$825="Vacant", ROW('Bank Schedule'!$K$2:$K$825)), ROW(53:53))), "")</f>
        <v/>
      </c>
      <c r="O56" s="11" t="str">
        <f t="array" ref="O56">IFERROR(INDEX('Bank Schedule'!P:P, SMALL(IF('Bank Schedule'!$K$2:$K$825="Vacant", ROW('Bank Schedule'!$K$2:$K$825)), ROW(53:53))), "")</f>
        <v/>
      </c>
      <c r="P56" s="11" t="str">
        <f t="array" ref="P56">IFERROR(INDEX('Bank Schedule'!Q:Q, SMALL(IF('Bank Schedule'!$K$2:$K$825="Vacant", ROW('Bank Schedule'!$K$2:$K$825)), ROW(53:53))), "")</f>
        <v/>
      </c>
      <c r="Q56" s="11" t="str">
        <f t="array" ref="Q56">IFERROR(INDEX('Bank Schedule'!R:R, SMALL(IF('Bank Schedule'!$K$2:$K$825="Vacant", ROW('Bank Schedule'!$K$2:$K$825)), ROW(53:53))), "")</f>
        <v/>
      </c>
      <c r="R56" s="11" t="str">
        <f t="array" ref="R56">IFERROR(INDEX('Bank Schedule'!S:S, SMALL(IF('Bank Schedule'!$K$2:$K$825="Vacant", ROW('Bank Schedule'!$K$2:$K$825)), ROW(53:53))), "")</f>
        <v/>
      </c>
      <c r="S56" s="320" t="str">
        <f t="array" ref="S56">IFERROR(INDEX('Bank Schedule'!T:T, SMALL(IF('Bank Schedule'!$K$2:$K$825="Vacant", ROW('Bank Schedule'!$K$2:$K$825)), ROW(53:53))), "")</f>
        <v/>
      </c>
      <c r="T56" s="320" t="str">
        <f t="array" ref="T56">IFERROR(INDEX('Bank Schedule'!U:U, SMALL(IF('Bank Schedule'!$K$2:$K$825="Vacant", ROW('Bank Schedule'!$K$2:$K$825)), ROW(53:53))), "")</f>
        <v/>
      </c>
      <c r="U56" s="320" t="str">
        <f t="array" ref="U56">IFERROR(INDEX('Bank Schedule'!V:V, SMALL(IF('Bank Schedule'!$K$2:$K$825="Vacant", ROW('Bank Schedule'!$K$2:$K$825)), ROW(53:53))), "")</f>
        <v/>
      </c>
      <c r="V56" s="320" t="str">
        <f t="array" ref="V56">IFERROR(INDEX('Bank Schedule'!W:W, SMALL(IF('Bank Schedule'!$K$2:$K$825="Vacant", ROW('Bank Schedule'!$K$2:$K$825)), ROW(53:53))), "")</f>
        <v/>
      </c>
      <c r="W56" s="319" t="str">
        <f t="array" ref="W56">IFERROR(INDEX('Bank Schedule'!X:X, SMALL(IF('Bank Schedule'!$K$2:$K$825="Vacant", ROW('Bank Schedule'!$K$2:$K$825)), ROW(53:53))), "")</f>
        <v/>
      </c>
      <c r="X56" s="11" t="str">
        <f t="array" ref="X56">IFERROR(INDEX('Bank Schedule'!Y:Y, SMALL(IF('Bank Schedule'!$K$2:$K$825="Vacant", ROW('Bank Schedule'!$K$2:$K$825)), ROW(53:53))), "")</f>
        <v/>
      </c>
      <c r="Y56" s="11" t="str">
        <f t="array" ref="Y56">IFERROR(INDEX('Bank Schedule'!Z:Z, SMALL(IF('Bank Schedule'!$K$2:$K$825="Vacant", ROW('Bank Schedule'!$K$2:$K$825)), ROW(53:53))), "")</f>
        <v/>
      </c>
      <c r="Z56" s="11" t="str">
        <f t="array" ref="Z56">IFERROR(INDEX('Bank Schedule'!AA:AA, SMALL(IF('Bank Schedule'!$K$2:$K$825="Vacant", ROW('Bank Schedule'!$K$2:$K$825)), ROW(53:53))), "")</f>
        <v/>
      </c>
      <c r="AA56" s="11" t="str">
        <f t="array" ref="AA56">IFERROR(INDEX('Bank Schedule'!AB:AB, SMALL(IF('Bank Schedule'!$K$2:$K$825="Vacant", ROW('Bank Schedule'!$K$2:$K$825)), ROW(53:53))), "")</f>
        <v/>
      </c>
      <c r="AB56" s="25" t="str">
        <f t="array" ref="AB56">IFERROR(INDEX('Bank Schedule'!AC:AC, SMALL(IF('Bank Schedule'!$K$2:$K$825="Vacant", ROW('Bank Schedule'!$K$2:$K$825)), ROW(53:53))), "")</f>
        <v/>
      </c>
      <c r="AC56" s="299" t="str">
        <f t="array" ref="AC56">IFERROR(INDEX('Bank Schedule'!AD:AD, SMALL(IF('Bank Schedule'!$K$2:$K$825="Vacant", ROW('Bank Schedule'!$K$2:$K$825)), ROW(53:53))), "")</f>
        <v/>
      </c>
      <c r="AD56" s="11" t="str">
        <f t="array" ref="AD56">IFERROR(INDEX('Bank Schedule'!AE:AE, SMALL(IF('Bank Schedule'!$K$2:$K$825="Vacant", ROW('Bank Schedule'!$K$2:$K$825)), ROW(53:53))), "")</f>
        <v/>
      </c>
      <c r="AE56" s="11" t="str">
        <f t="array" ref="AE56">IFERROR(INDEX('Bank Schedule'!AF:AF, SMALL(IF('Bank Schedule'!$K$2:$K$825="Vacant", ROW('Bank Schedule'!$K$2:$K$825)), ROW(53:53))), "")</f>
        <v/>
      </c>
      <c r="AF56" s="11" t="str">
        <f t="array" ref="AF56">IFERROR(INDEX('Bank Schedule'!AG:AG, SMALL(IF('Bank Schedule'!$K$2:$K$825="Vacant", ROW('Bank Schedule'!$K$2:$K$825)), ROW(53:53))), "")</f>
        <v/>
      </c>
      <c r="AG56" s="4"/>
    </row>
    <row r="57" spans="1:33" ht="28.5" hidden="1" customHeight="1">
      <c r="A57" s="2" t="str">
        <f t="array" ref="A57">IFERROR(INDEX('Bank Schedule'!A:A, SMALL(IF('Bank Schedule'!$K$2:$K$825="Vacant", ROW('Bank Schedule'!$K$2:$K$825)), ROW(54:54))), "")</f>
        <v/>
      </c>
      <c r="B57" s="11" t="str">
        <f t="array" ref="B57">IFERROR(INDEX('Bank Schedule'!B:B, SMALL(IF('Bank Schedule'!$K$2:$K$825="Vacant", ROW('Bank Schedule'!$K$2:$K$825)), ROW(54:54))), "")</f>
        <v/>
      </c>
      <c r="C57" s="11" t="str">
        <f t="array" ref="C57">IFERROR(INDEX('Bank Schedule'!C:C, SMALL(IF('Bank Schedule'!$K$2:$K$825="Vacant", ROW('Bank Schedule'!$K$2:$K$825)), ROW(54:54))), "")</f>
        <v/>
      </c>
      <c r="D57" s="11" t="str">
        <f t="array" ref="D57">IFERROR(INDEX('Bank Schedule'!D:D, SMALL(IF('Bank Schedule'!$K$2:$K$825="Vacant", ROW('Bank Schedule'!$K$2:$K$825)), ROW(54:54))), "")</f>
        <v/>
      </c>
      <c r="E57" s="25" t="str">
        <f t="array" ref="E57">IFERROR(INDEX('Bank Schedule'!E:E, SMALL(IF('Bank Schedule'!$K$2:$K$825="Vacant", ROW('Bank Schedule'!$K$2:$K$825)), ROW(54:54))), "")</f>
        <v/>
      </c>
      <c r="F57" s="25" t="str">
        <f t="array" ref="F57">IFERROR(INDEX('Bank Schedule'!F:F, SMALL(IF('Bank Schedule'!$K$2:$K$825="Vacant", ROW('Bank Schedule'!$K$2:$K$825)), ROW(54:54))), "")</f>
        <v/>
      </c>
      <c r="G57" s="25" t="str">
        <f t="array" ref="G57">IFERROR(INDEX('Bank Schedule'!G:G, SMALL(IF('Bank Schedule'!$K$2:$K$825="Vacant", ROW('Bank Schedule'!$K$2:$K$825)), ROW(54:54))), "")</f>
        <v/>
      </c>
      <c r="H57" s="55" t="str">
        <f t="array" ref="H57">IFERROR(INDEX('Bank Schedule'!H:H, SMALL(IF('Bank Schedule'!$K$2:$K$825="Vacant", ROW('Bank Schedule'!$K$2:$K$825)), ROW(54:54))), "")</f>
        <v/>
      </c>
      <c r="I57" s="55" t="str">
        <f t="array" ref="I57">IFERROR(INDEX('Bank Schedule'!I:I, SMALL(IF('Bank Schedule'!$K$2:$K$825="Vacant", ROW('Bank Schedule'!$K$2:$K$825)), ROW(54:54))), "")</f>
        <v/>
      </c>
      <c r="J57" s="11" t="str">
        <f t="array" ref="J57">IFERROR(INDEX('Bank Schedule'!K:K, SMALL(IF('Bank Schedule'!$K$2:$K$825="Vacant", ROW('Bank Schedule'!$K$2:$K$825)), ROW(54:54))), "")</f>
        <v/>
      </c>
      <c r="K57" s="11" t="str">
        <f t="array" ref="K57">IFERROR(INDEX('Bank Schedule'!L:L, SMALL(IF('Bank Schedule'!$K$2:$K$825="Vacant", ROW('Bank Schedule'!$K$2:$K$825)), ROW(54:54))), "")</f>
        <v/>
      </c>
      <c r="L57" s="11" t="str">
        <f t="array" ref="L57">IFERROR(INDEX('Bank Schedule'!M:M, SMALL(IF('Bank Schedule'!$K$2:$K$825="Vacant", ROW('Bank Schedule'!$K$2:$K$825)), ROW(54:54))), "")</f>
        <v/>
      </c>
      <c r="M57" s="106" t="str">
        <f t="array" ref="M57">IFERROR(INDEX('Bank Schedule'!N:N, SMALL(IF('Bank Schedule'!$K$2:$K$825="Vacant", ROW('Bank Schedule'!$K$2:$K$825)), ROW(54:54))), "")</f>
        <v/>
      </c>
      <c r="N57" s="11" t="str">
        <f t="array" ref="N57">IFERROR(INDEX('Bank Schedule'!O:O, SMALL(IF('Bank Schedule'!$K$2:$K$825="Vacant", ROW('Bank Schedule'!$K$2:$K$825)), ROW(54:54))), "")</f>
        <v/>
      </c>
      <c r="O57" s="11" t="str">
        <f t="array" ref="O57">IFERROR(INDEX('Bank Schedule'!P:P, SMALL(IF('Bank Schedule'!$K$2:$K$825="Vacant", ROW('Bank Schedule'!$K$2:$K$825)), ROW(54:54))), "")</f>
        <v/>
      </c>
      <c r="P57" s="11" t="str">
        <f t="array" ref="P57">IFERROR(INDEX('Bank Schedule'!Q:Q, SMALL(IF('Bank Schedule'!$K$2:$K$825="Vacant", ROW('Bank Schedule'!$K$2:$K$825)), ROW(54:54))), "")</f>
        <v/>
      </c>
      <c r="Q57" s="11" t="str">
        <f t="array" ref="Q57">IFERROR(INDEX('Bank Schedule'!R:R, SMALL(IF('Bank Schedule'!$K$2:$K$825="Vacant", ROW('Bank Schedule'!$K$2:$K$825)), ROW(54:54))), "")</f>
        <v/>
      </c>
      <c r="R57" s="11" t="str">
        <f t="array" ref="R57">IFERROR(INDEX('Bank Schedule'!S:S, SMALL(IF('Bank Schedule'!$K$2:$K$825="Vacant", ROW('Bank Schedule'!$K$2:$K$825)), ROW(54:54))), "")</f>
        <v/>
      </c>
      <c r="S57" s="320" t="str">
        <f t="array" ref="S57">IFERROR(INDEX('Bank Schedule'!T:T, SMALL(IF('Bank Schedule'!$K$2:$K$825="Vacant", ROW('Bank Schedule'!$K$2:$K$825)), ROW(54:54))), "")</f>
        <v/>
      </c>
      <c r="T57" s="320" t="str">
        <f t="array" ref="T57">IFERROR(INDEX('Bank Schedule'!U:U, SMALL(IF('Bank Schedule'!$K$2:$K$825="Vacant", ROW('Bank Schedule'!$K$2:$K$825)), ROW(54:54))), "")</f>
        <v/>
      </c>
      <c r="U57" s="320" t="str">
        <f t="array" ref="U57">IFERROR(INDEX('Bank Schedule'!V:V, SMALL(IF('Bank Schedule'!$K$2:$K$825="Vacant", ROW('Bank Schedule'!$K$2:$K$825)), ROW(54:54))), "")</f>
        <v/>
      </c>
      <c r="V57" s="320" t="str">
        <f t="array" ref="V57">IFERROR(INDEX('Bank Schedule'!W:W, SMALL(IF('Bank Schedule'!$K$2:$K$825="Vacant", ROW('Bank Schedule'!$K$2:$K$825)), ROW(54:54))), "")</f>
        <v/>
      </c>
      <c r="W57" s="319" t="str">
        <f t="array" ref="W57">IFERROR(INDEX('Bank Schedule'!X:X, SMALL(IF('Bank Schedule'!$K$2:$K$825="Vacant", ROW('Bank Schedule'!$K$2:$K$825)), ROW(54:54))), "")</f>
        <v/>
      </c>
      <c r="X57" s="11" t="str">
        <f t="array" ref="X57">IFERROR(INDEX('Bank Schedule'!Y:Y, SMALL(IF('Bank Schedule'!$K$2:$K$825="Vacant", ROW('Bank Schedule'!$K$2:$K$825)), ROW(54:54))), "")</f>
        <v/>
      </c>
      <c r="Y57" s="11" t="str">
        <f t="array" ref="Y57">IFERROR(INDEX('Bank Schedule'!Z:Z, SMALL(IF('Bank Schedule'!$K$2:$K$825="Vacant", ROW('Bank Schedule'!$K$2:$K$825)), ROW(54:54))), "")</f>
        <v/>
      </c>
      <c r="Z57" s="11" t="str">
        <f t="array" ref="Z57">IFERROR(INDEX('Bank Schedule'!AA:AA, SMALL(IF('Bank Schedule'!$K$2:$K$825="Vacant", ROW('Bank Schedule'!$K$2:$K$825)), ROW(54:54))), "")</f>
        <v/>
      </c>
      <c r="AA57" s="11" t="str">
        <f t="array" ref="AA57">IFERROR(INDEX('Bank Schedule'!AB:AB, SMALL(IF('Bank Schedule'!$K$2:$K$825="Vacant", ROW('Bank Schedule'!$K$2:$K$825)), ROW(54:54))), "")</f>
        <v/>
      </c>
      <c r="AB57" s="25" t="str">
        <f t="array" ref="AB57">IFERROR(INDEX('Bank Schedule'!AC:AC, SMALL(IF('Bank Schedule'!$K$2:$K$825="Vacant", ROW('Bank Schedule'!$K$2:$K$825)), ROW(54:54))), "")</f>
        <v/>
      </c>
      <c r="AC57" s="299" t="str">
        <f t="array" ref="AC57">IFERROR(INDEX('Bank Schedule'!AD:AD, SMALL(IF('Bank Schedule'!$K$2:$K$825="Vacant", ROW('Bank Schedule'!$K$2:$K$825)), ROW(54:54))), "")</f>
        <v/>
      </c>
      <c r="AD57" s="11" t="str">
        <f t="array" ref="AD57">IFERROR(INDEX('Bank Schedule'!AE:AE, SMALL(IF('Bank Schedule'!$K$2:$K$825="Vacant", ROW('Bank Schedule'!$K$2:$K$825)), ROW(54:54))), "")</f>
        <v/>
      </c>
      <c r="AE57" s="11" t="str">
        <f t="array" ref="AE57">IFERROR(INDEX('Bank Schedule'!AF:AF, SMALL(IF('Bank Schedule'!$K$2:$K$825="Vacant", ROW('Bank Schedule'!$K$2:$K$825)), ROW(54:54))), "")</f>
        <v/>
      </c>
      <c r="AF57" s="11" t="str">
        <f t="array" ref="AF57">IFERROR(INDEX('Bank Schedule'!AG:AG, SMALL(IF('Bank Schedule'!$K$2:$K$825="Vacant", ROW('Bank Schedule'!$K$2:$K$825)), ROW(54:54))), "")</f>
        <v/>
      </c>
      <c r="AG57" s="4"/>
    </row>
    <row r="58" spans="1:33" ht="28.5" hidden="1" customHeight="1">
      <c r="A58" s="2" t="str">
        <f t="array" ref="A58">IFERROR(INDEX('Bank Schedule'!A:A, SMALL(IF('Bank Schedule'!$K$2:$K$825="Vacant", ROW('Bank Schedule'!$K$2:$K$825)), ROW(55:55))), "")</f>
        <v/>
      </c>
      <c r="B58" s="11" t="str">
        <f t="array" ref="B58">IFERROR(INDEX('Bank Schedule'!B:B, SMALL(IF('Bank Schedule'!$K$2:$K$825="Vacant", ROW('Bank Schedule'!$K$2:$K$825)), ROW(55:55))), "")</f>
        <v/>
      </c>
      <c r="C58" s="11" t="str">
        <f t="array" ref="C58">IFERROR(INDEX('Bank Schedule'!C:C, SMALL(IF('Bank Schedule'!$K$2:$K$825="Vacant", ROW('Bank Schedule'!$K$2:$K$825)), ROW(55:55))), "")</f>
        <v/>
      </c>
      <c r="D58" s="11" t="str">
        <f t="array" ref="D58">IFERROR(INDEX('Bank Schedule'!D:D, SMALL(IF('Bank Schedule'!$K$2:$K$825="Vacant", ROW('Bank Schedule'!$K$2:$K$825)), ROW(55:55))), "")</f>
        <v/>
      </c>
      <c r="E58" s="25" t="str">
        <f t="array" ref="E58">IFERROR(INDEX('Bank Schedule'!E:E, SMALL(IF('Bank Schedule'!$K$2:$K$825="Vacant", ROW('Bank Schedule'!$K$2:$K$825)), ROW(55:55))), "")</f>
        <v/>
      </c>
      <c r="F58" s="25" t="str">
        <f t="array" ref="F58">IFERROR(INDEX('Bank Schedule'!F:F, SMALL(IF('Bank Schedule'!$K$2:$K$825="Vacant", ROW('Bank Schedule'!$K$2:$K$825)), ROW(55:55))), "")</f>
        <v/>
      </c>
      <c r="G58" s="25" t="str">
        <f t="array" ref="G58">IFERROR(INDEX('Bank Schedule'!G:G, SMALL(IF('Bank Schedule'!$K$2:$K$825="Vacant", ROW('Bank Schedule'!$K$2:$K$825)), ROW(55:55))), "")</f>
        <v/>
      </c>
      <c r="H58" s="55" t="str">
        <f t="array" ref="H58">IFERROR(INDEX('Bank Schedule'!H:H, SMALL(IF('Bank Schedule'!$K$2:$K$825="Vacant", ROW('Bank Schedule'!$K$2:$K$825)), ROW(55:55))), "")</f>
        <v/>
      </c>
      <c r="I58" s="55" t="str">
        <f t="array" ref="I58">IFERROR(INDEX('Bank Schedule'!I:I, SMALL(IF('Bank Schedule'!$K$2:$K$825="Vacant", ROW('Bank Schedule'!$K$2:$K$825)), ROW(55:55))), "")</f>
        <v/>
      </c>
      <c r="J58" s="11" t="str">
        <f t="array" ref="J58">IFERROR(INDEX('Bank Schedule'!K:K, SMALL(IF('Bank Schedule'!$K$2:$K$825="Vacant", ROW('Bank Schedule'!$K$2:$K$825)), ROW(55:55))), "")</f>
        <v/>
      </c>
      <c r="K58" s="11" t="str">
        <f t="array" ref="K58">IFERROR(INDEX('Bank Schedule'!L:L, SMALL(IF('Bank Schedule'!$K$2:$K$825="Vacant", ROW('Bank Schedule'!$K$2:$K$825)), ROW(55:55))), "")</f>
        <v/>
      </c>
      <c r="L58" s="11" t="str">
        <f t="array" ref="L58">IFERROR(INDEX('Bank Schedule'!M:M, SMALL(IF('Bank Schedule'!$K$2:$K$825="Vacant", ROW('Bank Schedule'!$K$2:$K$825)), ROW(55:55))), "")</f>
        <v/>
      </c>
      <c r="M58" s="106" t="str">
        <f t="array" ref="M58">IFERROR(INDEX('Bank Schedule'!N:N, SMALL(IF('Bank Schedule'!$K$2:$K$825="Vacant", ROW('Bank Schedule'!$K$2:$K$825)), ROW(55:55))), "")</f>
        <v/>
      </c>
      <c r="N58" s="11" t="str">
        <f t="array" ref="N58">IFERROR(INDEX('Bank Schedule'!O:O, SMALL(IF('Bank Schedule'!$K$2:$K$825="Vacant", ROW('Bank Schedule'!$K$2:$K$825)), ROW(55:55))), "")</f>
        <v/>
      </c>
      <c r="O58" s="11" t="str">
        <f t="array" ref="O58">IFERROR(INDEX('Bank Schedule'!P:P, SMALL(IF('Bank Schedule'!$K$2:$K$825="Vacant", ROW('Bank Schedule'!$K$2:$K$825)), ROW(55:55))), "")</f>
        <v/>
      </c>
      <c r="P58" s="11" t="str">
        <f t="array" ref="P58">IFERROR(INDEX('Bank Schedule'!Q:Q, SMALL(IF('Bank Schedule'!$K$2:$K$825="Vacant", ROW('Bank Schedule'!$K$2:$K$825)), ROW(55:55))), "")</f>
        <v/>
      </c>
      <c r="Q58" s="11" t="str">
        <f t="array" ref="Q58">IFERROR(INDEX('Bank Schedule'!R:R, SMALL(IF('Bank Schedule'!$K$2:$K$825="Vacant", ROW('Bank Schedule'!$K$2:$K$825)), ROW(55:55))), "")</f>
        <v/>
      </c>
      <c r="R58" s="11" t="str">
        <f t="array" ref="R58">IFERROR(INDEX('Bank Schedule'!S:S, SMALL(IF('Bank Schedule'!$K$2:$K$825="Vacant", ROW('Bank Schedule'!$K$2:$K$825)), ROW(55:55))), "")</f>
        <v/>
      </c>
      <c r="S58" s="320" t="str">
        <f t="array" ref="S58">IFERROR(INDEX('Bank Schedule'!T:T, SMALL(IF('Bank Schedule'!$K$2:$K$825="Vacant", ROW('Bank Schedule'!$K$2:$K$825)), ROW(55:55))), "")</f>
        <v/>
      </c>
      <c r="T58" s="320" t="str">
        <f t="array" ref="T58">IFERROR(INDEX('Bank Schedule'!U:U, SMALL(IF('Bank Schedule'!$K$2:$K$825="Vacant", ROW('Bank Schedule'!$K$2:$K$825)), ROW(55:55))), "")</f>
        <v/>
      </c>
      <c r="U58" s="320" t="str">
        <f t="array" ref="U58">IFERROR(INDEX('Bank Schedule'!V:V, SMALL(IF('Bank Schedule'!$K$2:$K$825="Vacant", ROW('Bank Schedule'!$K$2:$K$825)), ROW(55:55))), "")</f>
        <v/>
      </c>
      <c r="V58" s="320" t="str">
        <f t="array" ref="V58">IFERROR(INDEX('Bank Schedule'!W:W, SMALL(IF('Bank Schedule'!$K$2:$K$825="Vacant", ROW('Bank Schedule'!$K$2:$K$825)), ROW(55:55))), "")</f>
        <v/>
      </c>
      <c r="W58" s="319" t="str">
        <f t="array" ref="W58">IFERROR(INDEX('Bank Schedule'!X:X, SMALL(IF('Bank Schedule'!$K$2:$K$825="Vacant", ROW('Bank Schedule'!$K$2:$K$825)), ROW(55:55))), "")</f>
        <v/>
      </c>
      <c r="X58" s="11" t="str">
        <f t="array" ref="X58">IFERROR(INDEX('Bank Schedule'!Y:Y, SMALL(IF('Bank Schedule'!$K$2:$K$825="Vacant", ROW('Bank Schedule'!$K$2:$K$825)), ROW(55:55))), "")</f>
        <v/>
      </c>
      <c r="Y58" s="11" t="str">
        <f t="array" ref="Y58">IFERROR(INDEX('Bank Schedule'!Z:Z, SMALL(IF('Bank Schedule'!$K$2:$K$825="Vacant", ROW('Bank Schedule'!$K$2:$K$825)), ROW(55:55))), "")</f>
        <v/>
      </c>
      <c r="Z58" s="11" t="str">
        <f t="array" ref="Z58">IFERROR(INDEX('Bank Schedule'!AA:AA, SMALL(IF('Bank Schedule'!$K$2:$K$825="Vacant", ROW('Bank Schedule'!$K$2:$K$825)), ROW(55:55))), "")</f>
        <v/>
      </c>
      <c r="AA58" s="11" t="str">
        <f t="array" ref="AA58">IFERROR(INDEX('Bank Schedule'!AB:AB, SMALL(IF('Bank Schedule'!$K$2:$K$825="Vacant", ROW('Bank Schedule'!$K$2:$K$825)), ROW(55:55))), "")</f>
        <v/>
      </c>
      <c r="AB58" s="25" t="str">
        <f t="array" ref="AB58">IFERROR(INDEX('Bank Schedule'!AC:AC, SMALL(IF('Bank Schedule'!$K$2:$K$825="Vacant", ROW('Bank Schedule'!$K$2:$K$825)), ROW(55:55))), "")</f>
        <v/>
      </c>
      <c r="AC58" s="299" t="str">
        <f t="array" ref="AC58">IFERROR(INDEX('Bank Schedule'!AD:AD, SMALL(IF('Bank Schedule'!$K$2:$K$825="Vacant", ROW('Bank Schedule'!$K$2:$K$825)), ROW(55:55))), "")</f>
        <v/>
      </c>
      <c r="AD58" s="11" t="str">
        <f t="array" ref="AD58">IFERROR(INDEX('Bank Schedule'!AE:AE, SMALL(IF('Bank Schedule'!$K$2:$K$825="Vacant", ROW('Bank Schedule'!$K$2:$K$825)), ROW(55:55))), "")</f>
        <v/>
      </c>
      <c r="AE58" s="11" t="str">
        <f t="array" ref="AE58">IFERROR(INDEX('Bank Schedule'!AF:AF, SMALL(IF('Bank Schedule'!$K$2:$K$825="Vacant", ROW('Bank Schedule'!$K$2:$K$825)), ROW(55:55))), "")</f>
        <v/>
      </c>
      <c r="AF58" s="11" t="str">
        <f t="array" ref="AF58">IFERROR(INDEX('Bank Schedule'!AG:AG, SMALL(IF('Bank Schedule'!$K$2:$K$825="Vacant", ROW('Bank Schedule'!$K$2:$K$825)), ROW(55:55))), "")</f>
        <v/>
      </c>
      <c r="AG58" s="4"/>
    </row>
    <row r="59" spans="1:33" ht="28.5" hidden="1" customHeight="1">
      <c r="A59" s="2" t="str">
        <f t="array" ref="A59">IFERROR(INDEX('Bank Schedule'!A:A, SMALL(IF('Bank Schedule'!$K$2:$K$825="Vacant", ROW('Bank Schedule'!$K$2:$K$825)), ROW(56:56))), "")</f>
        <v/>
      </c>
      <c r="B59" s="11" t="str">
        <f t="array" ref="B59">IFERROR(INDEX('Bank Schedule'!B:B, SMALL(IF('Bank Schedule'!$K$2:$K$825="Vacant", ROW('Bank Schedule'!$K$2:$K$825)), ROW(56:56))), "")</f>
        <v/>
      </c>
      <c r="C59" s="11" t="str">
        <f t="array" ref="C59">IFERROR(INDEX('Bank Schedule'!C:C, SMALL(IF('Bank Schedule'!$K$2:$K$825="Vacant", ROW('Bank Schedule'!$K$2:$K$825)), ROW(56:56))), "")</f>
        <v/>
      </c>
      <c r="D59" s="11" t="str">
        <f t="array" ref="D59">IFERROR(INDEX('Bank Schedule'!D:D, SMALL(IF('Bank Schedule'!$K$2:$K$825="Vacant", ROW('Bank Schedule'!$K$2:$K$825)), ROW(56:56))), "")</f>
        <v/>
      </c>
      <c r="E59" s="25" t="str">
        <f t="array" ref="E59">IFERROR(INDEX('Bank Schedule'!E:E, SMALL(IF('Bank Schedule'!$K$2:$K$825="Vacant", ROW('Bank Schedule'!$K$2:$K$825)), ROW(56:56))), "")</f>
        <v/>
      </c>
      <c r="F59" s="25" t="str">
        <f t="array" ref="F59">IFERROR(INDEX('Bank Schedule'!F:F, SMALL(IF('Bank Schedule'!$K$2:$K$825="Vacant", ROW('Bank Schedule'!$K$2:$K$825)), ROW(56:56))), "")</f>
        <v/>
      </c>
      <c r="G59" s="25" t="str">
        <f t="array" ref="G59">IFERROR(INDEX('Bank Schedule'!G:G, SMALL(IF('Bank Schedule'!$K$2:$K$825="Vacant", ROW('Bank Schedule'!$K$2:$K$825)), ROW(56:56))), "")</f>
        <v/>
      </c>
      <c r="H59" s="55" t="str">
        <f t="array" ref="H59">IFERROR(INDEX('Bank Schedule'!H:H, SMALL(IF('Bank Schedule'!$K$2:$K$825="Vacant", ROW('Bank Schedule'!$K$2:$K$825)), ROW(56:56))), "")</f>
        <v/>
      </c>
      <c r="I59" s="55" t="str">
        <f t="array" ref="I59">IFERROR(INDEX('Bank Schedule'!I:I, SMALL(IF('Bank Schedule'!$K$2:$K$825="Vacant", ROW('Bank Schedule'!$K$2:$K$825)), ROW(56:56))), "")</f>
        <v/>
      </c>
      <c r="J59" s="11" t="str">
        <f t="array" ref="J59">IFERROR(INDEX('Bank Schedule'!K:K, SMALL(IF('Bank Schedule'!$K$2:$K$825="Vacant", ROW('Bank Schedule'!$K$2:$K$825)), ROW(56:56))), "")</f>
        <v/>
      </c>
      <c r="K59" s="11" t="str">
        <f t="array" ref="K59">IFERROR(INDEX('Bank Schedule'!L:L, SMALL(IF('Bank Schedule'!$K$2:$K$825="Vacant", ROW('Bank Schedule'!$K$2:$K$825)), ROW(56:56))), "")</f>
        <v/>
      </c>
      <c r="L59" s="11" t="str">
        <f t="array" ref="L59">IFERROR(INDEX('Bank Schedule'!M:M, SMALL(IF('Bank Schedule'!$K$2:$K$825="Vacant", ROW('Bank Schedule'!$K$2:$K$825)), ROW(56:56))), "")</f>
        <v/>
      </c>
      <c r="M59" s="106" t="str">
        <f t="array" ref="M59">IFERROR(INDEX('Bank Schedule'!N:N, SMALL(IF('Bank Schedule'!$K$2:$K$825="Vacant", ROW('Bank Schedule'!$K$2:$K$825)), ROW(56:56))), "")</f>
        <v/>
      </c>
      <c r="N59" s="11" t="str">
        <f t="array" ref="N59">IFERROR(INDEX('Bank Schedule'!O:O, SMALL(IF('Bank Schedule'!$K$2:$K$825="Vacant", ROW('Bank Schedule'!$K$2:$K$825)), ROW(56:56))), "")</f>
        <v/>
      </c>
      <c r="O59" s="11" t="str">
        <f t="array" ref="O59">IFERROR(INDEX('Bank Schedule'!P:P, SMALL(IF('Bank Schedule'!$K$2:$K$825="Vacant", ROW('Bank Schedule'!$K$2:$K$825)), ROW(56:56))), "")</f>
        <v/>
      </c>
      <c r="P59" s="11" t="str">
        <f t="array" ref="P59">IFERROR(INDEX('Bank Schedule'!Q:Q, SMALL(IF('Bank Schedule'!$K$2:$K$825="Vacant", ROW('Bank Schedule'!$K$2:$K$825)), ROW(56:56))), "")</f>
        <v/>
      </c>
      <c r="Q59" s="11" t="str">
        <f t="array" ref="Q59">IFERROR(INDEX('Bank Schedule'!R:R, SMALL(IF('Bank Schedule'!$K$2:$K$825="Vacant", ROW('Bank Schedule'!$K$2:$K$825)), ROW(56:56))), "")</f>
        <v/>
      </c>
      <c r="R59" s="11" t="str">
        <f t="array" ref="R59">IFERROR(INDEX('Bank Schedule'!S:S, SMALL(IF('Bank Schedule'!$K$2:$K$825="Vacant", ROW('Bank Schedule'!$K$2:$K$825)), ROW(56:56))), "")</f>
        <v/>
      </c>
      <c r="S59" s="320" t="str">
        <f t="array" ref="S59">IFERROR(INDEX('Bank Schedule'!T:T, SMALL(IF('Bank Schedule'!$K$2:$K$825="Vacant", ROW('Bank Schedule'!$K$2:$K$825)), ROW(56:56))), "")</f>
        <v/>
      </c>
      <c r="T59" s="320" t="str">
        <f t="array" ref="T59">IFERROR(INDEX('Bank Schedule'!U:U, SMALL(IF('Bank Schedule'!$K$2:$K$825="Vacant", ROW('Bank Schedule'!$K$2:$K$825)), ROW(56:56))), "")</f>
        <v/>
      </c>
      <c r="U59" s="320" t="str">
        <f t="array" ref="U59">IFERROR(INDEX('Bank Schedule'!V:V, SMALL(IF('Bank Schedule'!$K$2:$K$825="Vacant", ROW('Bank Schedule'!$K$2:$K$825)), ROW(56:56))), "")</f>
        <v/>
      </c>
      <c r="V59" s="320" t="str">
        <f t="array" ref="V59">IFERROR(INDEX('Bank Schedule'!W:W, SMALL(IF('Bank Schedule'!$K$2:$K$825="Vacant", ROW('Bank Schedule'!$K$2:$K$825)), ROW(56:56))), "")</f>
        <v/>
      </c>
      <c r="W59" s="319" t="str">
        <f t="array" ref="W59">IFERROR(INDEX('Bank Schedule'!X:X, SMALL(IF('Bank Schedule'!$K$2:$K$825="Vacant", ROW('Bank Schedule'!$K$2:$K$825)), ROW(56:56))), "")</f>
        <v/>
      </c>
      <c r="X59" s="11" t="str">
        <f t="array" ref="X59">IFERROR(INDEX('Bank Schedule'!Y:Y, SMALL(IF('Bank Schedule'!$K$2:$K$825="Vacant", ROW('Bank Schedule'!$K$2:$K$825)), ROW(56:56))), "")</f>
        <v/>
      </c>
      <c r="Y59" s="11" t="str">
        <f t="array" ref="Y59">IFERROR(INDEX('Bank Schedule'!Z:Z, SMALL(IF('Bank Schedule'!$K$2:$K$825="Vacant", ROW('Bank Schedule'!$K$2:$K$825)), ROW(56:56))), "")</f>
        <v/>
      </c>
      <c r="Z59" s="11" t="str">
        <f t="array" ref="Z59">IFERROR(INDEX('Bank Schedule'!AA:AA, SMALL(IF('Bank Schedule'!$K$2:$K$825="Vacant", ROW('Bank Schedule'!$K$2:$K$825)), ROW(56:56))), "")</f>
        <v/>
      </c>
      <c r="AA59" s="11" t="str">
        <f t="array" ref="AA59">IFERROR(INDEX('Bank Schedule'!AB:AB, SMALL(IF('Bank Schedule'!$K$2:$K$825="Vacant", ROW('Bank Schedule'!$K$2:$K$825)), ROW(56:56))), "")</f>
        <v/>
      </c>
      <c r="AB59" s="25" t="str">
        <f t="array" ref="AB59">IFERROR(INDEX('Bank Schedule'!AC:AC, SMALL(IF('Bank Schedule'!$K$2:$K$825="Vacant", ROW('Bank Schedule'!$K$2:$K$825)), ROW(56:56))), "")</f>
        <v/>
      </c>
      <c r="AC59" s="299" t="str">
        <f t="array" ref="AC59">IFERROR(INDEX('Bank Schedule'!AD:AD, SMALL(IF('Bank Schedule'!$K$2:$K$825="Vacant", ROW('Bank Schedule'!$K$2:$K$825)), ROW(56:56))), "")</f>
        <v/>
      </c>
      <c r="AD59" s="11" t="str">
        <f t="array" ref="AD59">IFERROR(INDEX('Bank Schedule'!AE:AE, SMALL(IF('Bank Schedule'!$K$2:$K$825="Vacant", ROW('Bank Schedule'!$K$2:$K$825)), ROW(56:56))), "")</f>
        <v/>
      </c>
      <c r="AE59" s="11" t="str">
        <f t="array" ref="AE59">IFERROR(INDEX('Bank Schedule'!AF:AF, SMALL(IF('Bank Schedule'!$K$2:$K$825="Vacant", ROW('Bank Schedule'!$K$2:$K$825)), ROW(56:56))), "")</f>
        <v/>
      </c>
      <c r="AF59" s="11" t="str">
        <f t="array" ref="AF59">IFERROR(INDEX('Bank Schedule'!AG:AG, SMALL(IF('Bank Schedule'!$K$2:$K$825="Vacant", ROW('Bank Schedule'!$K$2:$K$825)), ROW(56:56))), "")</f>
        <v/>
      </c>
      <c r="AG59" s="4"/>
    </row>
    <row r="60" spans="1:33" ht="28.5" customHeight="1">
      <c r="A60" s="2" t="str">
        <f t="array" ref="A60">IFERROR(INDEX('Bank Schedule'!A:A, SMALL(IF('Bank Schedule'!$K$2:$K$825="Vacant", ROW('Bank Schedule'!$K$2:$K$825)), ROW(57:57))), "")</f>
        <v/>
      </c>
      <c r="B60" s="11" t="str">
        <f t="array" ref="B60">IFERROR(INDEX('Bank Schedule'!B:B, SMALL(IF('Bank Schedule'!$K$2:$K$825="Vacant", ROW('Bank Schedule'!$K$2:$K$825)), ROW(57:57))), "")</f>
        <v/>
      </c>
      <c r="C60" s="11" t="str">
        <f t="array" ref="C60">IFERROR(INDEX('Bank Schedule'!C:C, SMALL(IF('Bank Schedule'!$K$2:$K$825="Vacant", ROW('Bank Schedule'!$K$2:$K$825)), ROW(57:57))), "")</f>
        <v/>
      </c>
      <c r="D60" s="11" t="str">
        <f t="array" ref="D60">IFERROR(INDEX('Bank Schedule'!D:D, SMALL(IF('Bank Schedule'!$K$2:$K$825="Vacant", ROW('Bank Schedule'!$K$2:$K$825)), ROW(57:57))), "")</f>
        <v/>
      </c>
      <c r="E60" s="25" t="str">
        <f t="array" ref="E60">IFERROR(INDEX('Bank Schedule'!E:E, SMALL(IF('Bank Schedule'!$K$2:$K$825="Vacant", ROW('Bank Schedule'!$K$2:$K$825)), ROW(57:57))), "")</f>
        <v/>
      </c>
      <c r="F60" s="25" t="str">
        <f t="array" ref="F60">IFERROR(INDEX('Bank Schedule'!F:F, SMALL(IF('Bank Schedule'!$K$2:$K$825="Vacant", ROW('Bank Schedule'!$K$2:$K$825)), ROW(57:57))), "")</f>
        <v/>
      </c>
      <c r="G60" s="25" t="str">
        <f t="array" ref="G60">IFERROR(INDEX('Bank Schedule'!G:G, SMALL(IF('Bank Schedule'!$K$2:$K$825="Vacant", ROW('Bank Schedule'!$K$2:$K$825)), ROW(57:57))), "")</f>
        <v/>
      </c>
      <c r="H60" s="55" t="str">
        <f t="array" ref="H60">IFERROR(INDEX('Bank Schedule'!H:H, SMALL(IF('Bank Schedule'!$K$2:$K$825="Vacant", ROW('Bank Schedule'!$K$2:$K$825)), ROW(57:57))), "")</f>
        <v/>
      </c>
      <c r="I60" s="55" t="str">
        <f t="array" ref="I60">IFERROR(INDEX('Bank Schedule'!I:I, SMALL(IF('Bank Schedule'!$K$2:$K$825="Vacant", ROW('Bank Schedule'!$K$2:$K$825)), ROW(57:57))), "")</f>
        <v/>
      </c>
      <c r="J60" s="11" t="str">
        <f t="array" ref="J60">IFERROR(INDEX('Bank Schedule'!K:K, SMALL(IF('Bank Schedule'!$K$2:$K$825="Vacant", ROW('Bank Schedule'!$K$2:$K$825)), ROW(57:57))), "")</f>
        <v/>
      </c>
      <c r="K60" s="11" t="str">
        <f t="array" ref="K60">IFERROR(INDEX('Bank Schedule'!L:L, SMALL(IF('Bank Schedule'!$K$2:$K$825="Vacant", ROW('Bank Schedule'!$K$2:$K$825)), ROW(57:57))), "")</f>
        <v/>
      </c>
      <c r="L60" s="11" t="str">
        <f t="array" ref="L60">IFERROR(INDEX('Bank Schedule'!M:M, SMALL(IF('Bank Schedule'!$K$2:$K$825="Vacant", ROW('Bank Schedule'!$K$2:$K$825)), ROW(57:57))), "")</f>
        <v/>
      </c>
      <c r="M60" s="106" t="str">
        <f t="array" ref="M60">IFERROR(INDEX('Bank Schedule'!N:N, SMALL(IF('Bank Schedule'!$K$2:$K$825="Vacant", ROW('Bank Schedule'!$K$2:$K$825)), ROW(57:57))), "")</f>
        <v/>
      </c>
      <c r="N60" s="11" t="str">
        <f t="array" ref="N60">IFERROR(INDEX('Bank Schedule'!O:O, SMALL(IF('Bank Schedule'!$K$2:$K$825="Vacant", ROW('Bank Schedule'!$K$2:$K$825)), ROW(57:57))), "")</f>
        <v/>
      </c>
      <c r="O60" s="11" t="str">
        <f t="array" ref="O60">IFERROR(INDEX('Bank Schedule'!P:P, SMALL(IF('Bank Schedule'!$K$2:$K$825="Vacant", ROW('Bank Schedule'!$K$2:$K$825)), ROW(57:57))), "")</f>
        <v/>
      </c>
      <c r="P60" s="11" t="str">
        <f t="array" ref="P60">IFERROR(INDEX('Bank Schedule'!Q:Q, SMALL(IF('Bank Schedule'!$K$2:$K$825="Vacant", ROW('Bank Schedule'!$K$2:$K$825)), ROW(57:57))), "")</f>
        <v/>
      </c>
      <c r="Q60" s="11" t="str">
        <f t="array" ref="Q60">IFERROR(INDEX('Bank Schedule'!R:R, SMALL(IF('Bank Schedule'!$K$2:$K$825="Vacant", ROW('Bank Schedule'!$K$2:$K$825)), ROW(57:57))), "")</f>
        <v/>
      </c>
      <c r="R60" s="11" t="str">
        <f t="array" ref="R60">IFERROR(INDEX('Bank Schedule'!S:S, SMALL(IF('Bank Schedule'!$K$2:$K$825="Vacant", ROW('Bank Schedule'!$K$2:$K$825)), ROW(57:57))), "")</f>
        <v/>
      </c>
      <c r="S60" s="320" t="str">
        <f t="array" ref="S60">IFERROR(INDEX('Bank Schedule'!T:T, SMALL(IF('Bank Schedule'!$K$2:$K$825="Vacant", ROW('Bank Schedule'!$K$2:$K$825)), ROW(57:57))), "")</f>
        <v/>
      </c>
      <c r="T60" s="320" t="str">
        <f t="array" ref="T60">IFERROR(INDEX('Bank Schedule'!U:U, SMALL(IF('Bank Schedule'!$K$2:$K$825="Vacant", ROW('Bank Schedule'!$K$2:$K$825)), ROW(57:57))), "")</f>
        <v/>
      </c>
      <c r="U60" s="320" t="str">
        <f t="array" ref="U60">IFERROR(INDEX('Bank Schedule'!V:V, SMALL(IF('Bank Schedule'!$K$2:$K$825="Vacant", ROW('Bank Schedule'!$K$2:$K$825)), ROW(57:57))), "")</f>
        <v/>
      </c>
      <c r="V60" s="320" t="str">
        <f t="array" ref="V60">IFERROR(INDEX('Bank Schedule'!W:W, SMALL(IF('Bank Schedule'!$K$2:$K$825="Vacant", ROW('Bank Schedule'!$K$2:$K$825)), ROW(57:57))), "")</f>
        <v/>
      </c>
      <c r="W60" s="319" t="str">
        <f t="array" ref="W60">IFERROR(INDEX('Bank Schedule'!X:X, SMALL(IF('Bank Schedule'!$K$2:$K$825="Vacant", ROW('Bank Schedule'!$K$2:$K$825)), ROW(57:57))), "")</f>
        <v/>
      </c>
      <c r="X60" s="11" t="str">
        <f t="array" ref="X60">IFERROR(INDEX('Bank Schedule'!Y:Y, SMALL(IF('Bank Schedule'!$K$2:$K$825="Vacant", ROW('Bank Schedule'!$K$2:$K$825)), ROW(57:57))), "")</f>
        <v/>
      </c>
      <c r="Y60" s="11" t="str">
        <f t="array" ref="Y60">IFERROR(INDEX('Bank Schedule'!Z:Z, SMALL(IF('Bank Schedule'!$K$2:$K$825="Vacant", ROW('Bank Schedule'!$K$2:$K$825)), ROW(57:57))), "")</f>
        <v/>
      </c>
      <c r="Z60" s="11" t="str">
        <f t="array" ref="Z60">IFERROR(INDEX('Bank Schedule'!AA:AA, SMALL(IF('Bank Schedule'!$K$2:$K$825="Vacant", ROW('Bank Schedule'!$K$2:$K$825)), ROW(57:57))), "")</f>
        <v/>
      </c>
      <c r="AA60" s="11" t="str">
        <f t="array" ref="AA60">IFERROR(INDEX('Bank Schedule'!AB:AB, SMALL(IF('Bank Schedule'!$K$2:$K$825="Vacant", ROW('Bank Schedule'!$K$2:$K$825)), ROW(57:57))), "")</f>
        <v/>
      </c>
      <c r="AB60" s="25" t="str">
        <f t="array" ref="AB60">IFERROR(INDEX('Bank Schedule'!AC:AC, SMALL(IF('Bank Schedule'!$K$2:$K$825="Vacant", ROW('Bank Schedule'!$K$2:$K$825)), ROW(57:57))), "")</f>
        <v/>
      </c>
      <c r="AC60" s="299" t="str">
        <f t="array" ref="AC60">IFERROR(INDEX('Bank Schedule'!AD:AD, SMALL(IF('Bank Schedule'!$K$2:$K$825="Vacant", ROW('Bank Schedule'!$K$2:$K$825)), ROW(57:57))), "")</f>
        <v/>
      </c>
      <c r="AD60" s="11" t="str">
        <f t="array" ref="AD60">IFERROR(INDEX('Bank Schedule'!AE:AE, SMALL(IF('Bank Schedule'!$K$2:$K$825="Vacant", ROW('Bank Schedule'!$K$2:$K$825)), ROW(57:57))), "")</f>
        <v/>
      </c>
      <c r="AE60" s="11" t="str">
        <f t="array" ref="AE60">IFERROR(INDEX('Bank Schedule'!AF:AF, SMALL(IF('Bank Schedule'!$K$2:$K$825="Vacant", ROW('Bank Schedule'!$K$2:$K$825)), ROW(57:57))), "")</f>
        <v/>
      </c>
      <c r="AF60" s="11" t="str">
        <f t="array" ref="AF60">IFERROR(INDEX('Bank Schedule'!AG:AG, SMALL(IF('Bank Schedule'!$K$2:$K$825="Vacant", ROW('Bank Schedule'!$K$2:$K$825)), ROW(57:57))), "")</f>
        <v/>
      </c>
      <c r="AG60" s="4"/>
    </row>
    <row r="61" spans="1:33" ht="28.5" hidden="1" customHeight="1">
      <c r="A61" s="2" t="str">
        <f t="array" ref="A61">IFERROR(INDEX('Bank Schedule'!A:A, SMALL(IF('Bank Schedule'!$K$2:$K$825="Vacant", ROW('Bank Schedule'!$K$2:$K$825)), ROW(58:58))), "")</f>
        <v/>
      </c>
      <c r="B61" s="11" t="str">
        <f t="array" ref="B61">IFERROR(INDEX('Bank Schedule'!B:B, SMALL(IF('Bank Schedule'!$K$2:$K$825="Vacant", ROW('Bank Schedule'!$K$2:$K$825)), ROW(58:58))), "")</f>
        <v/>
      </c>
      <c r="C61" s="11" t="str">
        <f t="array" ref="C61">IFERROR(INDEX('Bank Schedule'!C:C, SMALL(IF('Bank Schedule'!$K$2:$K$825="Vacant", ROW('Bank Schedule'!$K$2:$K$825)), ROW(58:58))), "")</f>
        <v/>
      </c>
      <c r="D61" s="11" t="str">
        <f t="array" ref="D61">IFERROR(INDEX('Bank Schedule'!D:D, SMALL(IF('Bank Schedule'!$K$2:$K$825="Vacant", ROW('Bank Schedule'!$K$2:$K$825)), ROW(58:58))), "")</f>
        <v/>
      </c>
      <c r="E61" s="25" t="str">
        <f t="array" ref="E61">IFERROR(INDEX('Bank Schedule'!E:E, SMALL(IF('Bank Schedule'!$K$2:$K$825="Vacant", ROW('Bank Schedule'!$K$2:$K$825)), ROW(58:58))), "")</f>
        <v/>
      </c>
      <c r="F61" s="25" t="str">
        <f t="array" ref="F61">IFERROR(INDEX('Bank Schedule'!F:F, SMALL(IF('Bank Schedule'!$K$2:$K$825="Vacant", ROW('Bank Schedule'!$K$2:$K$825)), ROW(58:58))), "")</f>
        <v/>
      </c>
      <c r="G61" s="25" t="str">
        <f t="array" ref="G61">IFERROR(INDEX('Bank Schedule'!G:G, SMALL(IF('Bank Schedule'!$K$2:$K$825="Vacant", ROW('Bank Schedule'!$K$2:$K$825)), ROW(58:58))), "")</f>
        <v/>
      </c>
      <c r="H61" s="55" t="str">
        <f t="array" ref="H61">IFERROR(INDEX('Bank Schedule'!H:H, SMALL(IF('Bank Schedule'!$K$2:$K$825="Vacant", ROW('Bank Schedule'!$K$2:$K$825)), ROW(58:58))), "")</f>
        <v/>
      </c>
      <c r="I61" s="55" t="str">
        <f t="array" ref="I61">IFERROR(INDEX('Bank Schedule'!I:I, SMALL(IF('Bank Schedule'!$K$2:$K$825="Vacant", ROW('Bank Schedule'!$K$2:$K$825)), ROW(58:58))), "")</f>
        <v/>
      </c>
      <c r="J61" s="11" t="str">
        <f t="array" ref="J61">IFERROR(INDEX('Bank Schedule'!K:K, SMALL(IF('Bank Schedule'!$K$2:$K$825="Vacant", ROW('Bank Schedule'!$K$2:$K$825)), ROW(58:58))), "")</f>
        <v/>
      </c>
      <c r="K61" s="11" t="str">
        <f t="array" ref="K61">IFERROR(INDEX('Bank Schedule'!L:L, SMALL(IF('Bank Schedule'!$K$2:$K$825="Vacant", ROW('Bank Schedule'!$K$2:$K$825)), ROW(58:58))), "")</f>
        <v/>
      </c>
      <c r="L61" s="11" t="str">
        <f t="array" ref="L61">IFERROR(INDEX('Bank Schedule'!M:M, SMALL(IF('Bank Schedule'!$K$2:$K$825="Vacant", ROW('Bank Schedule'!$K$2:$K$825)), ROW(58:58))), "")</f>
        <v/>
      </c>
      <c r="M61" s="106" t="str">
        <f t="array" ref="M61">IFERROR(INDEX('Bank Schedule'!N:N, SMALL(IF('Bank Schedule'!$K$2:$K$825="Vacant", ROW('Bank Schedule'!$K$2:$K$825)), ROW(58:58))), "")</f>
        <v/>
      </c>
      <c r="N61" s="11" t="str">
        <f t="array" ref="N61">IFERROR(INDEX('Bank Schedule'!O:O, SMALL(IF('Bank Schedule'!$K$2:$K$825="Vacant", ROW('Bank Schedule'!$K$2:$K$825)), ROW(58:58))), "")</f>
        <v/>
      </c>
      <c r="O61" s="11" t="str">
        <f t="array" ref="O61">IFERROR(INDEX('Bank Schedule'!P:P, SMALL(IF('Bank Schedule'!$K$2:$K$825="Vacant", ROW('Bank Schedule'!$K$2:$K$825)), ROW(58:58))), "")</f>
        <v/>
      </c>
      <c r="P61" s="11" t="str">
        <f t="array" ref="P61">IFERROR(INDEX('Bank Schedule'!Q:Q, SMALL(IF('Bank Schedule'!$K$2:$K$825="Vacant", ROW('Bank Schedule'!$K$2:$K$825)), ROW(58:58))), "")</f>
        <v/>
      </c>
      <c r="Q61" s="11" t="str">
        <f t="array" ref="Q61">IFERROR(INDEX('Bank Schedule'!R:R, SMALL(IF('Bank Schedule'!$K$2:$K$825="Vacant", ROW('Bank Schedule'!$K$2:$K$825)), ROW(58:58))), "")</f>
        <v/>
      </c>
      <c r="R61" s="11" t="str">
        <f t="array" ref="R61">IFERROR(INDEX('Bank Schedule'!S:S, SMALL(IF('Bank Schedule'!$K$2:$K$825="Vacant", ROW('Bank Schedule'!$K$2:$K$825)), ROW(58:58))), "")</f>
        <v/>
      </c>
      <c r="S61" s="320" t="str">
        <f t="array" ref="S61">IFERROR(INDEX('Bank Schedule'!T:T, SMALL(IF('Bank Schedule'!$K$2:$K$825="Vacant", ROW('Bank Schedule'!$K$2:$K$825)), ROW(58:58))), "")</f>
        <v/>
      </c>
      <c r="T61" s="320" t="str">
        <f t="array" ref="T61">IFERROR(INDEX('Bank Schedule'!U:U, SMALL(IF('Bank Schedule'!$K$2:$K$825="Vacant", ROW('Bank Schedule'!$K$2:$K$825)), ROW(58:58))), "")</f>
        <v/>
      </c>
      <c r="U61" s="320" t="str">
        <f t="array" ref="U61">IFERROR(INDEX('Bank Schedule'!V:V, SMALL(IF('Bank Schedule'!$K$2:$K$825="Vacant", ROW('Bank Schedule'!$K$2:$K$825)), ROW(58:58))), "")</f>
        <v/>
      </c>
      <c r="V61" s="320" t="str">
        <f t="array" ref="V61">IFERROR(INDEX('Bank Schedule'!W:W, SMALL(IF('Bank Schedule'!$K$2:$K$825="Vacant", ROW('Bank Schedule'!$K$2:$K$825)), ROW(58:58))), "")</f>
        <v/>
      </c>
      <c r="W61" s="319" t="str">
        <f t="array" ref="W61">IFERROR(INDEX('Bank Schedule'!X:X, SMALL(IF('Bank Schedule'!$K$2:$K$825="Vacant", ROW('Bank Schedule'!$K$2:$K$825)), ROW(58:58))), "")</f>
        <v/>
      </c>
      <c r="X61" s="11" t="str">
        <f t="array" ref="X61">IFERROR(INDEX('Bank Schedule'!Y:Y, SMALL(IF('Bank Schedule'!$K$2:$K$825="Vacant", ROW('Bank Schedule'!$K$2:$K$825)), ROW(58:58))), "")</f>
        <v/>
      </c>
      <c r="Y61" s="11" t="str">
        <f t="array" ref="Y61">IFERROR(INDEX('Bank Schedule'!Z:Z, SMALL(IF('Bank Schedule'!$K$2:$K$825="Vacant", ROW('Bank Schedule'!$K$2:$K$825)), ROW(58:58))), "")</f>
        <v/>
      </c>
      <c r="Z61" s="11" t="str">
        <f t="array" ref="Z61">IFERROR(INDEX('Bank Schedule'!AA:AA, SMALL(IF('Bank Schedule'!$K$2:$K$825="Vacant", ROW('Bank Schedule'!$K$2:$K$825)), ROW(58:58))), "")</f>
        <v/>
      </c>
      <c r="AA61" s="11" t="str">
        <f t="array" ref="AA61">IFERROR(INDEX('Bank Schedule'!AB:AB, SMALL(IF('Bank Schedule'!$K$2:$K$825="Vacant", ROW('Bank Schedule'!$K$2:$K$825)), ROW(58:58))), "")</f>
        <v/>
      </c>
      <c r="AB61" s="25" t="str">
        <f t="array" ref="AB61">IFERROR(INDEX('Bank Schedule'!AC:AC, SMALL(IF('Bank Schedule'!$K$2:$K$825="Vacant", ROW('Bank Schedule'!$K$2:$K$825)), ROW(58:58))), "")</f>
        <v/>
      </c>
      <c r="AC61" s="299" t="str">
        <f t="array" ref="AC61">IFERROR(INDEX('Bank Schedule'!AD:AD, SMALL(IF('Bank Schedule'!$K$2:$K$825="Vacant", ROW('Bank Schedule'!$K$2:$K$825)), ROW(58:58))), "")</f>
        <v/>
      </c>
      <c r="AD61" s="11" t="str">
        <f t="array" ref="AD61">IFERROR(INDEX('Bank Schedule'!AE:AE, SMALL(IF('Bank Schedule'!$K$2:$K$825="Vacant", ROW('Bank Schedule'!$K$2:$K$825)), ROW(58:58))), "")</f>
        <v/>
      </c>
      <c r="AE61" s="11" t="str">
        <f t="array" ref="AE61">IFERROR(INDEX('Bank Schedule'!AF:AF, SMALL(IF('Bank Schedule'!$K$2:$K$825="Vacant", ROW('Bank Schedule'!$K$2:$K$825)), ROW(58:58))), "")</f>
        <v/>
      </c>
      <c r="AF61" s="11" t="str">
        <f t="array" ref="AF61">IFERROR(INDEX('Bank Schedule'!AG:AG, SMALL(IF('Bank Schedule'!$K$2:$K$825="Vacant", ROW('Bank Schedule'!$K$2:$K$825)), ROW(58:58))), "")</f>
        <v/>
      </c>
      <c r="AG61" s="4"/>
    </row>
    <row r="62" spans="1:33" ht="28.5" hidden="1" customHeight="1">
      <c r="A62" s="2" t="str">
        <f t="array" ref="A62">IFERROR(INDEX('Bank Schedule'!A:A, SMALL(IF('Bank Schedule'!$K$2:$K$825="Vacant", ROW('Bank Schedule'!$K$2:$K$825)), ROW(59:59))), "")</f>
        <v/>
      </c>
      <c r="B62" s="11" t="str">
        <f t="array" ref="B62">IFERROR(INDEX('Bank Schedule'!B:B, SMALL(IF('Bank Schedule'!$K$2:$K$825="Vacant", ROW('Bank Schedule'!$K$2:$K$825)), ROW(59:59))), "")</f>
        <v/>
      </c>
      <c r="C62" s="11" t="str">
        <f t="array" ref="C62">IFERROR(INDEX('Bank Schedule'!C:C, SMALL(IF('Bank Schedule'!$K$2:$K$825="Vacant", ROW('Bank Schedule'!$K$2:$K$825)), ROW(59:59))), "")</f>
        <v/>
      </c>
      <c r="D62" s="11" t="str">
        <f t="array" ref="D62">IFERROR(INDEX('Bank Schedule'!D:D, SMALL(IF('Bank Schedule'!$K$2:$K$825="Vacant", ROW('Bank Schedule'!$K$2:$K$825)), ROW(59:59))), "")</f>
        <v/>
      </c>
      <c r="E62" s="25" t="str">
        <f t="array" ref="E62">IFERROR(INDEX('Bank Schedule'!E:E, SMALL(IF('Bank Schedule'!$K$2:$K$825="Vacant", ROW('Bank Schedule'!$K$2:$K$825)), ROW(59:59))), "")</f>
        <v/>
      </c>
      <c r="F62" s="25" t="str">
        <f t="array" ref="F62">IFERROR(INDEX('Bank Schedule'!F:F, SMALL(IF('Bank Schedule'!$K$2:$K$825="Vacant", ROW('Bank Schedule'!$K$2:$K$825)), ROW(59:59))), "")</f>
        <v/>
      </c>
      <c r="G62" s="25" t="str">
        <f t="array" ref="G62">IFERROR(INDEX('Bank Schedule'!G:G, SMALL(IF('Bank Schedule'!$K$2:$K$825="Vacant", ROW('Bank Schedule'!$K$2:$K$825)), ROW(59:59))), "")</f>
        <v/>
      </c>
      <c r="H62" s="55" t="str">
        <f t="array" ref="H62">IFERROR(INDEX('Bank Schedule'!H:H, SMALL(IF('Bank Schedule'!$K$2:$K$825="Vacant", ROW('Bank Schedule'!$K$2:$K$825)), ROW(59:59))), "")</f>
        <v/>
      </c>
      <c r="I62" s="55" t="str">
        <f t="array" ref="I62">IFERROR(INDEX('Bank Schedule'!I:I, SMALL(IF('Bank Schedule'!$K$2:$K$825="Vacant", ROW('Bank Schedule'!$K$2:$K$825)), ROW(59:59))), "")</f>
        <v/>
      </c>
      <c r="J62" s="11" t="str">
        <f t="array" ref="J62">IFERROR(INDEX('Bank Schedule'!K:K, SMALL(IF('Bank Schedule'!$K$2:$K$825="Vacant", ROW('Bank Schedule'!$K$2:$K$825)), ROW(59:59))), "")</f>
        <v/>
      </c>
      <c r="K62" s="11" t="str">
        <f t="array" ref="K62">IFERROR(INDEX('Bank Schedule'!L:L, SMALL(IF('Bank Schedule'!$K$2:$K$825="Vacant", ROW('Bank Schedule'!$K$2:$K$825)), ROW(59:59))), "")</f>
        <v/>
      </c>
      <c r="L62" s="11" t="str">
        <f t="array" ref="L62">IFERROR(INDEX('Bank Schedule'!M:M, SMALL(IF('Bank Schedule'!$K$2:$K$825="Vacant", ROW('Bank Schedule'!$K$2:$K$825)), ROW(59:59))), "")</f>
        <v/>
      </c>
      <c r="M62" s="106" t="str">
        <f t="array" ref="M62">IFERROR(INDEX('Bank Schedule'!N:N, SMALL(IF('Bank Schedule'!$K$2:$K$825="Vacant", ROW('Bank Schedule'!$K$2:$K$825)), ROW(59:59))), "")</f>
        <v/>
      </c>
      <c r="N62" s="11" t="str">
        <f t="array" ref="N62">IFERROR(INDEX('Bank Schedule'!O:O, SMALL(IF('Bank Schedule'!$K$2:$K$825="Vacant", ROW('Bank Schedule'!$K$2:$K$825)), ROW(59:59))), "")</f>
        <v/>
      </c>
      <c r="O62" s="11" t="str">
        <f t="array" ref="O62">IFERROR(INDEX('Bank Schedule'!P:P, SMALL(IF('Bank Schedule'!$K$2:$K$825="Vacant", ROW('Bank Schedule'!$K$2:$K$825)), ROW(59:59))), "")</f>
        <v/>
      </c>
      <c r="P62" s="11" t="str">
        <f t="array" ref="P62">IFERROR(INDEX('Bank Schedule'!Q:Q, SMALL(IF('Bank Schedule'!$K$2:$K$825="Vacant", ROW('Bank Schedule'!$K$2:$K$825)), ROW(59:59))), "")</f>
        <v/>
      </c>
      <c r="Q62" s="11" t="str">
        <f t="array" ref="Q62">IFERROR(INDEX('Bank Schedule'!R:R, SMALL(IF('Bank Schedule'!$K$2:$K$825="Vacant", ROW('Bank Schedule'!$K$2:$K$825)), ROW(59:59))), "")</f>
        <v/>
      </c>
      <c r="R62" s="11" t="str">
        <f t="array" ref="R62">IFERROR(INDEX('Bank Schedule'!S:S, SMALL(IF('Bank Schedule'!$K$2:$K$825="Vacant", ROW('Bank Schedule'!$K$2:$K$825)), ROW(59:59))), "")</f>
        <v/>
      </c>
      <c r="S62" s="320" t="str">
        <f t="array" ref="S62">IFERROR(INDEX('Bank Schedule'!T:T, SMALL(IF('Bank Schedule'!$K$2:$K$825="Vacant", ROW('Bank Schedule'!$K$2:$K$825)), ROW(59:59))), "")</f>
        <v/>
      </c>
      <c r="T62" s="320" t="str">
        <f t="array" ref="T62">IFERROR(INDEX('Bank Schedule'!U:U, SMALL(IF('Bank Schedule'!$K$2:$K$825="Vacant", ROW('Bank Schedule'!$K$2:$K$825)), ROW(59:59))), "")</f>
        <v/>
      </c>
      <c r="U62" s="320" t="str">
        <f t="array" ref="U62">IFERROR(INDEX('Bank Schedule'!V:V, SMALL(IF('Bank Schedule'!$K$2:$K$825="Vacant", ROW('Bank Schedule'!$K$2:$K$825)), ROW(59:59))), "")</f>
        <v/>
      </c>
      <c r="V62" s="320" t="str">
        <f t="array" ref="V62">IFERROR(INDEX('Bank Schedule'!W:W, SMALL(IF('Bank Schedule'!$K$2:$K$825="Vacant", ROW('Bank Schedule'!$K$2:$K$825)), ROW(59:59))), "")</f>
        <v/>
      </c>
      <c r="W62" s="319" t="str">
        <f t="array" ref="W62">IFERROR(INDEX('Bank Schedule'!X:X, SMALL(IF('Bank Schedule'!$K$2:$K$825="Vacant", ROW('Bank Schedule'!$K$2:$K$825)), ROW(59:59))), "")</f>
        <v/>
      </c>
      <c r="X62" s="11" t="str">
        <f t="array" ref="X62">IFERROR(INDEX('Bank Schedule'!Y:Y, SMALL(IF('Bank Schedule'!$K$2:$K$825="Vacant", ROW('Bank Schedule'!$K$2:$K$825)), ROW(59:59))), "")</f>
        <v/>
      </c>
      <c r="Y62" s="11" t="str">
        <f t="array" ref="Y62">IFERROR(INDEX('Bank Schedule'!Z:Z, SMALL(IF('Bank Schedule'!$K$2:$K$825="Vacant", ROW('Bank Schedule'!$K$2:$K$825)), ROW(59:59))), "")</f>
        <v/>
      </c>
      <c r="Z62" s="11" t="str">
        <f t="array" ref="Z62">IFERROR(INDEX('Bank Schedule'!AA:AA, SMALL(IF('Bank Schedule'!$K$2:$K$825="Vacant", ROW('Bank Schedule'!$K$2:$K$825)), ROW(59:59))), "")</f>
        <v/>
      </c>
      <c r="AA62" s="11" t="str">
        <f t="array" ref="AA62">IFERROR(INDEX('Bank Schedule'!AB:AB, SMALL(IF('Bank Schedule'!$K$2:$K$825="Vacant", ROW('Bank Schedule'!$K$2:$K$825)), ROW(59:59))), "")</f>
        <v/>
      </c>
      <c r="AB62" s="25" t="str">
        <f t="array" ref="AB62">IFERROR(INDEX('Bank Schedule'!AC:AC, SMALL(IF('Bank Schedule'!$K$2:$K$825="Vacant", ROW('Bank Schedule'!$K$2:$K$825)), ROW(59:59))), "")</f>
        <v/>
      </c>
      <c r="AC62" s="299" t="str">
        <f t="array" ref="AC62">IFERROR(INDEX('Bank Schedule'!AD:AD, SMALL(IF('Bank Schedule'!$K$2:$K$825="Vacant", ROW('Bank Schedule'!$K$2:$K$825)), ROW(59:59))), "")</f>
        <v/>
      </c>
      <c r="AD62" s="11" t="str">
        <f t="array" ref="AD62">IFERROR(INDEX('Bank Schedule'!AE:AE, SMALL(IF('Bank Schedule'!$K$2:$K$825="Vacant", ROW('Bank Schedule'!$K$2:$K$825)), ROW(59:59))), "")</f>
        <v/>
      </c>
      <c r="AE62" s="11" t="str">
        <f t="array" ref="AE62">IFERROR(INDEX('Bank Schedule'!AF:AF, SMALL(IF('Bank Schedule'!$K$2:$K$825="Vacant", ROW('Bank Schedule'!$K$2:$K$825)), ROW(59:59))), "")</f>
        <v/>
      </c>
      <c r="AF62" s="11" t="str">
        <f t="array" ref="AF62">IFERROR(INDEX('Bank Schedule'!AG:AG, SMALL(IF('Bank Schedule'!$K$2:$K$825="Vacant", ROW('Bank Schedule'!$K$2:$K$825)), ROW(59:59))), "")</f>
        <v/>
      </c>
      <c r="AG62" s="4"/>
    </row>
    <row r="63" spans="1:33" ht="28.5" hidden="1" customHeight="1">
      <c r="A63" s="2" t="str">
        <f t="array" ref="A63">IFERROR(INDEX('Bank Schedule'!A:A, SMALL(IF('Bank Schedule'!$K$2:$K$825="Vacant", ROW('Bank Schedule'!$K$2:$K$825)), ROW(60:60))), "")</f>
        <v/>
      </c>
      <c r="B63" s="11" t="str">
        <f t="array" ref="B63">IFERROR(INDEX('Bank Schedule'!B:B, SMALL(IF('Bank Schedule'!$K$2:$K$825="Vacant", ROW('Bank Schedule'!$K$2:$K$825)), ROW(60:60))), "")</f>
        <v/>
      </c>
      <c r="C63" s="11" t="str">
        <f t="array" ref="C63">IFERROR(INDEX('Bank Schedule'!C:C, SMALL(IF('Bank Schedule'!$K$2:$K$825="Vacant", ROW('Bank Schedule'!$K$2:$K$825)), ROW(60:60))), "")</f>
        <v/>
      </c>
      <c r="D63" s="11" t="str">
        <f t="array" ref="D63">IFERROR(INDEX('Bank Schedule'!D:D, SMALL(IF('Bank Schedule'!$K$2:$K$825="Vacant", ROW('Bank Schedule'!$K$2:$K$825)), ROW(60:60))), "")</f>
        <v/>
      </c>
      <c r="E63" s="25" t="str">
        <f t="array" ref="E63">IFERROR(INDEX('Bank Schedule'!E:E, SMALL(IF('Bank Schedule'!$K$2:$K$825="Vacant", ROW('Bank Schedule'!$K$2:$K$825)), ROW(60:60))), "")</f>
        <v/>
      </c>
      <c r="F63" s="25" t="str">
        <f t="array" ref="F63">IFERROR(INDEX('Bank Schedule'!F:F, SMALL(IF('Bank Schedule'!$K$2:$K$825="Vacant", ROW('Bank Schedule'!$K$2:$K$825)), ROW(60:60))), "")</f>
        <v/>
      </c>
      <c r="G63" s="25" t="str">
        <f t="array" ref="G63">IFERROR(INDEX('Bank Schedule'!G:G, SMALL(IF('Bank Schedule'!$K$2:$K$825="Vacant", ROW('Bank Schedule'!$K$2:$K$825)), ROW(60:60))), "")</f>
        <v/>
      </c>
      <c r="H63" s="55" t="str">
        <f t="array" ref="H63">IFERROR(INDEX('Bank Schedule'!H:H, SMALL(IF('Bank Schedule'!$K$2:$K$825="Vacant", ROW('Bank Schedule'!$K$2:$K$825)), ROW(60:60))), "")</f>
        <v/>
      </c>
      <c r="I63" s="55" t="str">
        <f t="array" ref="I63">IFERROR(INDEX('Bank Schedule'!I:I, SMALL(IF('Bank Schedule'!$K$2:$K$825="Vacant", ROW('Bank Schedule'!$K$2:$K$825)), ROW(60:60))), "")</f>
        <v/>
      </c>
      <c r="J63" s="11" t="str">
        <f t="array" ref="J63">IFERROR(INDEX('Bank Schedule'!K:K, SMALL(IF('Bank Schedule'!$K$2:$K$825="Vacant", ROW('Bank Schedule'!$K$2:$K$825)), ROW(60:60))), "")</f>
        <v/>
      </c>
      <c r="K63" s="11" t="str">
        <f t="array" ref="K63">IFERROR(INDEX('Bank Schedule'!L:L, SMALL(IF('Bank Schedule'!$K$2:$K$825="Vacant", ROW('Bank Schedule'!$K$2:$K$825)), ROW(60:60))), "")</f>
        <v/>
      </c>
      <c r="L63" s="11" t="str">
        <f t="array" ref="L63">IFERROR(INDEX('Bank Schedule'!M:M, SMALL(IF('Bank Schedule'!$K$2:$K$825="Vacant", ROW('Bank Schedule'!$K$2:$K$825)), ROW(60:60))), "")</f>
        <v/>
      </c>
      <c r="M63" s="106" t="str">
        <f t="array" ref="M63">IFERROR(INDEX('Bank Schedule'!N:N, SMALL(IF('Bank Schedule'!$K$2:$K$825="Vacant", ROW('Bank Schedule'!$K$2:$K$825)), ROW(60:60))), "")</f>
        <v/>
      </c>
      <c r="N63" s="11" t="str">
        <f t="array" ref="N63">IFERROR(INDEX('Bank Schedule'!O:O, SMALL(IF('Bank Schedule'!$K$2:$K$825="Vacant", ROW('Bank Schedule'!$K$2:$K$825)), ROW(60:60))), "")</f>
        <v/>
      </c>
      <c r="O63" s="11" t="str">
        <f t="array" ref="O63">IFERROR(INDEX('Bank Schedule'!P:P, SMALL(IF('Bank Schedule'!$K$2:$K$825="Vacant", ROW('Bank Schedule'!$K$2:$K$825)), ROW(60:60))), "")</f>
        <v/>
      </c>
      <c r="P63" s="11" t="str">
        <f t="array" ref="P63">IFERROR(INDEX('Bank Schedule'!Q:Q, SMALL(IF('Bank Schedule'!$K$2:$K$825="Vacant", ROW('Bank Schedule'!$K$2:$K$825)), ROW(60:60))), "")</f>
        <v/>
      </c>
      <c r="Q63" s="11" t="str">
        <f t="array" ref="Q63">IFERROR(INDEX('Bank Schedule'!R:R, SMALL(IF('Bank Schedule'!$K$2:$K$825="Vacant", ROW('Bank Schedule'!$K$2:$K$825)), ROW(60:60))), "")</f>
        <v/>
      </c>
      <c r="R63" s="11" t="str">
        <f t="array" ref="R63">IFERROR(INDEX('Bank Schedule'!S:S, SMALL(IF('Bank Schedule'!$K$2:$K$825="Vacant", ROW('Bank Schedule'!$K$2:$K$825)), ROW(60:60))), "")</f>
        <v/>
      </c>
      <c r="S63" s="320" t="str">
        <f t="array" ref="S63">IFERROR(INDEX('Bank Schedule'!T:T, SMALL(IF('Bank Schedule'!$K$2:$K$825="Vacant", ROW('Bank Schedule'!$K$2:$K$825)), ROW(60:60))), "")</f>
        <v/>
      </c>
      <c r="T63" s="320" t="str">
        <f t="array" ref="T63">IFERROR(INDEX('Bank Schedule'!U:U, SMALL(IF('Bank Schedule'!$K$2:$K$825="Vacant", ROW('Bank Schedule'!$K$2:$K$825)), ROW(60:60))), "")</f>
        <v/>
      </c>
      <c r="U63" s="320" t="str">
        <f t="array" ref="U63">IFERROR(INDEX('Bank Schedule'!V:V, SMALL(IF('Bank Schedule'!$K$2:$K$825="Vacant", ROW('Bank Schedule'!$K$2:$K$825)), ROW(60:60))), "")</f>
        <v/>
      </c>
      <c r="V63" s="320" t="str">
        <f t="array" ref="V63">IFERROR(INDEX('Bank Schedule'!W:W, SMALL(IF('Bank Schedule'!$K$2:$K$825="Vacant", ROW('Bank Schedule'!$K$2:$K$825)), ROW(60:60))), "")</f>
        <v/>
      </c>
      <c r="W63" s="319" t="str">
        <f t="array" ref="W63">IFERROR(INDEX('Bank Schedule'!X:X, SMALL(IF('Bank Schedule'!$K$2:$K$825="Vacant", ROW('Bank Schedule'!$K$2:$K$825)), ROW(60:60))), "")</f>
        <v/>
      </c>
      <c r="X63" s="11" t="str">
        <f t="array" ref="X63">IFERROR(INDEX('Bank Schedule'!Y:Y, SMALL(IF('Bank Schedule'!$K$2:$K$825="Vacant", ROW('Bank Schedule'!$K$2:$K$825)), ROW(60:60))), "")</f>
        <v/>
      </c>
      <c r="Y63" s="11" t="str">
        <f t="array" ref="Y63">IFERROR(INDEX('Bank Schedule'!Z:Z, SMALL(IF('Bank Schedule'!$K$2:$K$825="Vacant", ROW('Bank Schedule'!$K$2:$K$825)), ROW(60:60))), "")</f>
        <v/>
      </c>
      <c r="Z63" s="11" t="str">
        <f t="array" ref="Z63">IFERROR(INDEX('Bank Schedule'!AA:AA, SMALL(IF('Bank Schedule'!$K$2:$K$825="Vacant", ROW('Bank Schedule'!$K$2:$K$825)), ROW(60:60))), "")</f>
        <v/>
      </c>
      <c r="AA63" s="11" t="str">
        <f t="array" ref="AA63">IFERROR(INDEX('Bank Schedule'!AB:AB, SMALL(IF('Bank Schedule'!$K$2:$K$825="Vacant", ROW('Bank Schedule'!$K$2:$K$825)), ROW(60:60))), "")</f>
        <v/>
      </c>
      <c r="AB63" s="25" t="str">
        <f t="array" ref="AB63">IFERROR(INDEX('Bank Schedule'!AC:AC, SMALL(IF('Bank Schedule'!$K$2:$K$825="Vacant", ROW('Bank Schedule'!$K$2:$K$825)), ROW(60:60))), "")</f>
        <v/>
      </c>
      <c r="AC63" s="299" t="str">
        <f t="array" ref="AC63">IFERROR(INDEX('Bank Schedule'!AD:AD, SMALL(IF('Bank Schedule'!$K$2:$K$825="Vacant", ROW('Bank Schedule'!$K$2:$K$825)), ROW(60:60))), "")</f>
        <v/>
      </c>
      <c r="AD63" s="11" t="str">
        <f t="array" ref="AD63">IFERROR(INDEX('Bank Schedule'!AE:AE, SMALL(IF('Bank Schedule'!$K$2:$K$825="Vacant", ROW('Bank Schedule'!$K$2:$K$825)), ROW(60:60))), "")</f>
        <v/>
      </c>
      <c r="AE63" s="11" t="str">
        <f t="array" ref="AE63">IFERROR(INDEX('Bank Schedule'!AF:AF, SMALL(IF('Bank Schedule'!$K$2:$K$825="Vacant", ROW('Bank Schedule'!$K$2:$K$825)), ROW(60:60))), "")</f>
        <v/>
      </c>
      <c r="AF63" s="11" t="str">
        <f t="array" ref="AF63">IFERROR(INDEX('Bank Schedule'!AG:AG, SMALL(IF('Bank Schedule'!$K$2:$K$825="Vacant", ROW('Bank Schedule'!$K$2:$K$825)), ROW(60:60))), "")</f>
        <v/>
      </c>
      <c r="AG63" s="4"/>
    </row>
    <row r="64" spans="1:33" ht="28.5" hidden="1" customHeight="1">
      <c r="A64" s="2" t="str">
        <f t="array" ref="A64">IFERROR(INDEX('Bank Schedule'!A:A, SMALL(IF('Bank Schedule'!$K$2:$K$825="Vacant", ROW('Bank Schedule'!$K$2:$K$825)), ROW(61:61))), "")</f>
        <v/>
      </c>
      <c r="B64" s="11" t="str">
        <f t="array" ref="B64">IFERROR(INDEX('Bank Schedule'!B:B, SMALL(IF('Bank Schedule'!$K$2:$K$825="Vacant", ROW('Bank Schedule'!$K$2:$K$825)), ROW(61:61))), "")</f>
        <v/>
      </c>
      <c r="C64" s="11" t="str">
        <f t="array" ref="C64">IFERROR(INDEX('Bank Schedule'!C:C, SMALL(IF('Bank Schedule'!$K$2:$K$825="Vacant", ROW('Bank Schedule'!$K$2:$K$825)), ROW(61:61))), "")</f>
        <v/>
      </c>
      <c r="D64" s="11" t="str">
        <f t="array" ref="D64">IFERROR(INDEX('Bank Schedule'!D:D, SMALL(IF('Bank Schedule'!$K$2:$K$825="Vacant", ROW('Bank Schedule'!$K$2:$K$825)), ROW(61:61))), "")</f>
        <v/>
      </c>
      <c r="E64" s="25" t="str">
        <f t="array" ref="E64">IFERROR(INDEX('Bank Schedule'!E:E, SMALL(IF('Bank Schedule'!$K$2:$K$825="Vacant", ROW('Bank Schedule'!$K$2:$K$825)), ROW(61:61))), "")</f>
        <v/>
      </c>
      <c r="F64" s="25" t="str">
        <f t="array" ref="F64">IFERROR(INDEX('Bank Schedule'!F:F, SMALL(IF('Bank Schedule'!$K$2:$K$825="Vacant", ROW('Bank Schedule'!$K$2:$K$825)), ROW(61:61))), "")</f>
        <v/>
      </c>
      <c r="G64" s="25" t="str">
        <f t="array" ref="G64">IFERROR(INDEX('Bank Schedule'!G:G, SMALL(IF('Bank Schedule'!$K$2:$K$825="Vacant", ROW('Bank Schedule'!$K$2:$K$825)), ROW(61:61))), "")</f>
        <v/>
      </c>
      <c r="H64" s="55" t="str">
        <f t="array" ref="H64">IFERROR(INDEX('Bank Schedule'!H:H, SMALL(IF('Bank Schedule'!$K$2:$K$825="Vacant", ROW('Bank Schedule'!$K$2:$K$825)), ROW(61:61))), "")</f>
        <v/>
      </c>
      <c r="I64" s="55" t="str">
        <f t="array" ref="I64">IFERROR(INDEX('Bank Schedule'!I:I, SMALL(IF('Bank Schedule'!$K$2:$K$825="Vacant", ROW('Bank Schedule'!$K$2:$K$825)), ROW(61:61))), "")</f>
        <v/>
      </c>
      <c r="J64" s="11" t="str">
        <f t="array" ref="J64">IFERROR(INDEX('Bank Schedule'!K:K, SMALL(IF('Bank Schedule'!$K$2:$K$825="Vacant", ROW('Bank Schedule'!$K$2:$K$825)), ROW(61:61))), "")</f>
        <v/>
      </c>
      <c r="K64" s="11" t="str">
        <f t="array" ref="K64">IFERROR(INDEX('Bank Schedule'!L:L, SMALL(IF('Bank Schedule'!$K$2:$K$825="Vacant", ROW('Bank Schedule'!$K$2:$K$825)), ROW(61:61))), "")</f>
        <v/>
      </c>
      <c r="L64" s="11" t="str">
        <f t="array" ref="L64">IFERROR(INDEX('Bank Schedule'!M:M, SMALL(IF('Bank Schedule'!$K$2:$K$825="Vacant", ROW('Bank Schedule'!$K$2:$K$825)), ROW(61:61))), "")</f>
        <v/>
      </c>
      <c r="M64" s="106" t="str">
        <f t="array" ref="M64">IFERROR(INDEX('Bank Schedule'!N:N, SMALL(IF('Bank Schedule'!$K$2:$K$825="Vacant", ROW('Bank Schedule'!$K$2:$K$825)), ROW(61:61))), "")</f>
        <v/>
      </c>
      <c r="N64" s="11" t="str">
        <f t="array" ref="N64">IFERROR(INDEX('Bank Schedule'!O:O, SMALL(IF('Bank Schedule'!$K$2:$K$825="Vacant", ROW('Bank Schedule'!$K$2:$K$825)), ROW(61:61))), "")</f>
        <v/>
      </c>
      <c r="O64" s="11" t="str">
        <f t="array" ref="O64">IFERROR(INDEX('Bank Schedule'!P:P, SMALL(IF('Bank Schedule'!$K$2:$K$825="Vacant", ROW('Bank Schedule'!$K$2:$K$825)), ROW(61:61))), "")</f>
        <v/>
      </c>
      <c r="P64" s="11" t="str">
        <f t="array" ref="P64">IFERROR(INDEX('Bank Schedule'!Q:Q, SMALL(IF('Bank Schedule'!$K$2:$K$825="Vacant", ROW('Bank Schedule'!$K$2:$K$825)), ROW(61:61))), "")</f>
        <v/>
      </c>
      <c r="Q64" s="11" t="str">
        <f t="array" ref="Q64">IFERROR(INDEX('Bank Schedule'!R:R, SMALL(IF('Bank Schedule'!$K$2:$K$825="Vacant", ROW('Bank Schedule'!$K$2:$K$825)), ROW(61:61))), "")</f>
        <v/>
      </c>
      <c r="R64" s="11" t="str">
        <f t="array" ref="R64">IFERROR(INDEX('Bank Schedule'!S:S, SMALL(IF('Bank Schedule'!$K$2:$K$825="Vacant", ROW('Bank Schedule'!$K$2:$K$825)), ROW(61:61))), "")</f>
        <v/>
      </c>
      <c r="S64" s="320" t="str">
        <f t="array" ref="S64">IFERROR(INDEX('Bank Schedule'!T:T, SMALL(IF('Bank Schedule'!$K$2:$K$825="Vacant", ROW('Bank Schedule'!$K$2:$K$825)), ROW(61:61))), "")</f>
        <v/>
      </c>
      <c r="T64" s="320" t="str">
        <f t="array" ref="T64">IFERROR(INDEX('Bank Schedule'!U:U, SMALL(IF('Bank Schedule'!$K$2:$K$825="Vacant", ROW('Bank Schedule'!$K$2:$K$825)), ROW(61:61))), "")</f>
        <v/>
      </c>
      <c r="U64" s="320" t="str">
        <f t="array" ref="U64">IFERROR(INDEX('Bank Schedule'!V:V, SMALL(IF('Bank Schedule'!$K$2:$K$825="Vacant", ROW('Bank Schedule'!$K$2:$K$825)), ROW(61:61))), "")</f>
        <v/>
      </c>
      <c r="V64" s="320" t="str">
        <f t="array" ref="V64">IFERROR(INDEX('Bank Schedule'!W:W, SMALL(IF('Bank Schedule'!$K$2:$K$825="Vacant", ROW('Bank Schedule'!$K$2:$K$825)), ROW(61:61))), "")</f>
        <v/>
      </c>
      <c r="W64" s="319" t="str">
        <f t="array" ref="W64">IFERROR(INDEX('Bank Schedule'!X:X, SMALL(IF('Bank Schedule'!$K$2:$K$825="Vacant", ROW('Bank Schedule'!$K$2:$K$825)), ROW(61:61))), "")</f>
        <v/>
      </c>
      <c r="X64" s="11" t="str">
        <f t="array" ref="X64">IFERROR(INDEX('Bank Schedule'!Y:Y, SMALL(IF('Bank Schedule'!$K$2:$K$825="Vacant", ROW('Bank Schedule'!$K$2:$K$825)), ROW(61:61))), "")</f>
        <v/>
      </c>
      <c r="Y64" s="11" t="str">
        <f t="array" ref="Y64">IFERROR(INDEX('Bank Schedule'!Z:Z, SMALL(IF('Bank Schedule'!$K$2:$K$825="Vacant", ROW('Bank Schedule'!$K$2:$K$825)), ROW(61:61))), "")</f>
        <v/>
      </c>
      <c r="Z64" s="11" t="str">
        <f t="array" ref="Z64">IFERROR(INDEX('Bank Schedule'!AA:AA, SMALL(IF('Bank Schedule'!$K$2:$K$825="Vacant", ROW('Bank Schedule'!$K$2:$K$825)), ROW(61:61))), "")</f>
        <v/>
      </c>
      <c r="AA64" s="11" t="str">
        <f t="array" ref="AA64">IFERROR(INDEX('Bank Schedule'!AB:AB, SMALL(IF('Bank Schedule'!$K$2:$K$825="Vacant", ROW('Bank Schedule'!$K$2:$K$825)), ROW(61:61))), "")</f>
        <v/>
      </c>
      <c r="AB64" s="25" t="str">
        <f t="array" ref="AB64">IFERROR(INDEX('Bank Schedule'!AC:AC, SMALL(IF('Bank Schedule'!$K$2:$K$825="Vacant", ROW('Bank Schedule'!$K$2:$K$825)), ROW(61:61))), "")</f>
        <v/>
      </c>
      <c r="AC64" s="299" t="str">
        <f t="array" ref="AC64">IFERROR(INDEX('Bank Schedule'!AD:AD, SMALL(IF('Bank Schedule'!$K$2:$K$825="Vacant", ROW('Bank Schedule'!$K$2:$K$825)), ROW(61:61))), "")</f>
        <v/>
      </c>
      <c r="AD64" s="11" t="str">
        <f t="array" ref="AD64">IFERROR(INDEX('Bank Schedule'!AE:AE, SMALL(IF('Bank Schedule'!$K$2:$K$825="Vacant", ROW('Bank Schedule'!$K$2:$K$825)), ROW(61:61))), "")</f>
        <v/>
      </c>
      <c r="AE64" s="11" t="str">
        <f t="array" ref="AE64">IFERROR(INDEX('Bank Schedule'!AF:AF, SMALL(IF('Bank Schedule'!$K$2:$K$825="Vacant", ROW('Bank Schedule'!$K$2:$K$825)), ROW(61:61))), "")</f>
        <v/>
      </c>
      <c r="AF64" s="11" t="str">
        <f t="array" ref="AF64">IFERROR(INDEX('Bank Schedule'!AG:AG, SMALL(IF('Bank Schedule'!$K$2:$K$825="Vacant", ROW('Bank Schedule'!$K$2:$K$825)), ROW(61:61))), "")</f>
        <v/>
      </c>
      <c r="AG64" s="4"/>
    </row>
    <row r="65" spans="1:33" ht="28.5" hidden="1" customHeight="1">
      <c r="A65" s="2" t="str">
        <f t="array" ref="A65">IFERROR(INDEX('Bank Schedule'!A:A, SMALL(IF('Bank Schedule'!$K$2:$K$825="Vacant", ROW('Bank Schedule'!$K$2:$K$825)), ROW(62:62))), "")</f>
        <v/>
      </c>
      <c r="B65" s="11" t="str">
        <f t="array" ref="B65">IFERROR(INDEX('Bank Schedule'!B:B, SMALL(IF('Bank Schedule'!$K$2:$K$825="Vacant", ROW('Bank Schedule'!$K$2:$K$825)), ROW(62:62))), "")</f>
        <v/>
      </c>
      <c r="C65" s="11" t="str">
        <f t="array" ref="C65">IFERROR(INDEX('Bank Schedule'!C:C, SMALL(IF('Bank Schedule'!$K$2:$K$825="Vacant", ROW('Bank Schedule'!$K$2:$K$825)), ROW(62:62))), "")</f>
        <v/>
      </c>
      <c r="D65" s="11" t="str">
        <f t="array" ref="D65">IFERROR(INDEX('Bank Schedule'!D:D, SMALL(IF('Bank Schedule'!$K$2:$K$825="Vacant", ROW('Bank Schedule'!$K$2:$K$825)), ROW(62:62))), "")</f>
        <v/>
      </c>
      <c r="E65" s="25" t="str">
        <f t="array" ref="E65">IFERROR(INDEX('Bank Schedule'!E:E, SMALL(IF('Bank Schedule'!$K$2:$K$825="Vacant", ROW('Bank Schedule'!$K$2:$K$825)), ROW(62:62))), "")</f>
        <v/>
      </c>
      <c r="F65" s="25" t="str">
        <f t="array" ref="F65">IFERROR(INDEX('Bank Schedule'!F:F, SMALL(IF('Bank Schedule'!$K$2:$K$825="Vacant", ROW('Bank Schedule'!$K$2:$K$825)), ROW(62:62))), "")</f>
        <v/>
      </c>
      <c r="G65" s="25" t="str">
        <f t="array" ref="G65">IFERROR(INDEX('Bank Schedule'!G:G, SMALL(IF('Bank Schedule'!$K$2:$K$825="Vacant", ROW('Bank Schedule'!$K$2:$K$825)), ROW(62:62))), "")</f>
        <v/>
      </c>
      <c r="H65" s="55" t="str">
        <f t="array" ref="H65">IFERROR(INDEX('Bank Schedule'!H:H, SMALL(IF('Bank Schedule'!$K$2:$K$825="Vacant", ROW('Bank Schedule'!$K$2:$K$825)), ROW(62:62))), "")</f>
        <v/>
      </c>
      <c r="I65" s="55" t="str">
        <f t="array" ref="I65">IFERROR(INDEX('Bank Schedule'!I:I, SMALL(IF('Bank Schedule'!$K$2:$K$825="Vacant", ROW('Bank Schedule'!$K$2:$K$825)), ROW(62:62))), "")</f>
        <v/>
      </c>
      <c r="J65" s="11" t="str">
        <f t="array" ref="J65">IFERROR(INDEX('Bank Schedule'!K:K, SMALL(IF('Bank Schedule'!$K$2:$K$825="Vacant", ROW('Bank Schedule'!$K$2:$K$825)), ROW(62:62))), "")</f>
        <v/>
      </c>
      <c r="K65" s="11" t="str">
        <f t="array" ref="K65">IFERROR(INDEX('Bank Schedule'!L:L, SMALL(IF('Bank Schedule'!$K$2:$K$825="Vacant", ROW('Bank Schedule'!$K$2:$K$825)), ROW(62:62))), "")</f>
        <v/>
      </c>
      <c r="L65" s="11" t="str">
        <f t="array" ref="L65">IFERROR(INDEX('Bank Schedule'!M:M, SMALL(IF('Bank Schedule'!$K$2:$K$825="Vacant", ROW('Bank Schedule'!$K$2:$K$825)), ROW(62:62))), "")</f>
        <v/>
      </c>
      <c r="M65" s="106" t="str">
        <f t="array" ref="M65">IFERROR(INDEX('Bank Schedule'!N:N, SMALL(IF('Bank Schedule'!$K$2:$K$825="Vacant", ROW('Bank Schedule'!$K$2:$K$825)), ROW(62:62))), "")</f>
        <v/>
      </c>
      <c r="N65" s="11" t="str">
        <f t="array" ref="N65">IFERROR(INDEX('Bank Schedule'!O:O, SMALL(IF('Bank Schedule'!$K$2:$K$825="Vacant", ROW('Bank Schedule'!$K$2:$K$825)), ROW(62:62))), "")</f>
        <v/>
      </c>
      <c r="O65" s="11" t="str">
        <f t="array" ref="O65">IFERROR(INDEX('Bank Schedule'!P:P, SMALL(IF('Bank Schedule'!$K$2:$K$825="Vacant", ROW('Bank Schedule'!$K$2:$K$825)), ROW(62:62))), "")</f>
        <v/>
      </c>
      <c r="P65" s="11" t="str">
        <f t="array" ref="P65">IFERROR(INDEX('Bank Schedule'!Q:Q, SMALL(IF('Bank Schedule'!$K$2:$K$825="Vacant", ROW('Bank Schedule'!$K$2:$K$825)), ROW(62:62))), "")</f>
        <v/>
      </c>
      <c r="Q65" s="11" t="str">
        <f t="array" ref="Q65">IFERROR(INDEX('Bank Schedule'!R:R, SMALL(IF('Bank Schedule'!$K$2:$K$825="Vacant", ROW('Bank Schedule'!$K$2:$K$825)), ROW(62:62))), "")</f>
        <v/>
      </c>
      <c r="R65" s="11" t="str">
        <f t="array" ref="R65">IFERROR(INDEX('Bank Schedule'!S:S, SMALL(IF('Bank Schedule'!$K$2:$K$825="Vacant", ROW('Bank Schedule'!$K$2:$K$825)), ROW(62:62))), "")</f>
        <v/>
      </c>
      <c r="S65" s="320" t="str">
        <f t="array" ref="S65">IFERROR(INDEX('Bank Schedule'!T:T, SMALL(IF('Bank Schedule'!$K$2:$K$825="Vacant", ROW('Bank Schedule'!$K$2:$K$825)), ROW(62:62))), "")</f>
        <v/>
      </c>
      <c r="T65" s="320" t="str">
        <f t="array" ref="T65">IFERROR(INDEX('Bank Schedule'!U:U, SMALL(IF('Bank Schedule'!$K$2:$K$825="Vacant", ROW('Bank Schedule'!$K$2:$K$825)), ROW(62:62))), "")</f>
        <v/>
      </c>
      <c r="U65" s="320" t="str">
        <f t="array" ref="U65">IFERROR(INDEX('Bank Schedule'!V:V, SMALL(IF('Bank Schedule'!$K$2:$K$825="Vacant", ROW('Bank Schedule'!$K$2:$K$825)), ROW(62:62))), "")</f>
        <v/>
      </c>
      <c r="V65" s="320" t="str">
        <f t="array" ref="V65">IFERROR(INDEX('Bank Schedule'!W:W, SMALL(IF('Bank Schedule'!$K$2:$K$825="Vacant", ROW('Bank Schedule'!$K$2:$K$825)), ROW(62:62))), "")</f>
        <v/>
      </c>
      <c r="W65" s="319" t="str">
        <f t="array" ref="W65">IFERROR(INDEX('Bank Schedule'!X:X, SMALL(IF('Bank Schedule'!$K$2:$K$825="Vacant", ROW('Bank Schedule'!$K$2:$K$825)), ROW(62:62))), "")</f>
        <v/>
      </c>
      <c r="X65" s="11" t="str">
        <f t="array" ref="X65">IFERROR(INDEX('Bank Schedule'!Y:Y, SMALL(IF('Bank Schedule'!$K$2:$K$825="Vacant", ROW('Bank Schedule'!$K$2:$K$825)), ROW(62:62))), "")</f>
        <v/>
      </c>
      <c r="Y65" s="11" t="str">
        <f t="array" ref="Y65">IFERROR(INDEX('Bank Schedule'!Z:Z, SMALL(IF('Bank Schedule'!$K$2:$K$825="Vacant", ROW('Bank Schedule'!$K$2:$K$825)), ROW(62:62))), "")</f>
        <v/>
      </c>
      <c r="Z65" s="11" t="str">
        <f t="array" ref="Z65">IFERROR(INDEX('Bank Schedule'!AA:AA, SMALL(IF('Bank Schedule'!$K$2:$K$825="Vacant", ROW('Bank Schedule'!$K$2:$K$825)), ROW(62:62))), "")</f>
        <v/>
      </c>
      <c r="AA65" s="11" t="str">
        <f t="array" ref="AA65">IFERROR(INDEX('Bank Schedule'!AB:AB, SMALL(IF('Bank Schedule'!$K$2:$K$825="Vacant", ROW('Bank Schedule'!$K$2:$K$825)), ROW(62:62))), "")</f>
        <v/>
      </c>
      <c r="AB65" s="25" t="str">
        <f t="array" ref="AB65">IFERROR(INDEX('Bank Schedule'!AC:AC, SMALL(IF('Bank Schedule'!$K$2:$K$825="Vacant", ROW('Bank Schedule'!$K$2:$K$825)), ROW(62:62))), "")</f>
        <v/>
      </c>
      <c r="AC65" s="299" t="str">
        <f t="array" ref="AC65">IFERROR(INDEX('Bank Schedule'!AD:AD, SMALL(IF('Bank Schedule'!$K$2:$K$825="Vacant", ROW('Bank Schedule'!$K$2:$K$825)), ROW(62:62))), "")</f>
        <v/>
      </c>
      <c r="AD65" s="11" t="str">
        <f t="array" ref="AD65">IFERROR(INDEX('Bank Schedule'!AE:AE, SMALL(IF('Bank Schedule'!$K$2:$K$825="Vacant", ROW('Bank Schedule'!$K$2:$K$825)), ROW(62:62))), "")</f>
        <v/>
      </c>
      <c r="AE65" s="11" t="str">
        <f t="array" ref="AE65">IFERROR(INDEX('Bank Schedule'!AF:AF, SMALL(IF('Bank Schedule'!$K$2:$K$825="Vacant", ROW('Bank Schedule'!$K$2:$K$825)), ROW(62:62))), "")</f>
        <v/>
      </c>
      <c r="AF65" s="11" t="str">
        <f t="array" ref="AF65">IFERROR(INDEX('Bank Schedule'!AG:AG, SMALL(IF('Bank Schedule'!$K$2:$K$825="Vacant", ROW('Bank Schedule'!$K$2:$K$825)), ROW(62:62))), "")</f>
        <v/>
      </c>
      <c r="AG65" s="4"/>
    </row>
    <row r="66" spans="1:33" ht="28.5" hidden="1" customHeight="1">
      <c r="A66" s="2" t="str">
        <f t="array" ref="A66">IFERROR(INDEX('Bank Schedule'!A:A, SMALL(IF('Bank Schedule'!$K$2:$K$825="Vacant", ROW('Bank Schedule'!$K$2:$K$825)), ROW(63:63))), "")</f>
        <v/>
      </c>
      <c r="B66" s="11" t="str">
        <f t="array" ref="B66">IFERROR(INDEX('Bank Schedule'!B:B, SMALL(IF('Bank Schedule'!$K$2:$K$825="Vacant", ROW('Bank Schedule'!$K$2:$K$825)), ROW(63:63))), "")</f>
        <v/>
      </c>
      <c r="C66" s="11" t="str">
        <f t="array" ref="C66">IFERROR(INDEX('Bank Schedule'!C:C, SMALL(IF('Bank Schedule'!$K$2:$K$825="Vacant", ROW('Bank Schedule'!$K$2:$K$825)), ROW(63:63))), "")</f>
        <v/>
      </c>
      <c r="D66" s="11" t="str">
        <f t="array" ref="D66">IFERROR(INDEX('Bank Schedule'!D:D, SMALL(IF('Bank Schedule'!$K$2:$K$825="Vacant", ROW('Bank Schedule'!$K$2:$K$825)), ROW(63:63))), "")</f>
        <v/>
      </c>
      <c r="E66" s="25" t="str">
        <f t="array" ref="E66">IFERROR(INDEX('Bank Schedule'!E:E, SMALL(IF('Bank Schedule'!$K$2:$K$825="Vacant", ROW('Bank Schedule'!$K$2:$K$825)), ROW(63:63))), "")</f>
        <v/>
      </c>
      <c r="F66" s="25" t="str">
        <f t="array" ref="F66">IFERROR(INDEX('Bank Schedule'!F:F, SMALL(IF('Bank Schedule'!$K$2:$K$825="Vacant", ROW('Bank Schedule'!$K$2:$K$825)), ROW(63:63))), "")</f>
        <v/>
      </c>
      <c r="G66" s="25" t="str">
        <f t="array" ref="G66">IFERROR(INDEX('Bank Schedule'!G:G, SMALL(IF('Bank Schedule'!$K$2:$K$825="Vacant", ROW('Bank Schedule'!$K$2:$K$825)), ROW(63:63))), "")</f>
        <v/>
      </c>
      <c r="H66" s="55" t="str">
        <f t="array" ref="H66">IFERROR(INDEX('Bank Schedule'!H:H, SMALL(IF('Bank Schedule'!$K$2:$K$825="Vacant", ROW('Bank Schedule'!$K$2:$K$825)), ROW(63:63))), "")</f>
        <v/>
      </c>
      <c r="I66" s="55" t="str">
        <f t="array" ref="I66">IFERROR(INDEX('Bank Schedule'!I:I, SMALL(IF('Bank Schedule'!$K$2:$K$825="Vacant", ROW('Bank Schedule'!$K$2:$K$825)), ROW(63:63))), "")</f>
        <v/>
      </c>
      <c r="J66" s="11" t="str">
        <f t="array" ref="J66">IFERROR(INDEX('Bank Schedule'!K:K, SMALL(IF('Bank Schedule'!$K$2:$K$825="Vacant", ROW('Bank Schedule'!$K$2:$K$825)), ROW(63:63))), "")</f>
        <v/>
      </c>
      <c r="K66" s="11" t="str">
        <f t="array" ref="K66">IFERROR(INDEX('Bank Schedule'!L:L, SMALL(IF('Bank Schedule'!$K$2:$K$825="Vacant", ROW('Bank Schedule'!$K$2:$K$825)), ROW(63:63))), "")</f>
        <v/>
      </c>
      <c r="L66" s="11" t="str">
        <f t="array" ref="L66">IFERROR(INDEX('Bank Schedule'!M:M, SMALL(IF('Bank Schedule'!$K$2:$K$825="Vacant", ROW('Bank Schedule'!$K$2:$K$825)), ROW(63:63))), "")</f>
        <v/>
      </c>
      <c r="M66" s="106" t="str">
        <f t="array" ref="M66">IFERROR(INDEX('Bank Schedule'!N:N, SMALL(IF('Bank Schedule'!$K$2:$K$825="Vacant", ROW('Bank Schedule'!$K$2:$K$825)), ROW(63:63))), "")</f>
        <v/>
      </c>
      <c r="N66" s="11" t="str">
        <f t="array" ref="N66">IFERROR(INDEX('Bank Schedule'!O:O, SMALL(IF('Bank Schedule'!$K$2:$K$825="Vacant", ROW('Bank Schedule'!$K$2:$K$825)), ROW(63:63))), "")</f>
        <v/>
      </c>
      <c r="O66" s="11" t="str">
        <f t="array" ref="O66">IFERROR(INDEX('Bank Schedule'!P:P, SMALL(IF('Bank Schedule'!$K$2:$K$825="Vacant", ROW('Bank Schedule'!$K$2:$K$825)), ROW(63:63))), "")</f>
        <v/>
      </c>
      <c r="P66" s="11" t="str">
        <f t="array" ref="P66">IFERROR(INDEX('Bank Schedule'!Q:Q, SMALL(IF('Bank Schedule'!$K$2:$K$825="Vacant", ROW('Bank Schedule'!$K$2:$K$825)), ROW(63:63))), "")</f>
        <v/>
      </c>
      <c r="Q66" s="11" t="str">
        <f t="array" ref="Q66">IFERROR(INDEX('Bank Schedule'!R:R, SMALL(IF('Bank Schedule'!$K$2:$K$825="Vacant", ROW('Bank Schedule'!$K$2:$K$825)), ROW(63:63))), "")</f>
        <v/>
      </c>
      <c r="R66" s="11" t="str">
        <f t="array" ref="R66">IFERROR(INDEX('Bank Schedule'!S:S, SMALL(IF('Bank Schedule'!$K$2:$K$825="Vacant", ROW('Bank Schedule'!$K$2:$K$825)), ROW(63:63))), "")</f>
        <v/>
      </c>
      <c r="S66" s="320" t="str">
        <f t="array" ref="S66">IFERROR(INDEX('Bank Schedule'!T:T, SMALL(IF('Bank Schedule'!$K$2:$K$825="Vacant", ROW('Bank Schedule'!$K$2:$K$825)), ROW(63:63))), "")</f>
        <v/>
      </c>
      <c r="T66" s="320" t="str">
        <f t="array" ref="T66">IFERROR(INDEX('Bank Schedule'!U:U, SMALL(IF('Bank Schedule'!$K$2:$K$825="Vacant", ROW('Bank Schedule'!$K$2:$K$825)), ROW(63:63))), "")</f>
        <v/>
      </c>
      <c r="U66" s="320" t="str">
        <f t="array" ref="U66">IFERROR(INDEX('Bank Schedule'!V:V, SMALL(IF('Bank Schedule'!$K$2:$K$825="Vacant", ROW('Bank Schedule'!$K$2:$K$825)), ROW(63:63))), "")</f>
        <v/>
      </c>
      <c r="V66" s="320" t="str">
        <f t="array" ref="V66">IFERROR(INDEX('Bank Schedule'!W:W, SMALL(IF('Bank Schedule'!$K$2:$K$825="Vacant", ROW('Bank Schedule'!$K$2:$K$825)), ROW(63:63))), "")</f>
        <v/>
      </c>
      <c r="W66" s="319" t="str">
        <f t="array" ref="W66">IFERROR(INDEX('Bank Schedule'!X:X, SMALL(IF('Bank Schedule'!$K$2:$K$825="Vacant", ROW('Bank Schedule'!$K$2:$K$825)), ROW(63:63))), "")</f>
        <v/>
      </c>
      <c r="X66" s="11" t="str">
        <f t="array" ref="X66">IFERROR(INDEX('Bank Schedule'!Y:Y, SMALL(IF('Bank Schedule'!$K$2:$K$825="Vacant", ROW('Bank Schedule'!$K$2:$K$825)), ROW(63:63))), "")</f>
        <v/>
      </c>
      <c r="Y66" s="11" t="str">
        <f t="array" ref="Y66">IFERROR(INDEX('Bank Schedule'!Z:Z, SMALL(IF('Bank Schedule'!$K$2:$K$825="Vacant", ROW('Bank Schedule'!$K$2:$K$825)), ROW(63:63))), "")</f>
        <v/>
      </c>
      <c r="Z66" s="11" t="str">
        <f t="array" ref="Z66">IFERROR(INDEX('Bank Schedule'!AA:AA, SMALL(IF('Bank Schedule'!$K$2:$K$825="Vacant", ROW('Bank Schedule'!$K$2:$K$825)), ROW(63:63))), "")</f>
        <v/>
      </c>
      <c r="AA66" s="11" t="str">
        <f t="array" ref="AA66">IFERROR(INDEX('Bank Schedule'!AB:AB, SMALL(IF('Bank Schedule'!$K$2:$K$825="Vacant", ROW('Bank Schedule'!$K$2:$K$825)), ROW(63:63))), "")</f>
        <v/>
      </c>
      <c r="AB66" s="25" t="str">
        <f t="array" ref="AB66">IFERROR(INDEX('Bank Schedule'!AC:AC, SMALL(IF('Bank Schedule'!$K$2:$K$825="Vacant", ROW('Bank Schedule'!$K$2:$K$825)), ROW(63:63))), "")</f>
        <v/>
      </c>
      <c r="AC66" s="299" t="str">
        <f t="array" ref="AC66">IFERROR(INDEX('Bank Schedule'!AD:AD, SMALL(IF('Bank Schedule'!$K$2:$K$825="Vacant", ROW('Bank Schedule'!$K$2:$K$825)), ROW(63:63))), "")</f>
        <v/>
      </c>
      <c r="AD66" s="11" t="str">
        <f t="array" ref="AD66">IFERROR(INDEX('Bank Schedule'!AE:AE, SMALL(IF('Bank Schedule'!$K$2:$K$825="Vacant", ROW('Bank Schedule'!$K$2:$K$825)), ROW(63:63))), "")</f>
        <v/>
      </c>
      <c r="AE66" s="11" t="str">
        <f t="array" ref="AE66">IFERROR(INDEX('Bank Schedule'!AF:AF, SMALL(IF('Bank Schedule'!$K$2:$K$825="Vacant", ROW('Bank Schedule'!$K$2:$K$825)), ROW(63:63))), "")</f>
        <v/>
      </c>
      <c r="AF66" s="11" t="str">
        <f t="array" ref="AF66">IFERROR(INDEX('Bank Schedule'!AG:AG, SMALL(IF('Bank Schedule'!$K$2:$K$825="Vacant", ROW('Bank Schedule'!$K$2:$K$825)), ROW(63:63))), "")</f>
        <v/>
      </c>
      <c r="AG66" s="4"/>
    </row>
    <row r="67" spans="1:33" ht="28.5" hidden="1" customHeight="1">
      <c r="A67" s="2" t="str">
        <f t="array" ref="A67">IFERROR(INDEX('Bank Schedule'!A:A, SMALL(IF('Bank Schedule'!$K$2:$K$825="Vacant", ROW('Bank Schedule'!$K$2:$K$825)), ROW(64:64))), "")</f>
        <v/>
      </c>
      <c r="B67" s="11" t="str">
        <f t="array" ref="B67">IFERROR(INDEX('Bank Schedule'!B:B, SMALL(IF('Bank Schedule'!$K$2:$K$825="Vacant", ROW('Bank Schedule'!$K$2:$K$825)), ROW(64:64))), "")</f>
        <v/>
      </c>
      <c r="C67" s="11" t="str">
        <f t="array" ref="C67">IFERROR(INDEX('Bank Schedule'!C:C, SMALL(IF('Bank Schedule'!$K$2:$K$825="Vacant", ROW('Bank Schedule'!$K$2:$K$825)), ROW(64:64))), "")</f>
        <v/>
      </c>
      <c r="D67" s="11" t="str">
        <f t="array" ref="D67">IFERROR(INDEX('Bank Schedule'!D:D, SMALL(IF('Bank Schedule'!$K$2:$K$825="Vacant", ROW('Bank Schedule'!$K$2:$K$825)), ROW(64:64))), "")</f>
        <v/>
      </c>
      <c r="E67" s="25" t="str">
        <f t="array" ref="E67">IFERROR(INDEX('Bank Schedule'!E:E, SMALL(IF('Bank Schedule'!$K$2:$K$825="Vacant", ROW('Bank Schedule'!$K$2:$K$825)), ROW(64:64))), "")</f>
        <v/>
      </c>
      <c r="F67" s="25" t="str">
        <f t="array" ref="F67">IFERROR(INDEX('Bank Schedule'!F:F, SMALL(IF('Bank Schedule'!$K$2:$K$825="Vacant", ROW('Bank Schedule'!$K$2:$K$825)), ROW(64:64))), "")</f>
        <v/>
      </c>
      <c r="G67" s="25" t="str">
        <f t="array" ref="G67">IFERROR(INDEX('Bank Schedule'!G:G, SMALL(IF('Bank Schedule'!$K$2:$K$825="Vacant", ROW('Bank Schedule'!$K$2:$K$825)), ROW(64:64))), "")</f>
        <v/>
      </c>
      <c r="H67" s="55" t="str">
        <f t="array" ref="H67">IFERROR(INDEX('Bank Schedule'!H:H, SMALL(IF('Bank Schedule'!$K$2:$K$825="Vacant", ROW('Bank Schedule'!$K$2:$K$825)), ROW(64:64))), "")</f>
        <v/>
      </c>
      <c r="I67" s="55" t="str">
        <f t="array" ref="I67">IFERROR(INDEX('Bank Schedule'!I:I, SMALL(IF('Bank Schedule'!$K$2:$K$825="Vacant", ROW('Bank Schedule'!$K$2:$K$825)), ROW(64:64))), "")</f>
        <v/>
      </c>
      <c r="J67" s="11" t="str">
        <f t="array" ref="J67">IFERROR(INDEX('Bank Schedule'!K:K, SMALL(IF('Bank Schedule'!$K$2:$K$825="Vacant", ROW('Bank Schedule'!$K$2:$K$825)), ROW(64:64))), "")</f>
        <v/>
      </c>
      <c r="K67" s="11" t="str">
        <f t="array" ref="K67">IFERROR(INDEX('Bank Schedule'!L:L, SMALL(IF('Bank Schedule'!$K$2:$K$825="Vacant", ROW('Bank Schedule'!$K$2:$K$825)), ROW(64:64))), "")</f>
        <v/>
      </c>
      <c r="L67" s="11" t="str">
        <f t="array" ref="L67">IFERROR(INDEX('Bank Schedule'!M:M, SMALL(IF('Bank Schedule'!$K$2:$K$825="Vacant", ROW('Bank Schedule'!$K$2:$K$825)), ROW(64:64))), "")</f>
        <v/>
      </c>
      <c r="M67" s="106" t="str">
        <f t="array" ref="M67">IFERROR(INDEX('Bank Schedule'!N:N, SMALL(IF('Bank Schedule'!$K$2:$K$825="Vacant", ROW('Bank Schedule'!$K$2:$K$825)), ROW(64:64))), "")</f>
        <v/>
      </c>
      <c r="N67" s="11" t="str">
        <f t="array" ref="N67">IFERROR(INDEX('Bank Schedule'!O:O, SMALL(IF('Bank Schedule'!$K$2:$K$825="Vacant", ROW('Bank Schedule'!$K$2:$K$825)), ROW(64:64))), "")</f>
        <v/>
      </c>
      <c r="O67" s="11" t="str">
        <f t="array" ref="O67">IFERROR(INDEX('Bank Schedule'!P:P, SMALL(IF('Bank Schedule'!$K$2:$K$825="Vacant", ROW('Bank Schedule'!$K$2:$K$825)), ROW(64:64))), "")</f>
        <v/>
      </c>
      <c r="P67" s="11" t="str">
        <f t="array" ref="P67">IFERROR(INDEX('Bank Schedule'!Q:Q, SMALL(IF('Bank Schedule'!$K$2:$K$825="Vacant", ROW('Bank Schedule'!$K$2:$K$825)), ROW(64:64))), "")</f>
        <v/>
      </c>
      <c r="Q67" s="11" t="str">
        <f t="array" ref="Q67">IFERROR(INDEX('Bank Schedule'!R:R, SMALL(IF('Bank Schedule'!$K$2:$K$825="Vacant", ROW('Bank Schedule'!$K$2:$K$825)), ROW(64:64))), "")</f>
        <v/>
      </c>
      <c r="R67" s="11" t="str">
        <f t="array" ref="R67">IFERROR(INDEX('Bank Schedule'!S:S, SMALL(IF('Bank Schedule'!$K$2:$K$825="Vacant", ROW('Bank Schedule'!$K$2:$K$825)), ROW(64:64))), "")</f>
        <v/>
      </c>
      <c r="S67" s="320" t="str">
        <f t="array" ref="S67">IFERROR(INDEX('Bank Schedule'!T:T, SMALL(IF('Bank Schedule'!$K$2:$K$825="Vacant", ROW('Bank Schedule'!$K$2:$K$825)), ROW(64:64))), "")</f>
        <v/>
      </c>
      <c r="T67" s="320" t="str">
        <f t="array" ref="T67">IFERROR(INDEX('Bank Schedule'!U:U, SMALL(IF('Bank Schedule'!$K$2:$K$825="Vacant", ROW('Bank Schedule'!$K$2:$K$825)), ROW(64:64))), "")</f>
        <v/>
      </c>
      <c r="U67" s="320" t="str">
        <f t="array" ref="U67">IFERROR(INDEX('Bank Schedule'!V:V, SMALL(IF('Bank Schedule'!$K$2:$K$825="Vacant", ROW('Bank Schedule'!$K$2:$K$825)), ROW(64:64))), "")</f>
        <v/>
      </c>
      <c r="V67" s="320" t="str">
        <f t="array" ref="V67">IFERROR(INDEX('Bank Schedule'!W:W, SMALL(IF('Bank Schedule'!$K$2:$K$825="Vacant", ROW('Bank Schedule'!$K$2:$K$825)), ROW(64:64))), "")</f>
        <v/>
      </c>
      <c r="W67" s="319" t="str">
        <f t="array" ref="W67">IFERROR(INDEX('Bank Schedule'!X:X, SMALL(IF('Bank Schedule'!$K$2:$K$825="Vacant", ROW('Bank Schedule'!$K$2:$K$825)), ROW(64:64))), "")</f>
        <v/>
      </c>
      <c r="X67" s="11" t="str">
        <f t="array" ref="X67">IFERROR(INDEX('Bank Schedule'!Y:Y, SMALL(IF('Bank Schedule'!$K$2:$K$825="Vacant", ROW('Bank Schedule'!$K$2:$K$825)), ROW(64:64))), "")</f>
        <v/>
      </c>
      <c r="Y67" s="11" t="str">
        <f t="array" ref="Y67">IFERROR(INDEX('Bank Schedule'!Z:Z, SMALL(IF('Bank Schedule'!$K$2:$K$825="Vacant", ROW('Bank Schedule'!$K$2:$K$825)), ROW(64:64))), "")</f>
        <v/>
      </c>
      <c r="Z67" s="11" t="str">
        <f t="array" ref="Z67">IFERROR(INDEX('Bank Schedule'!AA:AA, SMALL(IF('Bank Schedule'!$K$2:$K$825="Vacant", ROW('Bank Schedule'!$K$2:$K$825)), ROW(64:64))), "")</f>
        <v/>
      </c>
      <c r="AA67" s="11" t="str">
        <f t="array" ref="AA67">IFERROR(INDEX('Bank Schedule'!AB:AB, SMALL(IF('Bank Schedule'!$K$2:$K$825="Vacant", ROW('Bank Schedule'!$K$2:$K$825)), ROW(64:64))), "")</f>
        <v/>
      </c>
      <c r="AB67" s="25" t="str">
        <f t="array" ref="AB67">IFERROR(INDEX('Bank Schedule'!AC:AC, SMALL(IF('Bank Schedule'!$K$2:$K$825="Vacant", ROW('Bank Schedule'!$K$2:$K$825)), ROW(64:64))), "")</f>
        <v/>
      </c>
      <c r="AC67" s="299" t="str">
        <f t="array" ref="AC67">IFERROR(INDEX('Bank Schedule'!AD:AD, SMALL(IF('Bank Schedule'!$K$2:$K$825="Vacant", ROW('Bank Schedule'!$K$2:$K$825)), ROW(64:64))), "")</f>
        <v/>
      </c>
      <c r="AD67" s="11" t="str">
        <f t="array" ref="AD67">IFERROR(INDEX('Bank Schedule'!AE:AE, SMALL(IF('Bank Schedule'!$K$2:$K$825="Vacant", ROW('Bank Schedule'!$K$2:$K$825)), ROW(64:64))), "")</f>
        <v/>
      </c>
      <c r="AE67" s="11" t="str">
        <f t="array" ref="AE67">IFERROR(INDEX('Bank Schedule'!AF:AF, SMALL(IF('Bank Schedule'!$K$2:$K$825="Vacant", ROW('Bank Schedule'!$K$2:$K$825)), ROW(64:64))), "")</f>
        <v/>
      </c>
      <c r="AF67" s="11" t="str">
        <f t="array" ref="AF67">IFERROR(INDEX('Bank Schedule'!AG:AG, SMALL(IF('Bank Schedule'!$K$2:$K$825="Vacant", ROW('Bank Schedule'!$K$2:$K$825)), ROW(64:64))), "")</f>
        <v/>
      </c>
      <c r="AG67" s="4"/>
    </row>
    <row r="68" spans="1:33" ht="28.5" hidden="1" customHeight="1">
      <c r="A68" s="2" t="str">
        <f t="array" ref="A68">IFERROR(INDEX('Bank Schedule'!A:A, SMALL(IF('Bank Schedule'!$K$2:$K$825="Vacant", ROW('Bank Schedule'!$K$2:$K$825)), ROW(65:65))), "")</f>
        <v/>
      </c>
      <c r="B68" s="11" t="str">
        <f t="array" ref="B68">IFERROR(INDEX('Bank Schedule'!B:B, SMALL(IF('Bank Schedule'!$K$2:$K$825="Vacant", ROW('Bank Schedule'!$K$2:$K$825)), ROW(65:65))), "")</f>
        <v/>
      </c>
      <c r="C68" s="11" t="str">
        <f t="array" ref="C68">IFERROR(INDEX('Bank Schedule'!C:C, SMALL(IF('Bank Schedule'!$K$2:$K$825="Vacant", ROW('Bank Schedule'!$K$2:$K$825)), ROW(65:65))), "")</f>
        <v/>
      </c>
      <c r="D68" s="11" t="str">
        <f t="array" ref="D68">IFERROR(INDEX('Bank Schedule'!D:D, SMALL(IF('Bank Schedule'!$K$2:$K$825="Vacant", ROW('Bank Schedule'!$K$2:$K$825)), ROW(65:65))), "")</f>
        <v/>
      </c>
      <c r="E68" s="25" t="str">
        <f t="array" ref="E68">IFERROR(INDEX('Bank Schedule'!E:E, SMALL(IF('Bank Schedule'!$K$2:$K$825="Vacant", ROW('Bank Schedule'!$K$2:$K$825)), ROW(65:65))), "")</f>
        <v/>
      </c>
      <c r="F68" s="25" t="str">
        <f t="array" ref="F68">IFERROR(INDEX('Bank Schedule'!F:F, SMALL(IF('Bank Schedule'!$K$2:$K$825="Vacant", ROW('Bank Schedule'!$K$2:$K$825)), ROW(65:65))), "")</f>
        <v/>
      </c>
      <c r="G68" s="25" t="str">
        <f t="array" ref="G68">IFERROR(INDEX('Bank Schedule'!G:G, SMALL(IF('Bank Schedule'!$K$2:$K$825="Vacant", ROW('Bank Schedule'!$K$2:$K$825)), ROW(65:65))), "")</f>
        <v/>
      </c>
      <c r="H68" s="55" t="str">
        <f t="array" ref="H68">IFERROR(INDEX('Bank Schedule'!H:H, SMALL(IF('Bank Schedule'!$K$2:$K$825="Vacant", ROW('Bank Schedule'!$K$2:$K$825)), ROW(65:65))), "")</f>
        <v/>
      </c>
      <c r="I68" s="55" t="str">
        <f t="array" ref="I68">IFERROR(INDEX('Bank Schedule'!I:I, SMALL(IF('Bank Schedule'!$K$2:$K$825="Vacant", ROW('Bank Schedule'!$K$2:$K$825)), ROW(65:65))), "")</f>
        <v/>
      </c>
      <c r="J68" s="11" t="str">
        <f t="array" ref="J68">IFERROR(INDEX('Bank Schedule'!K:K, SMALL(IF('Bank Schedule'!$K$2:$K$825="Vacant", ROW('Bank Schedule'!$K$2:$K$825)), ROW(65:65))), "")</f>
        <v/>
      </c>
      <c r="K68" s="11" t="str">
        <f t="array" ref="K68">IFERROR(INDEX('Bank Schedule'!L:L, SMALL(IF('Bank Schedule'!$K$2:$K$825="Vacant", ROW('Bank Schedule'!$K$2:$K$825)), ROW(65:65))), "")</f>
        <v/>
      </c>
      <c r="L68" s="11" t="str">
        <f t="array" ref="L68">IFERROR(INDEX('Bank Schedule'!M:M, SMALL(IF('Bank Schedule'!$K$2:$K$825="Vacant", ROW('Bank Schedule'!$K$2:$K$825)), ROW(65:65))), "")</f>
        <v/>
      </c>
      <c r="M68" s="106" t="str">
        <f t="array" ref="M68">IFERROR(INDEX('Bank Schedule'!N:N, SMALL(IF('Bank Schedule'!$K$2:$K$825="Vacant", ROW('Bank Schedule'!$K$2:$K$825)), ROW(65:65))), "")</f>
        <v/>
      </c>
      <c r="N68" s="11" t="str">
        <f t="array" ref="N68">IFERROR(INDEX('Bank Schedule'!O:O, SMALL(IF('Bank Schedule'!$K$2:$K$825="Vacant", ROW('Bank Schedule'!$K$2:$K$825)), ROW(65:65))), "")</f>
        <v/>
      </c>
      <c r="O68" s="11" t="str">
        <f t="array" ref="O68">IFERROR(INDEX('Bank Schedule'!P:P, SMALL(IF('Bank Schedule'!$K$2:$K$825="Vacant", ROW('Bank Schedule'!$K$2:$K$825)), ROW(65:65))), "")</f>
        <v/>
      </c>
      <c r="P68" s="11" t="str">
        <f t="array" ref="P68">IFERROR(INDEX('Bank Schedule'!Q:Q, SMALL(IF('Bank Schedule'!$K$2:$K$825="Vacant", ROW('Bank Schedule'!$K$2:$K$825)), ROW(65:65))), "")</f>
        <v/>
      </c>
      <c r="Q68" s="11" t="str">
        <f t="array" ref="Q68">IFERROR(INDEX('Bank Schedule'!R:R, SMALL(IF('Bank Schedule'!$K$2:$K$825="Vacant", ROW('Bank Schedule'!$K$2:$K$825)), ROW(65:65))), "")</f>
        <v/>
      </c>
      <c r="R68" s="11" t="str">
        <f t="array" ref="R68">IFERROR(INDEX('Bank Schedule'!S:S, SMALL(IF('Bank Schedule'!$K$2:$K$825="Vacant", ROW('Bank Schedule'!$K$2:$K$825)), ROW(65:65))), "")</f>
        <v/>
      </c>
      <c r="S68" s="320" t="str">
        <f t="array" ref="S68">IFERROR(INDEX('Bank Schedule'!T:T, SMALL(IF('Bank Schedule'!$K$2:$K$825="Vacant", ROW('Bank Schedule'!$K$2:$K$825)), ROW(65:65))), "")</f>
        <v/>
      </c>
      <c r="T68" s="320" t="str">
        <f t="array" ref="T68">IFERROR(INDEX('Bank Schedule'!U:U, SMALL(IF('Bank Schedule'!$K$2:$K$825="Vacant", ROW('Bank Schedule'!$K$2:$K$825)), ROW(65:65))), "")</f>
        <v/>
      </c>
      <c r="U68" s="320" t="str">
        <f t="array" ref="U68">IFERROR(INDEX('Bank Schedule'!V:V, SMALL(IF('Bank Schedule'!$K$2:$K$825="Vacant", ROW('Bank Schedule'!$K$2:$K$825)), ROW(65:65))), "")</f>
        <v/>
      </c>
      <c r="V68" s="320" t="str">
        <f t="array" ref="V68">IFERROR(INDEX('Bank Schedule'!W:W, SMALL(IF('Bank Schedule'!$K$2:$K$825="Vacant", ROW('Bank Schedule'!$K$2:$K$825)), ROW(65:65))), "")</f>
        <v/>
      </c>
      <c r="W68" s="319" t="str">
        <f t="array" ref="W68">IFERROR(INDEX('Bank Schedule'!X:X, SMALL(IF('Bank Schedule'!$K$2:$K$825="Vacant", ROW('Bank Schedule'!$K$2:$K$825)), ROW(65:65))), "")</f>
        <v/>
      </c>
      <c r="X68" s="11" t="str">
        <f t="array" ref="X68">IFERROR(INDEX('Bank Schedule'!Y:Y, SMALL(IF('Bank Schedule'!$K$2:$K$825="Vacant", ROW('Bank Schedule'!$K$2:$K$825)), ROW(65:65))), "")</f>
        <v/>
      </c>
      <c r="Y68" s="11" t="str">
        <f t="array" ref="Y68">IFERROR(INDEX('Bank Schedule'!Z:Z, SMALL(IF('Bank Schedule'!$K$2:$K$825="Vacant", ROW('Bank Schedule'!$K$2:$K$825)), ROW(65:65))), "")</f>
        <v/>
      </c>
      <c r="Z68" s="11" t="str">
        <f t="array" ref="Z68">IFERROR(INDEX('Bank Schedule'!AA:AA, SMALL(IF('Bank Schedule'!$K$2:$K$825="Vacant", ROW('Bank Schedule'!$K$2:$K$825)), ROW(65:65))), "")</f>
        <v/>
      </c>
      <c r="AA68" s="11" t="str">
        <f t="array" ref="AA68">IFERROR(INDEX('Bank Schedule'!AB:AB, SMALL(IF('Bank Schedule'!$K$2:$K$825="Vacant", ROW('Bank Schedule'!$K$2:$K$825)), ROW(65:65))), "")</f>
        <v/>
      </c>
      <c r="AB68" s="25" t="str">
        <f t="array" ref="AB68">IFERROR(INDEX('Bank Schedule'!AC:AC, SMALL(IF('Bank Schedule'!$K$2:$K$825="Vacant", ROW('Bank Schedule'!$K$2:$K$825)), ROW(65:65))), "")</f>
        <v/>
      </c>
      <c r="AC68" s="299" t="str">
        <f t="array" ref="AC68">IFERROR(INDEX('Bank Schedule'!AD:AD, SMALL(IF('Bank Schedule'!$K$2:$K$825="Vacant", ROW('Bank Schedule'!$K$2:$K$825)), ROW(65:65))), "")</f>
        <v/>
      </c>
      <c r="AD68" s="11" t="str">
        <f t="array" ref="AD68">IFERROR(INDEX('Bank Schedule'!AE:AE, SMALL(IF('Bank Schedule'!$K$2:$K$825="Vacant", ROW('Bank Schedule'!$K$2:$K$825)), ROW(65:65))), "")</f>
        <v/>
      </c>
      <c r="AE68" s="11" t="str">
        <f t="array" ref="AE68">IFERROR(INDEX('Bank Schedule'!AF:AF, SMALL(IF('Bank Schedule'!$K$2:$K$825="Vacant", ROW('Bank Schedule'!$K$2:$K$825)), ROW(65:65))), "")</f>
        <v/>
      </c>
      <c r="AF68" s="11" t="str">
        <f t="array" ref="AF68">IFERROR(INDEX('Bank Schedule'!AG:AG, SMALL(IF('Bank Schedule'!$K$2:$K$825="Vacant", ROW('Bank Schedule'!$K$2:$K$825)), ROW(65:65))), "")</f>
        <v/>
      </c>
      <c r="AG68" s="4"/>
    </row>
    <row r="69" spans="1:33" ht="28.5" hidden="1" customHeight="1">
      <c r="A69" s="2" t="str">
        <f t="array" ref="A69">IFERROR(INDEX('Bank Schedule'!A:A, SMALL(IF('Bank Schedule'!$K$2:$K$825="Vacant", ROW('Bank Schedule'!$K$2:$K$825)), ROW(66:66))), "")</f>
        <v/>
      </c>
      <c r="B69" s="11" t="str">
        <f t="array" ref="B69">IFERROR(INDEX('Bank Schedule'!B:B, SMALL(IF('Bank Schedule'!$K$2:$K$825="Vacant", ROW('Bank Schedule'!$K$2:$K$825)), ROW(66:66))), "")</f>
        <v/>
      </c>
      <c r="C69" s="11" t="str">
        <f t="array" ref="C69">IFERROR(INDEX('Bank Schedule'!C:C, SMALL(IF('Bank Schedule'!$K$2:$K$825="Vacant", ROW('Bank Schedule'!$K$2:$K$825)), ROW(66:66))), "")</f>
        <v/>
      </c>
      <c r="D69" s="11" t="str">
        <f t="array" ref="D69">IFERROR(INDEX('Bank Schedule'!D:D, SMALL(IF('Bank Schedule'!$K$2:$K$825="Vacant", ROW('Bank Schedule'!$K$2:$K$825)), ROW(66:66))), "")</f>
        <v/>
      </c>
      <c r="E69" s="25" t="str">
        <f t="array" ref="E69">IFERROR(INDEX('Bank Schedule'!E:E, SMALL(IF('Bank Schedule'!$K$2:$K$825="Vacant", ROW('Bank Schedule'!$K$2:$K$825)), ROW(66:66))), "")</f>
        <v/>
      </c>
      <c r="F69" s="25" t="str">
        <f t="array" ref="F69">IFERROR(INDEX('Bank Schedule'!F:F, SMALL(IF('Bank Schedule'!$K$2:$K$825="Vacant", ROW('Bank Schedule'!$K$2:$K$825)), ROW(66:66))), "")</f>
        <v/>
      </c>
      <c r="G69" s="25" t="str">
        <f t="array" ref="G69">IFERROR(INDEX('Bank Schedule'!G:G, SMALL(IF('Bank Schedule'!$K$2:$K$825="Vacant", ROW('Bank Schedule'!$K$2:$K$825)), ROW(66:66))), "")</f>
        <v/>
      </c>
      <c r="H69" s="55" t="str">
        <f t="array" ref="H69">IFERROR(INDEX('Bank Schedule'!H:H, SMALL(IF('Bank Schedule'!$K$2:$K$825="Vacant", ROW('Bank Schedule'!$K$2:$K$825)), ROW(66:66))), "")</f>
        <v/>
      </c>
      <c r="I69" s="55" t="str">
        <f t="array" ref="I69">IFERROR(INDEX('Bank Schedule'!I:I, SMALL(IF('Bank Schedule'!$K$2:$K$825="Vacant", ROW('Bank Schedule'!$K$2:$K$825)), ROW(66:66))), "")</f>
        <v/>
      </c>
      <c r="J69" s="11" t="str">
        <f t="array" ref="J69">IFERROR(INDEX('Bank Schedule'!K:K, SMALL(IF('Bank Schedule'!$K$2:$K$825="Vacant", ROW('Bank Schedule'!$K$2:$K$825)), ROW(66:66))), "")</f>
        <v/>
      </c>
      <c r="K69" s="11" t="str">
        <f t="array" ref="K69">IFERROR(INDEX('Bank Schedule'!L:L, SMALL(IF('Bank Schedule'!$K$2:$K$825="Vacant", ROW('Bank Schedule'!$K$2:$K$825)), ROW(66:66))), "")</f>
        <v/>
      </c>
      <c r="L69" s="11" t="str">
        <f t="array" ref="L69">IFERROR(INDEX('Bank Schedule'!M:M, SMALL(IF('Bank Schedule'!$K$2:$K$825="Vacant", ROW('Bank Schedule'!$K$2:$K$825)), ROW(66:66))), "")</f>
        <v/>
      </c>
      <c r="M69" s="106" t="str">
        <f t="array" ref="M69">IFERROR(INDEX('Bank Schedule'!N:N, SMALL(IF('Bank Schedule'!$K$2:$K$825="Vacant", ROW('Bank Schedule'!$K$2:$K$825)), ROW(66:66))), "")</f>
        <v/>
      </c>
      <c r="N69" s="11" t="str">
        <f t="array" ref="N69">IFERROR(INDEX('Bank Schedule'!O:O, SMALL(IF('Bank Schedule'!$K$2:$K$825="Vacant", ROW('Bank Schedule'!$K$2:$K$825)), ROW(66:66))), "")</f>
        <v/>
      </c>
      <c r="O69" s="11" t="str">
        <f t="array" ref="O69">IFERROR(INDEX('Bank Schedule'!P:P, SMALL(IF('Bank Schedule'!$K$2:$K$825="Vacant", ROW('Bank Schedule'!$K$2:$K$825)), ROW(66:66))), "")</f>
        <v/>
      </c>
      <c r="P69" s="11" t="str">
        <f t="array" ref="P69">IFERROR(INDEX('Bank Schedule'!Q:Q, SMALL(IF('Bank Schedule'!$K$2:$K$825="Vacant", ROW('Bank Schedule'!$K$2:$K$825)), ROW(66:66))), "")</f>
        <v/>
      </c>
      <c r="Q69" s="11" t="str">
        <f t="array" ref="Q69">IFERROR(INDEX('Bank Schedule'!R:R, SMALL(IF('Bank Schedule'!$K$2:$K$825="Vacant", ROW('Bank Schedule'!$K$2:$K$825)), ROW(66:66))), "")</f>
        <v/>
      </c>
      <c r="R69" s="11" t="str">
        <f t="array" ref="R69">IFERROR(INDEX('Bank Schedule'!S:S, SMALL(IF('Bank Schedule'!$K$2:$K$825="Vacant", ROW('Bank Schedule'!$K$2:$K$825)), ROW(66:66))), "")</f>
        <v/>
      </c>
      <c r="S69" s="320" t="str">
        <f t="array" ref="S69">IFERROR(INDEX('Bank Schedule'!T:T, SMALL(IF('Bank Schedule'!$K$2:$K$825="Vacant", ROW('Bank Schedule'!$K$2:$K$825)), ROW(66:66))), "")</f>
        <v/>
      </c>
      <c r="T69" s="320" t="str">
        <f t="array" ref="T69">IFERROR(INDEX('Bank Schedule'!U:U, SMALL(IF('Bank Schedule'!$K$2:$K$825="Vacant", ROW('Bank Schedule'!$K$2:$K$825)), ROW(66:66))), "")</f>
        <v/>
      </c>
      <c r="U69" s="320" t="str">
        <f t="array" ref="U69">IFERROR(INDEX('Bank Schedule'!V:V, SMALL(IF('Bank Schedule'!$K$2:$K$825="Vacant", ROW('Bank Schedule'!$K$2:$K$825)), ROW(66:66))), "")</f>
        <v/>
      </c>
      <c r="V69" s="320" t="str">
        <f t="array" ref="V69">IFERROR(INDEX('Bank Schedule'!W:W, SMALL(IF('Bank Schedule'!$K$2:$K$825="Vacant", ROW('Bank Schedule'!$K$2:$K$825)), ROW(66:66))), "")</f>
        <v/>
      </c>
      <c r="W69" s="319" t="str">
        <f t="array" ref="W69">IFERROR(INDEX('Bank Schedule'!X:X, SMALL(IF('Bank Schedule'!$K$2:$K$825="Vacant", ROW('Bank Schedule'!$K$2:$K$825)), ROW(66:66))), "")</f>
        <v/>
      </c>
      <c r="X69" s="11" t="str">
        <f t="array" ref="X69">IFERROR(INDEX('Bank Schedule'!Y:Y, SMALL(IF('Bank Schedule'!$K$2:$K$825="Vacant", ROW('Bank Schedule'!$K$2:$K$825)), ROW(66:66))), "")</f>
        <v/>
      </c>
      <c r="Y69" s="11" t="str">
        <f t="array" ref="Y69">IFERROR(INDEX('Bank Schedule'!Z:Z, SMALL(IF('Bank Schedule'!$K$2:$K$825="Vacant", ROW('Bank Schedule'!$K$2:$K$825)), ROW(66:66))), "")</f>
        <v/>
      </c>
      <c r="Z69" s="11" t="str">
        <f t="array" ref="Z69">IFERROR(INDEX('Bank Schedule'!AA:AA, SMALL(IF('Bank Schedule'!$K$2:$K$825="Vacant", ROW('Bank Schedule'!$K$2:$K$825)), ROW(66:66))), "")</f>
        <v/>
      </c>
      <c r="AA69" s="11" t="str">
        <f t="array" ref="AA69">IFERROR(INDEX('Bank Schedule'!AB:AB, SMALL(IF('Bank Schedule'!$K$2:$K$825="Vacant", ROW('Bank Schedule'!$K$2:$K$825)), ROW(66:66))), "")</f>
        <v/>
      </c>
      <c r="AB69" s="25" t="str">
        <f t="array" ref="AB69">IFERROR(INDEX('Bank Schedule'!AC:AC, SMALL(IF('Bank Schedule'!$K$2:$K$825="Vacant", ROW('Bank Schedule'!$K$2:$K$825)), ROW(66:66))), "")</f>
        <v/>
      </c>
      <c r="AC69" s="299" t="str">
        <f t="array" ref="AC69">IFERROR(INDEX('Bank Schedule'!AD:AD, SMALL(IF('Bank Schedule'!$K$2:$K$825="Vacant", ROW('Bank Schedule'!$K$2:$K$825)), ROW(66:66))), "")</f>
        <v/>
      </c>
      <c r="AD69" s="11" t="str">
        <f t="array" ref="AD69">IFERROR(INDEX('Bank Schedule'!AE:AE, SMALL(IF('Bank Schedule'!$K$2:$K$825="Vacant", ROW('Bank Schedule'!$K$2:$K$825)), ROW(66:66))), "")</f>
        <v/>
      </c>
      <c r="AE69" s="11" t="str">
        <f t="array" ref="AE69">IFERROR(INDEX('Bank Schedule'!AF:AF, SMALL(IF('Bank Schedule'!$K$2:$K$825="Vacant", ROW('Bank Schedule'!$K$2:$K$825)), ROW(66:66))), "")</f>
        <v/>
      </c>
      <c r="AF69" s="11" t="str">
        <f t="array" ref="AF69">IFERROR(INDEX('Bank Schedule'!AG:AG, SMALL(IF('Bank Schedule'!$K$2:$K$825="Vacant", ROW('Bank Schedule'!$K$2:$K$825)), ROW(66:66))), "")</f>
        <v/>
      </c>
      <c r="AG69" s="4"/>
    </row>
    <row r="70" spans="1:33" ht="28.5" hidden="1" customHeight="1">
      <c r="A70" s="2" t="str">
        <f t="array" ref="A70">IFERROR(INDEX('Bank Schedule'!A:A, SMALL(IF('Bank Schedule'!$K$2:$K$825="Vacant", ROW('Bank Schedule'!$K$2:$K$825)), ROW(67:67))), "")</f>
        <v/>
      </c>
      <c r="B70" s="11" t="str">
        <f t="array" ref="B70">IFERROR(INDEX('Bank Schedule'!B:B, SMALL(IF('Bank Schedule'!$K$2:$K$825="Vacant", ROW('Bank Schedule'!$K$2:$K$825)), ROW(67:67))), "")</f>
        <v/>
      </c>
      <c r="C70" s="11" t="str">
        <f t="array" ref="C70">IFERROR(INDEX('Bank Schedule'!C:C, SMALL(IF('Bank Schedule'!$K$2:$K$825="Vacant", ROW('Bank Schedule'!$K$2:$K$825)), ROW(67:67))), "")</f>
        <v/>
      </c>
      <c r="D70" s="11" t="str">
        <f t="array" ref="D70">IFERROR(INDEX('Bank Schedule'!D:D, SMALL(IF('Bank Schedule'!$K$2:$K$825="Vacant", ROW('Bank Schedule'!$K$2:$K$825)), ROW(67:67))), "")</f>
        <v/>
      </c>
      <c r="E70" s="25" t="str">
        <f t="array" ref="E70">IFERROR(INDEX('Bank Schedule'!E:E, SMALL(IF('Bank Schedule'!$K$2:$K$825="Vacant", ROW('Bank Schedule'!$K$2:$K$825)), ROW(67:67))), "")</f>
        <v/>
      </c>
      <c r="F70" s="25" t="str">
        <f t="array" ref="F70">IFERROR(INDEX('Bank Schedule'!F:F, SMALL(IF('Bank Schedule'!$K$2:$K$825="Vacant", ROW('Bank Schedule'!$K$2:$K$825)), ROW(67:67))), "")</f>
        <v/>
      </c>
      <c r="G70" s="25" t="str">
        <f t="array" ref="G70">IFERROR(INDEX('Bank Schedule'!G:G, SMALL(IF('Bank Schedule'!$K$2:$K$825="Vacant", ROW('Bank Schedule'!$K$2:$K$825)), ROW(67:67))), "")</f>
        <v/>
      </c>
      <c r="H70" s="55" t="str">
        <f t="array" ref="H70">IFERROR(INDEX('Bank Schedule'!H:H, SMALL(IF('Bank Schedule'!$K$2:$K$825="Vacant", ROW('Bank Schedule'!$K$2:$K$825)), ROW(67:67))), "")</f>
        <v/>
      </c>
      <c r="I70" s="55" t="str">
        <f t="array" ref="I70">IFERROR(INDEX('Bank Schedule'!I:I, SMALL(IF('Bank Schedule'!$K$2:$K$825="Vacant", ROW('Bank Schedule'!$K$2:$K$825)), ROW(67:67))), "")</f>
        <v/>
      </c>
      <c r="J70" s="11" t="str">
        <f t="array" ref="J70">IFERROR(INDEX('Bank Schedule'!K:K, SMALL(IF('Bank Schedule'!$K$2:$K$825="Vacant", ROW('Bank Schedule'!$K$2:$K$825)), ROW(67:67))), "")</f>
        <v/>
      </c>
      <c r="K70" s="11" t="str">
        <f t="array" ref="K70">IFERROR(INDEX('Bank Schedule'!L:L, SMALL(IF('Bank Schedule'!$K$2:$K$825="Vacant", ROW('Bank Schedule'!$K$2:$K$825)), ROW(67:67))), "")</f>
        <v/>
      </c>
      <c r="L70" s="11" t="str">
        <f t="array" ref="L70">IFERROR(INDEX('Bank Schedule'!M:M, SMALL(IF('Bank Schedule'!$K$2:$K$825="Vacant", ROW('Bank Schedule'!$K$2:$K$825)), ROW(67:67))), "")</f>
        <v/>
      </c>
      <c r="M70" s="106" t="str">
        <f t="array" ref="M70">IFERROR(INDEX('Bank Schedule'!N:N, SMALL(IF('Bank Schedule'!$K$2:$K$825="Vacant", ROW('Bank Schedule'!$K$2:$K$825)), ROW(67:67))), "")</f>
        <v/>
      </c>
      <c r="N70" s="11" t="str">
        <f t="array" ref="N70">IFERROR(INDEX('Bank Schedule'!O:O, SMALL(IF('Bank Schedule'!$K$2:$K$825="Vacant", ROW('Bank Schedule'!$K$2:$K$825)), ROW(67:67))), "")</f>
        <v/>
      </c>
      <c r="O70" s="11" t="str">
        <f t="array" ref="O70">IFERROR(INDEX('Bank Schedule'!P:P, SMALL(IF('Bank Schedule'!$K$2:$K$825="Vacant", ROW('Bank Schedule'!$K$2:$K$825)), ROW(67:67))), "")</f>
        <v/>
      </c>
      <c r="P70" s="11" t="str">
        <f t="array" ref="P70">IFERROR(INDEX('Bank Schedule'!Q:Q, SMALL(IF('Bank Schedule'!$K$2:$K$825="Vacant", ROW('Bank Schedule'!$K$2:$K$825)), ROW(67:67))), "")</f>
        <v/>
      </c>
      <c r="Q70" s="11" t="str">
        <f t="array" ref="Q70">IFERROR(INDEX('Bank Schedule'!R:R, SMALL(IF('Bank Schedule'!$K$2:$K$825="Vacant", ROW('Bank Schedule'!$K$2:$K$825)), ROW(67:67))), "")</f>
        <v/>
      </c>
      <c r="R70" s="11" t="str">
        <f t="array" ref="R70">IFERROR(INDEX('Bank Schedule'!S:S, SMALL(IF('Bank Schedule'!$K$2:$K$825="Vacant", ROW('Bank Schedule'!$K$2:$K$825)), ROW(67:67))), "")</f>
        <v/>
      </c>
      <c r="S70" s="320" t="str">
        <f t="array" ref="S70">IFERROR(INDEX('Bank Schedule'!T:T, SMALL(IF('Bank Schedule'!$K$2:$K$825="Vacant", ROW('Bank Schedule'!$K$2:$K$825)), ROW(67:67))), "")</f>
        <v/>
      </c>
      <c r="T70" s="320" t="str">
        <f t="array" ref="T70">IFERROR(INDEX('Bank Schedule'!U:U, SMALL(IF('Bank Schedule'!$K$2:$K$825="Vacant", ROW('Bank Schedule'!$K$2:$K$825)), ROW(67:67))), "")</f>
        <v/>
      </c>
      <c r="U70" s="320" t="str">
        <f t="array" ref="U70">IFERROR(INDEX('Bank Schedule'!V:V, SMALL(IF('Bank Schedule'!$K$2:$K$825="Vacant", ROW('Bank Schedule'!$K$2:$K$825)), ROW(67:67))), "")</f>
        <v/>
      </c>
      <c r="V70" s="320" t="str">
        <f t="array" ref="V70">IFERROR(INDEX('Bank Schedule'!W:W, SMALL(IF('Bank Schedule'!$K$2:$K$825="Vacant", ROW('Bank Schedule'!$K$2:$K$825)), ROW(67:67))), "")</f>
        <v/>
      </c>
      <c r="W70" s="319" t="str">
        <f t="array" ref="W70">IFERROR(INDEX('Bank Schedule'!X:X, SMALL(IF('Bank Schedule'!$K$2:$K$825="Vacant", ROW('Bank Schedule'!$K$2:$K$825)), ROW(67:67))), "")</f>
        <v/>
      </c>
      <c r="X70" s="11" t="str">
        <f t="array" ref="X70">IFERROR(INDEX('Bank Schedule'!Y:Y, SMALL(IF('Bank Schedule'!$K$2:$K$825="Vacant", ROW('Bank Schedule'!$K$2:$K$825)), ROW(67:67))), "")</f>
        <v/>
      </c>
      <c r="Y70" s="11" t="str">
        <f t="array" ref="Y70">IFERROR(INDEX('Bank Schedule'!Z:Z, SMALL(IF('Bank Schedule'!$K$2:$K$825="Vacant", ROW('Bank Schedule'!$K$2:$K$825)), ROW(67:67))), "")</f>
        <v/>
      </c>
      <c r="Z70" s="11" t="str">
        <f t="array" ref="Z70">IFERROR(INDEX('Bank Schedule'!AA:AA, SMALL(IF('Bank Schedule'!$K$2:$K$825="Vacant", ROW('Bank Schedule'!$K$2:$K$825)), ROW(67:67))), "")</f>
        <v/>
      </c>
      <c r="AA70" s="11" t="str">
        <f t="array" ref="AA70">IFERROR(INDEX('Bank Schedule'!AB:AB, SMALL(IF('Bank Schedule'!$K$2:$K$825="Vacant", ROW('Bank Schedule'!$K$2:$K$825)), ROW(67:67))), "")</f>
        <v/>
      </c>
      <c r="AB70" s="25" t="str">
        <f t="array" ref="AB70">IFERROR(INDEX('Bank Schedule'!AC:AC, SMALL(IF('Bank Schedule'!$K$2:$K$825="Vacant", ROW('Bank Schedule'!$K$2:$K$825)), ROW(67:67))), "")</f>
        <v/>
      </c>
      <c r="AC70" s="299" t="str">
        <f t="array" ref="AC70">IFERROR(INDEX('Bank Schedule'!AD:AD, SMALL(IF('Bank Schedule'!$K$2:$K$825="Vacant", ROW('Bank Schedule'!$K$2:$K$825)), ROW(67:67))), "")</f>
        <v/>
      </c>
      <c r="AD70" s="11" t="str">
        <f t="array" ref="AD70">IFERROR(INDEX('Bank Schedule'!AE:AE, SMALL(IF('Bank Schedule'!$K$2:$K$825="Vacant", ROW('Bank Schedule'!$K$2:$K$825)), ROW(67:67))), "")</f>
        <v/>
      </c>
      <c r="AE70" s="11" t="str">
        <f t="array" ref="AE70">IFERROR(INDEX('Bank Schedule'!AF:AF, SMALL(IF('Bank Schedule'!$K$2:$K$825="Vacant", ROW('Bank Schedule'!$K$2:$K$825)), ROW(67:67))), "")</f>
        <v/>
      </c>
      <c r="AF70" s="11" t="str">
        <f t="array" ref="AF70">IFERROR(INDEX('Bank Schedule'!AG:AG, SMALL(IF('Bank Schedule'!$K$2:$K$825="Vacant", ROW('Bank Schedule'!$K$2:$K$825)), ROW(67:67))), "")</f>
        <v/>
      </c>
      <c r="AG70" s="4"/>
    </row>
    <row r="71" spans="1:33" ht="28.5" hidden="1" customHeight="1">
      <c r="A71" s="2" t="str">
        <f t="array" ref="A71">IFERROR(INDEX('Bank Schedule'!A:A, SMALL(IF('Bank Schedule'!$K$2:$K$825="Vacant", ROW('Bank Schedule'!$K$2:$K$825)), ROW(68:68))), "")</f>
        <v/>
      </c>
      <c r="B71" s="11" t="str">
        <f t="array" ref="B71">IFERROR(INDEX('Bank Schedule'!B:B, SMALL(IF('Bank Schedule'!$K$2:$K$825="Vacant", ROW('Bank Schedule'!$K$2:$K$825)), ROW(68:68))), "")</f>
        <v/>
      </c>
      <c r="C71" s="11" t="str">
        <f t="array" ref="C71">IFERROR(INDEX('Bank Schedule'!C:C, SMALL(IF('Bank Schedule'!$K$2:$K$825="Vacant", ROW('Bank Schedule'!$K$2:$K$825)), ROW(68:68))), "")</f>
        <v/>
      </c>
      <c r="D71" s="11" t="str">
        <f t="array" ref="D71">IFERROR(INDEX('Bank Schedule'!D:D, SMALL(IF('Bank Schedule'!$K$2:$K$825="Vacant", ROW('Bank Schedule'!$K$2:$K$825)), ROW(68:68))), "")</f>
        <v/>
      </c>
      <c r="E71" s="25" t="str">
        <f t="array" ref="E71">IFERROR(INDEX('Bank Schedule'!E:E, SMALL(IF('Bank Schedule'!$K$2:$K$825="Vacant", ROW('Bank Schedule'!$K$2:$K$825)), ROW(68:68))), "")</f>
        <v/>
      </c>
      <c r="F71" s="25" t="str">
        <f t="array" ref="F71">IFERROR(INDEX('Bank Schedule'!F:F, SMALL(IF('Bank Schedule'!$K$2:$K$825="Vacant", ROW('Bank Schedule'!$K$2:$K$825)), ROW(68:68))), "")</f>
        <v/>
      </c>
      <c r="G71" s="25" t="str">
        <f t="array" ref="G71">IFERROR(INDEX('Bank Schedule'!G:G, SMALL(IF('Bank Schedule'!$K$2:$K$825="Vacant", ROW('Bank Schedule'!$K$2:$K$825)), ROW(68:68))), "")</f>
        <v/>
      </c>
      <c r="H71" s="55" t="str">
        <f t="array" ref="H71">IFERROR(INDEX('Bank Schedule'!H:H, SMALL(IF('Bank Schedule'!$K$2:$K$825="Vacant", ROW('Bank Schedule'!$K$2:$K$825)), ROW(68:68))), "")</f>
        <v/>
      </c>
      <c r="I71" s="55" t="str">
        <f t="array" ref="I71">IFERROR(INDEX('Bank Schedule'!I:I, SMALL(IF('Bank Schedule'!$K$2:$K$825="Vacant", ROW('Bank Schedule'!$K$2:$K$825)), ROW(68:68))), "")</f>
        <v/>
      </c>
      <c r="J71" s="11" t="str">
        <f t="array" ref="J71">IFERROR(INDEX('Bank Schedule'!K:K, SMALL(IF('Bank Schedule'!$K$2:$K$825="Vacant", ROW('Bank Schedule'!$K$2:$K$825)), ROW(68:68))), "")</f>
        <v/>
      </c>
      <c r="K71" s="11" t="str">
        <f t="array" ref="K71">IFERROR(INDEX('Bank Schedule'!L:L, SMALL(IF('Bank Schedule'!$K$2:$K$825="Vacant", ROW('Bank Schedule'!$K$2:$K$825)), ROW(68:68))), "")</f>
        <v/>
      </c>
      <c r="L71" s="11" t="str">
        <f t="array" ref="L71">IFERROR(INDEX('Bank Schedule'!M:M, SMALL(IF('Bank Schedule'!$K$2:$K$825="Vacant", ROW('Bank Schedule'!$K$2:$K$825)), ROW(68:68))), "")</f>
        <v/>
      </c>
      <c r="M71" s="106" t="str">
        <f t="array" ref="M71">IFERROR(INDEX('Bank Schedule'!N:N, SMALL(IF('Bank Schedule'!$K$2:$K$825="Vacant", ROW('Bank Schedule'!$K$2:$K$825)), ROW(68:68))), "")</f>
        <v/>
      </c>
      <c r="N71" s="11" t="str">
        <f t="array" ref="N71">IFERROR(INDEX('Bank Schedule'!O:O, SMALL(IF('Bank Schedule'!$K$2:$K$825="Vacant", ROW('Bank Schedule'!$K$2:$K$825)), ROW(68:68))), "")</f>
        <v/>
      </c>
      <c r="O71" s="11" t="str">
        <f t="array" ref="O71">IFERROR(INDEX('Bank Schedule'!P:P, SMALL(IF('Bank Schedule'!$K$2:$K$825="Vacant", ROW('Bank Schedule'!$K$2:$K$825)), ROW(68:68))), "")</f>
        <v/>
      </c>
      <c r="P71" s="11" t="str">
        <f t="array" ref="P71">IFERROR(INDEX('Bank Schedule'!Q:Q, SMALL(IF('Bank Schedule'!$K$2:$K$825="Vacant", ROW('Bank Schedule'!$K$2:$K$825)), ROW(68:68))), "")</f>
        <v/>
      </c>
      <c r="Q71" s="11" t="str">
        <f t="array" ref="Q71">IFERROR(INDEX('Bank Schedule'!R:R, SMALL(IF('Bank Schedule'!$K$2:$K$825="Vacant", ROW('Bank Schedule'!$K$2:$K$825)), ROW(68:68))), "")</f>
        <v/>
      </c>
      <c r="R71" s="11" t="str">
        <f t="array" ref="R71">IFERROR(INDEX('Bank Schedule'!S:S, SMALL(IF('Bank Schedule'!$K$2:$K$825="Vacant", ROW('Bank Schedule'!$K$2:$K$825)), ROW(68:68))), "")</f>
        <v/>
      </c>
      <c r="S71" s="320" t="str">
        <f t="array" ref="S71">IFERROR(INDEX('Bank Schedule'!T:T, SMALL(IF('Bank Schedule'!$K$2:$K$825="Vacant", ROW('Bank Schedule'!$K$2:$K$825)), ROW(68:68))), "")</f>
        <v/>
      </c>
      <c r="T71" s="320" t="str">
        <f t="array" ref="T71">IFERROR(INDEX('Bank Schedule'!U:U, SMALL(IF('Bank Schedule'!$K$2:$K$825="Vacant", ROW('Bank Schedule'!$K$2:$K$825)), ROW(68:68))), "")</f>
        <v/>
      </c>
      <c r="U71" s="320" t="str">
        <f t="array" ref="U71">IFERROR(INDEX('Bank Schedule'!V:V, SMALL(IF('Bank Schedule'!$K$2:$K$825="Vacant", ROW('Bank Schedule'!$K$2:$K$825)), ROW(68:68))), "")</f>
        <v/>
      </c>
      <c r="V71" s="320" t="str">
        <f t="array" ref="V71">IFERROR(INDEX('Bank Schedule'!W:W, SMALL(IF('Bank Schedule'!$K$2:$K$825="Vacant", ROW('Bank Schedule'!$K$2:$K$825)), ROW(68:68))), "")</f>
        <v/>
      </c>
      <c r="W71" s="319" t="str">
        <f t="array" ref="W71">IFERROR(INDEX('Bank Schedule'!X:X, SMALL(IF('Bank Schedule'!$K$2:$K$825="Vacant", ROW('Bank Schedule'!$K$2:$K$825)), ROW(68:68))), "")</f>
        <v/>
      </c>
      <c r="X71" s="11" t="str">
        <f t="array" ref="X71">IFERROR(INDEX('Bank Schedule'!Y:Y, SMALL(IF('Bank Schedule'!$K$2:$K$825="Vacant", ROW('Bank Schedule'!$K$2:$K$825)), ROW(68:68))), "")</f>
        <v/>
      </c>
      <c r="Y71" s="11" t="str">
        <f t="array" ref="Y71">IFERROR(INDEX('Bank Schedule'!Z:Z, SMALL(IF('Bank Schedule'!$K$2:$K$825="Vacant", ROW('Bank Schedule'!$K$2:$K$825)), ROW(68:68))), "")</f>
        <v/>
      </c>
      <c r="Z71" s="11" t="str">
        <f t="array" ref="Z71">IFERROR(INDEX('Bank Schedule'!AA:AA, SMALL(IF('Bank Schedule'!$K$2:$K$825="Vacant", ROW('Bank Schedule'!$K$2:$K$825)), ROW(68:68))), "")</f>
        <v/>
      </c>
      <c r="AA71" s="11" t="str">
        <f t="array" ref="AA71">IFERROR(INDEX('Bank Schedule'!AB:AB, SMALL(IF('Bank Schedule'!$K$2:$K$825="Vacant", ROW('Bank Schedule'!$K$2:$K$825)), ROW(68:68))), "")</f>
        <v/>
      </c>
      <c r="AB71" s="25" t="str">
        <f t="array" ref="AB71">IFERROR(INDEX('Bank Schedule'!AC:AC, SMALL(IF('Bank Schedule'!$K$2:$K$825="Vacant", ROW('Bank Schedule'!$K$2:$K$825)), ROW(68:68))), "")</f>
        <v/>
      </c>
      <c r="AC71" s="299" t="str">
        <f t="array" ref="AC71">IFERROR(INDEX('Bank Schedule'!AD:AD, SMALL(IF('Bank Schedule'!$K$2:$K$825="Vacant", ROW('Bank Schedule'!$K$2:$K$825)), ROW(68:68))), "")</f>
        <v/>
      </c>
      <c r="AD71" s="11" t="str">
        <f t="array" ref="AD71">IFERROR(INDEX('Bank Schedule'!AE:AE, SMALL(IF('Bank Schedule'!$K$2:$K$825="Vacant", ROW('Bank Schedule'!$K$2:$K$825)), ROW(68:68))), "")</f>
        <v/>
      </c>
      <c r="AE71" s="11" t="str">
        <f t="array" ref="AE71">IFERROR(INDEX('Bank Schedule'!AF:AF, SMALL(IF('Bank Schedule'!$K$2:$K$825="Vacant", ROW('Bank Schedule'!$K$2:$K$825)), ROW(68:68))), "")</f>
        <v/>
      </c>
      <c r="AF71" s="11" t="str">
        <f t="array" ref="AF71">IFERROR(INDEX('Bank Schedule'!AG:AG, SMALL(IF('Bank Schedule'!$K$2:$K$825="Vacant", ROW('Bank Schedule'!$K$2:$K$825)), ROW(68:68))), "")</f>
        <v/>
      </c>
      <c r="AG71" s="4"/>
    </row>
    <row r="72" spans="1:33" ht="28.5" hidden="1" customHeight="1">
      <c r="A72" s="2" t="str">
        <f t="array" ref="A72">IFERROR(INDEX('Bank Schedule'!A:A, SMALL(IF('Bank Schedule'!$K$2:$K$825="Vacant", ROW('Bank Schedule'!$K$2:$K$825)), ROW(69:69))), "")</f>
        <v/>
      </c>
      <c r="B72" s="11" t="str">
        <f t="array" ref="B72">IFERROR(INDEX('Bank Schedule'!B:B, SMALL(IF('Bank Schedule'!$K$2:$K$825="Vacant", ROW('Bank Schedule'!$K$2:$K$825)), ROW(69:69))), "")</f>
        <v/>
      </c>
      <c r="C72" s="11" t="str">
        <f t="array" ref="C72">IFERROR(INDEX('Bank Schedule'!C:C, SMALL(IF('Bank Schedule'!$K$2:$K$825="Vacant", ROW('Bank Schedule'!$K$2:$K$825)), ROW(69:69))), "")</f>
        <v/>
      </c>
      <c r="D72" s="11" t="str">
        <f t="array" ref="D72">IFERROR(INDEX('Bank Schedule'!D:D, SMALL(IF('Bank Schedule'!$K$2:$K$825="Vacant", ROW('Bank Schedule'!$K$2:$K$825)), ROW(69:69))), "")</f>
        <v/>
      </c>
      <c r="E72" s="25" t="str">
        <f t="array" ref="E72">IFERROR(INDEX('Bank Schedule'!E:E, SMALL(IF('Bank Schedule'!$K$2:$K$825="Vacant", ROW('Bank Schedule'!$K$2:$K$825)), ROW(69:69))), "")</f>
        <v/>
      </c>
      <c r="F72" s="25" t="str">
        <f t="array" ref="F72">IFERROR(INDEX('Bank Schedule'!F:F, SMALL(IF('Bank Schedule'!$K$2:$K$825="Vacant", ROW('Bank Schedule'!$K$2:$K$825)), ROW(69:69))), "")</f>
        <v/>
      </c>
      <c r="G72" s="25" t="str">
        <f t="array" ref="G72">IFERROR(INDEX('Bank Schedule'!G:G, SMALL(IF('Bank Schedule'!$K$2:$K$825="Vacant", ROW('Bank Schedule'!$K$2:$K$825)), ROW(69:69))), "")</f>
        <v/>
      </c>
      <c r="H72" s="55" t="str">
        <f t="array" ref="H72">IFERROR(INDEX('Bank Schedule'!H:H, SMALL(IF('Bank Schedule'!$K$2:$K$825="Vacant", ROW('Bank Schedule'!$K$2:$K$825)), ROW(69:69))), "")</f>
        <v/>
      </c>
      <c r="I72" s="55" t="str">
        <f t="array" ref="I72">IFERROR(INDEX('Bank Schedule'!I:I, SMALL(IF('Bank Schedule'!$K$2:$K$825="Vacant", ROW('Bank Schedule'!$K$2:$K$825)), ROW(69:69))), "")</f>
        <v/>
      </c>
      <c r="J72" s="11" t="str">
        <f t="array" ref="J72">IFERROR(INDEX('Bank Schedule'!K:K, SMALL(IF('Bank Schedule'!$K$2:$K$825="Vacant", ROW('Bank Schedule'!$K$2:$K$825)), ROW(69:69))), "")</f>
        <v/>
      </c>
      <c r="K72" s="11" t="str">
        <f t="array" ref="K72">IFERROR(INDEX('Bank Schedule'!L:L, SMALL(IF('Bank Schedule'!$K$2:$K$825="Vacant", ROW('Bank Schedule'!$K$2:$K$825)), ROW(69:69))), "")</f>
        <v/>
      </c>
      <c r="L72" s="11" t="str">
        <f t="array" ref="L72">IFERROR(INDEX('Bank Schedule'!M:M, SMALL(IF('Bank Schedule'!$K$2:$K$825="Vacant", ROW('Bank Schedule'!$K$2:$K$825)), ROW(69:69))), "")</f>
        <v/>
      </c>
      <c r="M72" s="106" t="str">
        <f t="array" ref="M72">IFERROR(INDEX('Bank Schedule'!N:N, SMALL(IF('Bank Schedule'!$K$2:$K$825="Vacant", ROW('Bank Schedule'!$K$2:$K$825)), ROW(69:69))), "")</f>
        <v/>
      </c>
      <c r="N72" s="11" t="str">
        <f t="array" ref="N72">IFERROR(INDEX('Bank Schedule'!O:O, SMALL(IF('Bank Schedule'!$K$2:$K$825="Vacant", ROW('Bank Schedule'!$K$2:$K$825)), ROW(69:69))), "")</f>
        <v/>
      </c>
      <c r="O72" s="11" t="str">
        <f t="array" ref="O72">IFERROR(INDEX('Bank Schedule'!P:P, SMALL(IF('Bank Schedule'!$K$2:$K$825="Vacant", ROW('Bank Schedule'!$K$2:$K$825)), ROW(69:69))), "")</f>
        <v/>
      </c>
      <c r="P72" s="11" t="str">
        <f t="array" ref="P72">IFERROR(INDEX('Bank Schedule'!Q:Q, SMALL(IF('Bank Schedule'!$K$2:$K$825="Vacant", ROW('Bank Schedule'!$K$2:$K$825)), ROW(69:69))), "")</f>
        <v/>
      </c>
      <c r="Q72" s="11" t="str">
        <f t="array" ref="Q72">IFERROR(INDEX('Bank Schedule'!R:R, SMALL(IF('Bank Schedule'!$K$2:$K$825="Vacant", ROW('Bank Schedule'!$K$2:$K$825)), ROW(69:69))), "")</f>
        <v/>
      </c>
      <c r="R72" s="11" t="str">
        <f t="array" ref="R72">IFERROR(INDEX('Bank Schedule'!S:S, SMALL(IF('Bank Schedule'!$K$2:$K$825="Vacant", ROW('Bank Schedule'!$K$2:$K$825)), ROW(69:69))), "")</f>
        <v/>
      </c>
      <c r="S72" s="320" t="str">
        <f t="array" ref="S72">IFERROR(INDEX('Bank Schedule'!T:T, SMALL(IF('Bank Schedule'!$K$2:$K$825="Vacant", ROW('Bank Schedule'!$K$2:$K$825)), ROW(69:69))), "")</f>
        <v/>
      </c>
      <c r="T72" s="320" t="str">
        <f t="array" ref="T72">IFERROR(INDEX('Bank Schedule'!U:U, SMALL(IF('Bank Schedule'!$K$2:$K$825="Vacant", ROW('Bank Schedule'!$K$2:$K$825)), ROW(69:69))), "")</f>
        <v/>
      </c>
      <c r="U72" s="320" t="str">
        <f t="array" ref="U72">IFERROR(INDEX('Bank Schedule'!V:V, SMALL(IF('Bank Schedule'!$K$2:$K$825="Vacant", ROW('Bank Schedule'!$K$2:$K$825)), ROW(69:69))), "")</f>
        <v/>
      </c>
      <c r="V72" s="320" t="str">
        <f t="array" ref="V72">IFERROR(INDEX('Bank Schedule'!W:W, SMALL(IF('Bank Schedule'!$K$2:$K$825="Vacant", ROW('Bank Schedule'!$K$2:$K$825)), ROW(69:69))), "")</f>
        <v/>
      </c>
      <c r="W72" s="319" t="str">
        <f t="array" ref="W72">IFERROR(INDEX('Bank Schedule'!X:X, SMALL(IF('Bank Schedule'!$K$2:$K$825="Vacant", ROW('Bank Schedule'!$K$2:$K$825)), ROW(69:69))), "")</f>
        <v/>
      </c>
      <c r="X72" s="11" t="str">
        <f t="array" ref="X72">IFERROR(INDEX('Bank Schedule'!Y:Y, SMALL(IF('Bank Schedule'!$K$2:$K$825="Vacant", ROW('Bank Schedule'!$K$2:$K$825)), ROW(69:69))), "")</f>
        <v/>
      </c>
      <c r="Y72" s="11" t="str">
        <f t="array" ref="Y72">IFERROR(INDEX('Bank Schedule'!Z:Z, SMALL(IF('Bank Schedule'!$K$2:$K$825="Vacant", ROW('Bank Schedule'!$K$2:$K$825)), ROW(69:69))), "")</f>
        <v/>
      </c>
      <c r="Z72" s="11" t="str">
        <f t="array" ref="Z72">IFERROR(INDEX('Bank Schedule'!AA:AA, SMALL(IF('Bank Schedule'!$K$2:$K$825="Vacant", ROW('Bank Schedule'!$K$2:$K$825)), ROW(69:69))), "")</f>
        <v/>
      </c>
      <c r="AA72" s="11" t="str">
        <f t="array" ref="AA72">IFERROR(INDEX('Bank Schedule'!AB:AB, SMALL(IF('Bank Schedule'!$K$2:$K$825="Vacant", ROW('Bank Schedule'!$K$2:$K$825)), ROW(69:69))), "")</f>
        <v/>
      </c>
      <c r="AB72" s="25" t="str">
        <f t="array" ref="AB72">IFERROR(INDEX('Bank Schedule'!AC:AC, SMALL(IF('Bank Schedule'!$K$2:$K$825="Vacant", ROW('Bank Schedule'!$K$2:$K$825)), ROW(69:69))), "")</f>
        <v/>
      </c>
      <c r="AC72" s="299" t="str">
        <f t="array" ref="AC72">IFERROR(INDEX('Bank Schedule'!AD:AD, SMALL(IF('Bank Schedule'!$K$2:$K$825="Vacant", ROW('Bank Schedule'!$K$2:$K$825)), ROW(69:69))), "")</f>
        <v/>
      </c>
      <c r="AD72" s="11" t="str">
        <f t="array" ref="AD72">IFERROR(INDEX('Bank Schedule'!AE:AE, SMALL(IF('Bank Schedule'!$K$2:$K$825="Vacant", ROW('Bank Schedule'!$K$2:$K$825)), ROW(69:69))), "")</f>
        <v/>
      </c>
      <c r="AE72" s="11" t="str">
        <f t="array" ref="AE72">IFERROR(INDEX('Bank Schedule'!AF:AF, SMALL(IF('Bank Schedule'!$K$2:$K$825="Vacant", ROW('Bank Schedule'!$K$2:$K$825)), ROW(69:69))), "")</f>
        <v/>
      </c>
      <c r="AF72" s="11" t="str">
        <f t="array" ref="AF72">IFERROR(INDEX('Bank Schedule'!AG:AG, SMALL(IF('Bank Schedule'!$K$2:$K$825="Vacant", ROW('Bank Schedule'!$K$2:$K$825)), ROW(69:69))), "")</f>
        <v/>
      </c>
      <c r="AG72" s="4"/>
    </row>
    <row r="73" spans="1:33" ht="28.5" hidden="1" customHeight="1">
      <c r="A73" s="2" t="str">
        <f t="array" ref="A73">IFERROR(INDEX('Bank Schedule'!A:A, SMALL(IF('Bank Schedule'!$K$2:$K$825="Vacant", ROW('Bank Schedule'!$K$2:$K$825)), ROW(70:70))), "")</f>
        <v/>
      </c>
      <c r="B73" s="11" t="str">
        <f t="array" ref="B73">IFERROR(INDEX('Bank Schedule'!B:B, SMALL(IF('Bank Schedule'!$K$2:$K$825="Vacant", ROW('Bank Schedule'!$K$2:$K$825)), ROW(70:70))), "")</f>
        <v/>
      </c>
      <c r="C73" s="11" t="str">
        <f t="array" ref="C73">IFERROR(INDEX('Bank Schedule'!C:C, SMALL(IF('Bank Schedule'!$K$2:$K$825="Vacant", ROW('Bank Schedule'!$K$2:$K$825)), ROW(70:70))), "")</f>
        <v/>
      </c>
      <c r="D73" s="11" t="str">
        <f t="array" ref="D73">IFERROR(INDEX('Bank Schedule'!D:D, SMALL(IF('Bank Schedule'!$K$2:$K$825="Vacant", ROW('Bank Schedule'!$K$2:$K$825)), ROW(70:70))), "")</f>
        <v/>
      </c>
      <c r="E73" s="25" t="str">
        <f t="array" ref="E73">IFERROR(INDEX('Bank Schedule'!E:E, SMALL(IF('Bank Schedule'!$K$2:$K$825="Vacant", ROW('Bank Schedule'!$K$2:$K$825)), ROW(70:70))), "")</f>
        <v/>
      </c>
      <c r="F73" s="25" t="str">
        <f t="array" ref="F73">IFERROR(INDEX('Bank Schedule'!F:F, SMALL(IF('Bank Schedule'!$K$2:$K$825="Vacant", ROW('Bank Schedule'!$K$2:$K$825)), ROW(70:70))), "")</f>
        <v/>
      </c>
      <c r="G73" s="25" t="str">
        <f t="array" ref="G73">IFERROR(INDEX('Bank Schedule'!G:G, SMALL(IF('Bank Schedule'!$K$2:$K$825="Vacant", ROW('Bank Schedule'!$K$2:$K$825)), ROW(70:70))), "")</f>
        <v/>
      </c>
      <c r="H73" s="55" t="str">
        <f t="array" ref="H73">IFERROR(INDEX('Bank Schedule'!H:H, SMALL(IF('Bank Schedule'!$K$2:$K$825="Vacant", ROW('Bank Schedule'!$K$2:$K$825)), ROW(70:70))), "")</f>
        <v/>
      </c>
      <c r="I73" s="55" t="str">
        <f t="array" ref="I73">IFERROR(INDEX('Bank Schedule'!I:I, SMALL(IF('Bank Schedule'!$K$2:$K$825="Vacant", ROW('Bank Schedule'!$K$2:$K$825)), ROW(70:70))), "")</f>
        <v/>
      </c>
      <c r="J73" s="11" t="str">
        <f t="array" ref="J73">IFERROR(INDEX('Bank Schedule'!K:K, SMALL(IF('Bank Schedule'!$K$2:$K$825="Vacant", ROW('Bank Schedule'!$K$2:$K$825)), ROW(70:70))), "")</f>
        <v/>
      </c>
      <c r="K73" s="11" t="str">
        <f t="array" ref="K73">IFERROR(INDEX('Bank Schedule'!L:L, SMALL(IF('Bank Schedule'!$K$2:$K$825="Vacant", ROW('Bank Schedule'!$K$2:$K$825)), ROW(70:70))), "")</f>
        <v/>
      </c>
      <c r="L73" s="11" t="str">
        <f t="array" ref="L73">IFERROR(INDEX('Bank Schedule'!M:M, SMALL(IF('Bank Schedule'!$K$2:$K$825="Vacant", ROW('Bank Schedule'!$K$2:$K$825)), ROW(70:70))), "")</f>
        <v/>
      </c>
      <c r="M73" s="106" t="str">
        <f t="array" ref="M73">IFERROR(INDEX('Bank Schedule'!N:N, SMALL(IF('Bank Schedule'!$K$2:$K$825="Vacant", ROW('Bank Schedule'!$K$2:$K$825)), ROW(70:70))), "")</f>
        <v/>
      </c>
      <c r="N73" s="11" t="str">
        <f t="array" ref="N73">IFERROR(INDEX('Bank Schedule'!O:O, SMALL(IF('Bank Schedule'!$K$2:$K$825="Vacant", ROW('Bank Schedule'!$K$2:$K$825)), ROW(70:70))), "")</f>
        <v/>
      </c>
      <c r="O73" s="11" t="str">
        <f t="array" ref="O73">IFERROR(INDEX('Bank Schedule'!P:P, SMALL(IF('Bank Schedule'!$K$2:$K$825="Vacant", ROW('Bank Schedule'!$K$2:$K$825)), ROW(70:70))), "")</f>
        <v/>
      </c>
      <c r="P73" s="11" t="str">
        <f t="array" ref="P73">IFERROR(INDEX('Bank Schedule'!Q:Q, SMALL(IF('Bank Schedule'!$K$2:$K$825="Vacant", ROW('Bank Schedule'!$K$2:$K$825)), ROW(70:70))), "")</f>
        <v/>
      </c>
      <c r="Q73" s="11" t="str">
        <f t="array" ref="Q73">IFERROR(INDEX('Bank Schedule'!R:R, SMALL(IF('Bank Schedule'!$K$2:$K$825="Vacant", ROW('Bank Schedule'!$K$2:$K$825)), ROW(70:70))), "")</f>
        <v/>
      </c>
      <c r="R73" s="11" t="str">
        <f t="array" ref="R73">IFERROR(INDEX('Bank Schedule'!S:S, SMALL(IF('Bank Schedule'!$K$2:$K$825="Vacant", ROW('Bank Schedule'!$K$2:$K$825)), ROW(70:70))), "")</f>
        <v/>
      </c>
      <c r="S73" s="320" t="str">
        <f t="array" ref="S73">IFERROR(INDEX('Bank Schedule'!T:T, SMALL(IF('Bank Schedule'!$K$2:$K$825="Vacant", ROW('Bank Schedule'!$K$2:$K$825)), ROW(70:70))), "")</f>
        <v/>
      </c>
      <c r="T73" s="320" t="str">
        <f t="array" ref="T73">IFERROR(INDEX('Bank Schedule'!U:U, SMALL(IF('Bank Schedule'!$K$2:$K$825="Vacant", ROW('Bank Schedule'!$K$2:$K$825)), ROW(70:70))), "")</f>
        <v/>
      </c>
      <c r="U73" s="320" t="str">
        <f t="array" ref="U73">IFERROR(INDEX('Bank Schedule'!V:V, SMALL(IF('Bank Schedule'!$K$2:$K$825="Vacant", ROW('Bank Schedule'!$K$2:$K$825)), ROW(70:70))), "")</f>
        <v/>
      </c>
      <c r="V73" s="320" t="str">
        <f t="array" ref="V73">IFERROR(INDEX('Bank Schedule'!W:W, SMALL(IF('Bank Schedule'!$K$2:$K$825="Vacant", ROW('Bank Schedule'!$K$2:$K$825)), ROW(70:70))), "")</f>
        <v/>
      </c>
      <c r="W73" s="319" t="str">
        <f t="array" ref="W73">IFERROR(INDEX('Bank Schedule'!X:X, SMALL(IF('Bank Schedule'!$K$2:$K$825="Vacant", ROW('Bank Schedule'!$K$2:$K$825)), ROW(70:70))), "")</f>
        <v/>
      </c>
      <c r="X73" s="11" t="str">
        <f t="array" ref="X73">IFERROR(INDEX('Bank Schedule'!Y:Y, SMALL(IF('Bank Schedule'!$K$2:$K$825="Vacant", ROW('Bank Schedule'!$K$2:$K$825)), ROW(70:70))), "")</f>
        <v/>
      </c>
      <c r="Y73" s="11" t="str">
        <f t="array" ref="Y73">IFERROR(INDEX('Bank Schedule'!Z:Z, SMALL(IF('Bank Schedule'!$K$2:$K$825="Vacant", ROW('Bank Schedule'!$K$2:$K$825)), ROW(70:70))), "")</f>
        <v/>
      </c>
      <c r="Z73" s="11" t="str">
        <f t="array" ref="Z73">IFERROR(INDEX('Bank Schedule'!AA:AA, SMALL(IF('Bank Schedule'!$K$2:$K$825="Vacant", ROW('Bank Schedule'!$K$2:$K$825)), ROW(70:70))), "")</f>
        <v/>
      </c>
      <c r="AA73" s="11" t="str">
        <f t="array" ref="AA73">IFERROR(INDEX('Bank Schedule'!AB:AB, SMALL(IF('Bank Schedule'!$K$2:$K$825="Vacant", ROW('Bank Schedule'!$K$2:$K$825)), ROW(70:70))), "")</f>
        <v/>
      </c>
      <c r="AB73" s="25" t="str">
        <f t="array" ref="AB73">IFERROR(INDEX('Bank Schedule'!AC:AC, SMALL(IF('Bank Schedule'!$K$2:$K$825="Vacant", ROW('Bank Schedule'!$K$2:$K$825)), ROW(70:70))), "")</f>
        <v/>
      </c>
      <c r="AC73" s="299" t="str">
        <f t="array" ref="AC73">IFERROR(INDEX('Bank Schedule'!AD:AD, SMALL(IF('Bank Schedule'!$K$2:$K$825="Vacant", ROW('Bank Schedule'!$K$2:$K$825)), ROW(70:70))), "")</f>
        <v/>
      </c>
      <c r="AD73" s="11" t="str">
        <f t="array" ref="AD73">IFERROR(INDEX('Bank Schedule'!AE:AE, SMALL(IF('Bank Schedule'!$K$2:$K$825="Vacant", ROW('Bank Schedule'!$K$2:$K$825)), ROW(70:70))), "")</f>
        <v/>
      </c>
      <c r="AE73" s="11" t="str">
        <f t="array" ref="AE73">IFERROR(INDEX('Bank Schedule'!AF:AF, SMALL(IF('Bank Schedule'!$K$2:$K$825="Vacant", ROW('Bank Schedule'!$K$2:$K$825)), ROW(70:70))), "")</f>
        <v/>
      </c>
      <c r="AF73" s="11" t="str">
        <f t="array" ref="AF73">IFERROR(INDEX('Bank Schedule'!AG:AG, SMALL(IF('Bank Schedule'!$K$2:$K$825="Vacant", ROW('Bank Schedule'!$K$2:$K$825)), ROW(70:70))), "")</f>
        <v/>
      </c>
      <c r="AG73" s="4"/>
    </row>
    <row r="74" spans="1:33" ht="28.5" hidden="1" customHeight="1">
      <c r="A74" s="2" t="str">
        <f t="array" ref="A74">IFERROR(INDEX('Bank Schedule'!A:A, SMALL(IF('Bank Schedule'!$K$2:$K$825="Vacant", ROW('Bank Schedule'!$K$2:$K$825)), ROW(71:71))), "")</f>
        <v/>
      </c>
      <c r="B74" s="11" t="str">
        <f t="array" ref="B74">IFERROR(INDEX('Bank Schedule'!B:B, SMALL(IF('Bank Schedule'!$K$2:$K$825="Vacant", ROW('Bank Schedule'!$K$2:$K$825)), ROW(71:71))), "")</f>
        <v/>
      </c>
      <c r="C74" s="11" t="str">
        <f t="array" ref="C74">IFERROR(INDEX('Bank Schedule'!C:C, SMALL(IF('Bank Schedule'!$K$2:$K$825="Vacant", ROW('Bank Schedule'!$K$2:$K$825)), ROW(71:71))), "")</f>
        <v/>
      </c>
      <c r="D74" s="11" t="str">
        <f t="array" ref="D74">IFERROR(INDEX('Bank Schedule'!D:D, SMALL(IF('Bank Schedule'!$K$2:$K$825="Vacant", ROW('Bank Schedule'!$K$2:$K$825)), ROW(71:71))), "")</f>
        <v/>
      </c>
      <c r="E74" s="25" t="str">
        <f t="array" ref="E74">IFERROR(INDEX('Bank Schedule'!E:E, SMALL(IF('Bank Schedule'!$K$2:$K$825="Vacant", ROW('Bank Schedule'!$K$2:$K$825)), ROW(71:71))), "")</f>
        <v/>
      </c>
      <c r="F74" s="25" t="str">
        <f t="array" ref="F74">IFERROR(INDEX('Bank Schedule'!F:F, SMALL(IF('Bank Schedule'!$K$2:$K$825="Vacant", ROW('Bank Schedule'!$K$2:$K$825)), ROW(71:71))), "")</f>
        <v/>
      </c>
      <c r="G74" s="25" t="str">
        <f t="array" ref="G74">IFERROR(INDEX('Bank Schedule'!G:G, SMALL(IF('Bank Schedule'!$K$2:$K$825="Vacant", ROW('Bank Schedule'!$K$2:$K$825)), ROW(71:71))), "")</f>
        <v/>
      </c>
      <c r="H74" s="55" t="str">
        <f t="array" ref="H74">IFERROR(INDEX('Bank Schedule'!H:H, SMALL(IF('Bank Schedule'!$K$2:$K$825="Vacant", ROW('Bank Schedule'!$K$2:$K$825)), ROW(71:71))), "")</f>
        <v/>
      </c>
      <c r="I74" s="55" t="str">
        <f t="array" ref="I74">IFERROR(INDEX('Bank Schedule'!I:I, SMALL(IF('Bank Schedule'!$K$2:$K$825="Vacant", ROW('Bank Schedule'!$K$2:$K$825)), ROW(71:71))), "")</f>
        <v/>
      </c>
      <c r="J74" s="11" t="str">
        <f t="array" ref="J74">IFERROR(INDEX('Bank Schedule'!K:K, SMALL(IF('Bank Schedule'!$K$2:$K$825="Vacant", ROW('Bank Schedule'!$K$2:$K$825)), ROW(71:71))), "")</f>
        <v/>
      </c>
      <c r="K74" s="11" t="str">
        <f t="array" ref="K74">IFERROR(INDEX('Bank Schedule'!L:L, SMALL(IF('Bank Schedule'!$K$2:$K$825="Vacant", ROW('Bank Schedule'!$K$2:$K$825)), ROW(71:71))), "")</f>
        <v/>
      </c>
      <c r="L74" s="11" t="str">
        <f t="array" ref="L74">IFERROR(INDEX('Bank Schedule'!M:M, SMALL(IF('Bank Schedule'!$K$2:$K$825="Vacant", ROW('Bank Schedule'!$K$2:$K$825)), ROW(71:71))), "")</f>
        <v/>
      </c>
      <c r="M74" s="106" t="str">
        <f t="array" ref="M74">IFERROR(INDEX('Bank Schedule'!N:N, SMALL(IF('Bank Schedule'!$K$2:$K$825="Vacant", ROW('Bank Schedule'!$K$2:$K$825)), ROW(71:71))), "")</f>
        <v/>
      </c>
      <c r="N74" s="11" t="str">
        <f t="array" ref="N74">IFERROR(INDEX('Bank Schedule'!O:O, SMALL(IF('Bank Schedule'!$K$2:$K$825="Vacant", ROW('Bank Schedule'!$K$2:$K$825)), ROW(71:71))), "")</f>
        <v/>
      </c>
      <c r="O74" s="11" t="str">
        <f t="array" ref="O74">IFERROR(INDEX('Bank Schedule'!P:P, SMALL(IF('Bank Schedule'!$K$2:$K$825="Vacant", ROW('Bank Schedule'!$K$2:$K$825)), ROW(71:71))), "")</f>
        <v/>
      </c>
      <c r="P74" s="11" t="str">
        <f t="array" ref="P74">IFERROR(INDEX('Bank Schedule'!Q:Q, SMALL(IF('Bank Schedule'!$K$2:$K$825="Vacant", ROW('Bank Schedule'!$K$2:$K$825)), ROW(71:71))), "")</f>
        <v/>
      </c>
      <c r="Q74" s="11" t="str">
        <f t="array" ref="Q74">IFERROR(INDEX('Bank Schedule'!R:R, SMALL(IF('Bank Schedule'!$K$2:$K$825="Vacant", ROW('Bank Schedule'!$K$2:$K$825)), ROW(71:71))), "")</f>
        <v/>
      </c>
      <c r="R74" s="11" t="str">
        <f t="array" ref="R74">IFERROR(INDEX('Bank Schedule'!S:S, SMALL(IF('Bank Schedule'!$K$2:$K$825="Vacant", ROW('Bank Schedule'!$K$2:$K$825)), ROW(71:71))), "")</f>
        <v/>
      </c>
      <c r="S74" s="320" t="str">
        <f t="array" ref="S74">IFERROR(INDEX('Bank Schedule'!T:T, SMALL(IF('Bank Schedule'!$K$2:$K$825="Vacant", ROW('Bank Schedule'!$K$2:$K$825)), ROW(71:71))), "")</f>
        <v/>
      </c>
      <c r="T74" s="320" t="str">
        <f t="array" ref="T74">IFERROR(INDEX('Bank Schedule'!U:U, SMALL(IF('Bank Schedule'!$K$2:$K$825="Vacant", ROW('Bank Schedule'!$K$2:$K$825)), ROW(71:71))), "")</f>
        <v/>
      </c>
      <c r="U74" s="320" t="str">
        <f t="array" ref="U74">IFERROR(INDEX('Bank Schedule'!V:V, SMALL(IF('Bank Schedule'!$K$2:$K$825="Vacant", ROW('Bank Schedule'!$K$2:$K$825)), ROW(71:71))), "")</f>
        <v/>
      </c>
      <c r="V74" s="320" t="str">
        <f t="array" ref="V74">IFERROR(INDEX('Bank Schedule'!W:W, SMALL(IF('Bank Schedule'!$K$2:$K$825="Vacant", ROW('Bank Schedule'!$K$2:$K$825)), ROW(71:71))), "")</f>
        <v/>
      </c>
      <c r="W74" s="319" t="str">
        <f t="array" ref="W74">IFERROR(INDEX('Bank Schedule'!X:X, SMALL(IF('Bank Schedule'!$K$2:$K$825="Vacant", ROW('Bank Schedule'!$K$2:$K$825)), ROW(71:71))), "")</f>
        <v/>
      </c>
      <c r="X74" s="11" t="str">
        <f t="array" ref="X74">IFERROR(INDEX('Bank Schedule'!Y:Y, SMALL(IF('Bank Schedule'!$K$2:$K$825="Vacant", ROW('Bank Schedule'!$K$2:$K$825)), ROW(71:71))), "")</f>
        <v/>
      </c>
      <c r="Y74" s="11" t="str">
        <f t="array" ref="Y74">IFERROR(INDEX('Bank Schedule'!Z:Z, SMALL(IF('Bank Schedule'!$K$2:$K$825="Vacant", ROW('Bank Schedule'!$K$2:$K$825)), ROW(71:71))), "")</f>
        <v/>
      </c>
      <c r="Z74" s="11" t="str">
        <f t="array" ref="Z74">IFERROR(INDEX('Bank Schedule'!AA:AA, SMALL(IF('Bank Schedule'!$K$2:$K$825="Vacant", ROW('Bank Schedule'!$K$2:$K$825)), ROW(71:71))), "")</f>
        <v/>
      </c>
      <c r="AA74" s="11" t="str">
        <f t="array" ref="AA74">IFERROR(INDEX('Bank Schedule'!AB:AB, SMALL(IF('Bank Schedule'!$K$2:$K$825="Vacant", ROW('Bank Schedule'!$K$2:$K$825)), ROW(71:71))), "")</f>
        <v/>
      </c>
      <c r="AB74" s="25" t="str">
        <f t="array" ref="AB74">IFERROR(INDEX('Bank Schedule'!AC:AC, SMALL(IF('Bank Schedule'!$K$2:$K$825="Vacant", ROW('Bank Schedule'!$K$2:$K$825)), ROW(71:71))), "")</f>
        <v/>
      </c>
      <c r="AC74" s="299" t="str">
        <f t="array" ref="AC74">IFERROR(INDEX('Bank Schedule'!AD:AD, SMALL(IF('Bank Schedule'!$K$2:$K$825="Vacant", ROW('Bank Schedule'!$K$2:$K$825)), ROW(71:71))), "")</f>
        <v/>
      </c>
      <c r="AD74" s="11" t="str">
        <f t="array" ref="AD74">IFERROR(INDEX('Bank Schedule'!AE:AE, SMALL(IF('Bank Schedule'!$K$2:$K$825="Vacant", ROW('Bank Schedule'!$K$2:$K$825)), ROW(71:71))), "")</f>
        <v/>
      </c>
      <c r="AE74" s="11" t="str">
        <f t="array" ref="AE74">IFERROR(INDEX('Bank Schedule'!AF:AF, SMALL(IF('Bank Schedule'!$K$2:$K$825="Vacant", ROW('Bank Schedule'!$K$2:$K$825)), ROW(71:71))), "")</f>
        <v/>
      </c>
      <c r="AF74" s="11" t="str">
        <f t="array" ref="AF74">IFERROR(INDEX('Bank Schedule'!AG:AG, SMALL(IF('Bank Schedule'!$K$2:$K$825="Vacant", ROW('Bank Schedule'!$K$2:$K$825)), ROW(71:71))), "")</f>
        <v/>
      </c>
      <c r="AG74" s="4"/>
    </row>
    <row r="75" spans="1:33" ht="28.5" hidden="1" customHeight="1">
      <c r="A75" s="2" t="str">
        <f t="array" ref="A75">IFERROR(INDEX('Bank Schedule'!A:A, SMALL(IF('Bank Schedule'!$K$2:$K$825="Vacant", ROW('Bank Schedule'!$K$2:$K$825)), ROW(72:72))), "")</f>
        <v/>
      </c>
      <c r="B75" s="11" t="str">
        <f t="array" ref="B75">IFERROR(INDEX('Bank Schedule'!B:B, SMALL(IF('Bank Schedule'!$K$2:$K$825="Vacant", ROW('Bank Schedule'!$K$2:$K$825)), ROW(72:72))), "")</f>
        <v/>
      </c>
      <c r="C75" s="11" t="str">
        <f t="array" ref="C75">IFERROR(INDEX('Bank Schedule'!C:C, SMALL(IF('Bank Schedule'!$K$2:$K$825="Vacant", ROW('Bank Schedule'!$K$2:$K$825)), ROW(72:72))), "")</f>
        <v/>
      </c>
      <c r="D75" s="11" t="str">
        <f t="array" ref="D75">IFERROR(INDEX('Bank Schedule'!D:D, SMALL(IF('Bank Schedule'!$K$2:$K$825="Vacant", ROW('Bank Schedule'!$K$2:$K$825)), ROW(72:72))), "")</f>
        <v/>
      </c>
      <c r="E75" s="25" t="str">
        <f t="array" ref="E75">IFERROR(INDEX('Bank Schedule'!E:E, SMALL(IF('Bank Schedule'!$K$2:$K$825="Vacant", ROW('Bank Schedule'!$K$2:$K$825)), ROW(72:72))), "")</f>
        <v/>
      </c>
      <c r="F75" s="25" t="str">
        <f t="array" ref="F75">IFERROR(INDEX('Bank Schedule'!F:F, SMALL(IF('Bank Schedule'!$K$2:$K$825="Vacant", ROW('Bank Schedule'!$K$2:$K$825)), ROW(72:72))), "")</f>
        <v/>
      </c>
      <c r="G75" s="25" t="str">
        <f t="array" ref="G75">IFERROR(INDEX('Bank Schedule'!G:G, SMALL(IF('Bank Schedule'!$K$2:$K$825="Vacant", ROW('Bank Schedule'!$K$2:$K$825)), ROW(72:72))), "")</f>
        <v/>
      </c>
      <c r="H75" s="55" t="str">
        <f t="array" ref="H75">IFERROR(INDEX('Bank Schedule'!H:H, SMALL(IF('Bank Schedule'!$K$2:$K$825="Vacant", ROW('Bank Schedule'!$K$2:$K$825)), ROW(72:72))), "")</f>
        <v/>
      </c>
      <c r="I75" s="55" t="str">
        <f t="array" ref="I75">IFERROR(INDEX('Bank Schedule'!I:I, SMALL(IF('Bank Schedule'!$K$2:$K$825="Vacant", ROW('Bank Schedule'!$K$2:$K$825)), ROW(72:72))), "")</f>
        <v/>
      </c>
      <c r="J75" s="11" t="str">
        <f t="array" ref="J75">IFERROR(INDEX('Bank Schedule'!K:K, SMALL(IF('Bank Schedule'!$K$2:$K$825="Vacant", ROW('Bank Schedule'!$K$2:$K$825)), ROW(72:72))), "")</f>
        <v/>
      </c>
      <c r="K75" s="11" t="str">
        <f t="array" ref="K75">IFERROR(INDEX('Bank Schedule'!L:L, SMALL(IF('Bank Schedule'!$K$2:$K$825="Vacant", ROW('Bank Schedule'!$K$2:$K$825)), ROW(72:72))), "")</f>
        <v/>
      </c>
      <c r="L75" s="11" t="str">
        <f t="array" ref="L75">IFERROR(INDEX('Bank Schedule'!M:M, SMALL(IF('Bank Schedule'!$K$2:$K$825="Vacant", ROW('Bank Schedule'!$K$2:$K$825)), ROW(72:72))), "")</f>
        <v/>
      </c>
      <c r="M75" s="106" t="str">
        <f t="array" ref="M75">IFERROR(INDEX('Bank Schedule'!N:N, SMALL(IF('Bank Schedule'!$K$2:$K$825="Vacant", ROW('Bank Schedule'!$K$2:$K$825)), ROW(72:72))), "")</f>
        <v/>
      </c>
      <c r="N75" s="11" t="str">
        <f t="array" ref="N75">IFERROR(INDEX('Bank Schedule'!O:O, SMALL(IF('Bank Schedule'!$K$2:$K$825="Vacant", ROW('Bank Schedule'!$K$2:$K$825)), ROW(72:72))), "")</f>
        <v/>
      </c>
      <c r="O75" s="11" t="str">
        <f t="array" ref="O75">IFERROR(INDEX('Bank Schedule'!P:P, SMALL(IF('Bank Schedule'!$K$2:$K$825="Vacant", ROW('Bank Schedule'!$K$2:$K$825)), ROW(72:72))), "")</f>
        <v/>
      </c>
      <c r="P75" s="11" t="str">
        <f t="array" ref="P75">IFERROR(INDEX('Bank Schedule'!Q:Q, SMALL(IF('Bank Schedule'!$K$2:$K$825="Vacant", ROW('Bank Schedule'!$K$2:$K$825)), ROW(72:72))), "")</f>
        <v/>
      </c>
      <c r="Q75" s="11" t="str">
        <f t="array" ref="Q75">IFERROR(INDEX('Bank Schedule'!R:R, SMALL(IF('Bank Schedule'!$K$2:$K$825="Vacant", ROW('Bank Schedule'!$K$2:$K$825)), ROW(72:72))), "")</f>
        <v/>
      </c>
      <c r="R75" s="11" t="str">
        <f t="array" ref="R75">IFERROR(INDEX('Bank Schedule'!S:S, SMALL(IF('Bank Schedule'!$K$2:$K$825="Vacant", ROW('Bank Schedule'!$K$2:$K$825)), ROW(72:72))), "")</f>
        <v/>
      </c>
      <c r="S75" s="320" t="str">
        <f t="array" ref="S75">IFERROR(INDEX('Bank Schedule'!T:T, SMALL(IF('Bank Schedule'!$K$2:$K$825="Vacant", ROW('Bank Schedule'!$K$2:$K$825)), ROW(72:72))), "")</f>
        <v/>
      </c>
      <c r="T75" s="320" t="str">
        <f t="array" ref="T75">IFERROR(INDEX('Bank Schedule'!U:U, SMALL(IF('Bank Schedule'!$K$2:$K$825="Vacant", ROW('Bank Schedule'!$K$2:$K$825)), ROW(72:72))), "")</f>
        <v/>
      </c>
      <c r="U75" s="320" t="str">
        <f t="array" ref="U75">IFERROR(INDEX('Bank Schedule'!V:V, SMALL(IF('Bank Schedule'!$K$2:$K$825="Vacant", ROW('Bank Schedule'!$K$2:$K$825)), ROW(72:72))), "")</f>
        <v/>
      </c>
      <c r="V75" s="320" t="str">
        <f t="array" ref="V75">IFERROR(INDEX('Bank Schedule'!W:W, SMALL(IF('Bank Schedule'!$K$2:$K$825="Vacant", ROW('Bank Schedule'!$K$2:$K$825)), ROW(72:72))), "")</f>
        <v/>
      </c>
      <c r="W75" s="319" t="str">
        <f t="array" ref="W75">IFERROR(INDEX('Bank Schedule'!X:X, SMALL(IF('Bank Schedule'!$K$2:$K$825="Vacant", ROW('Bank Schedule'!$K$2:$K$825)), ROW(72:72))), "")</f>
        <v/>
      </c>
      <c r="X75" s="11" t="str">
        <f t="array" ref="X75">IFERROR(INDEX('Bank Schedule'!Y:Y, SMALL(IF('Bank Schedule'!$K$2:$K$825="Vacant", ROW('Bank Schedule'!$K$2:$K$825)), ROW(72:72))), "")</f>
        <v/>
      </c>
      <c r="Y75" s="11" t="str">
        <f t="array" ref="Y75">IFERROR(INDEX('Bank Schedule'!Z:Z, SMALL(IF('Bank Schedule'!$K$2:$K$825="Vacant", ROW('Bank Schedule'!$K$2:$K$825)), ROW(72:72))), "")</f>
        <v/>
      </c>
      <c r="Z75" s="11" t="str">
        <f t="array" ref="Z75">IFERROR(INDEX('Bank Schedule'!AA:AA, SMALL(IF('Bank Schedule'!$K$2:$K$825="Vacant", ROW('Bank Schedule'!$K$2:$K$825)), ROW(72:72))), "")</f>
        <v/>
      </c>
      <c r="AA75" s="11" t="str">
        <f t="array" ref="AA75">IFERROR(INDEX('Bank Schedule'!AB:AB, SMALL(IF('Bank Schedule'!$K$2:$K$825="Vacant", ROW('Bank Schedule'!$K$2:$K$825)), ROW(72:72))), "")</f>
        <v/>
      </c>
      <c r="AB75" s="25" t="str">
        <f t="array" ref="AB75">IFERROR(INDEX('Bank Schedule'!AC:AC, SMALL(IF('Bank Schedule'!$K$2:$K$825="Vacant", ROW('Bank Schedule'!$K$2:$K$825)), ROW(72:72))), "")</f>
        <v/>
      </c>
      <c r="AC75" s="299" t="str">
        <f t="array" ref="AC75">IFERROR(INDEX('Bank Schedule'!AD:AD, SMALL(IF('Bank Schedule'!$K$2:$K$825="Vacant", ROW('Bank Schedule'!$K$2:$K$825)), ROW(72:72))), "")</f>
        <v/>
      </c>
      <c r="AD75" s="11" t="str">
        <f t="array" ref="AD75">IFERROR(INDEX('Bank Schedule'!AE:AE, SMALL(IF('Bank Schedule'!$K$2:$K$825="Vacant", ROW('Bank Schedule'!$K$2:$K$825)), ROW(72:72))), "")</f>
        <v/>
      </c>
      <c r="AE75" s="11" t="str">
        <f t="array" ref="AE75">IFERROR(INDEX('Bank Schedule'!AF:AF, SMALL(IF('Bank Schedule'!$K$2:$K$825="Vacant", ROW('Bank Schedule'!$K$2:$K$825)), ROW(72:72))), "")</f>
        <v/>
      </c>
      <c r="AF75" s="11" t="str">
        <f t="array" ref="AF75">IFERROR(INDEX('Bank Schedule'!AG:AG, SMALL(IF('Bank Schedule'!$K$2:$K$825="Vacant", ROW('Bank Schedule'!$K$2:$K$825)), ROW(72:72))), "")</f>
        <v/>
      </c>
      <c r="AG75" s="4"/>
    </row>
    <row r="76" spans="1:33" ht="28.5" hidden="1" customHeight="1">
      <c r="A76" s="2" t="str">
        <f t="array" ref="A76">IFERROR(INDEX('Bank Schedule'!A:A, SMALL(IF('Bank Schedule'!$K$2:$K$825="Vacant", ROW('Bank Schedule'!$K$2:$K$825)), ROW(73:73))), "")</f>
        <v/>
      </c>
      <c r="B76" s="11" t="str">
        <f t="array" ref="B76">IFERROR(INDEX('Bank Schedule'!B:B, SMALL(IF('Bank Schedule'!$K$2:$K$825="Vacant", ROW('Bank Schedule'!$K$2:$K$825)), ROW(73:73))), "")</f>
        <v/>
      </c>
      <c r="C76" s="11" t="str">
        <f t="array" ref="C76">IFERROR(INDEX('Bank Schedule'!C:C, SMALL(IF('Bank Schedule'!$K$2:$K$825="Vacant", ROW('Bank Schedule'!$K$2:$K$825)), ROW(73:73))), "")</f>
        <v/>
      </c>
      <c r="D76" s="11" t="str">
        <f t="array" ref="D76">IFERROR(INDEX('Bank Schedule'!D:D, SMALL(IF('Bank Schedule'!$K$2:$K$825="Vacant", ROW('Bank Schedule'!$K$2:$K$825)), ROW(73:73))), "")</f>
        <v/>
      </c>
      <c r="E76" s="25" t="str">
        <f t="array" ref="E76">IFERROR(INDEX('Bank Schedule'!E:E, SMALL(IF('Bank Schedule'!$K$2:$K$825="Vacant", ROW('Bank Schedule'!$K$2:$K$825)), ROW(73:73))), "")</f>
        <v/>
      </c>
      <c r="F76" s="25" t="str">
        <f t="array" ref="F76">IFERROR(INDEX('Bank Schedule'!F:F, SMALL(IF('Bank Schedule'!$K$2:$K$825="Vacant", ROW('Bank Schedule'!$K$2:$K$825)), ROW(73:73))), "")</f>
        <v/>
      </c>
      <c r="G76" s="25" t="str">
        <f t="array" ref="G76">IFERROR(INDEX('Bank Schedule'!G:G, SMALL(IF('Bank Schedule'!$K$2:$K$825="Vacant", ROW('Bank Schedule'!$K$2:$K$825)), ROW(73:73))), "")</f>
        <v/>
      </c>
      <c r="H76" s="55" t="str">
        <f t="array" ref="H76">IFERROR(INDEX('Bank Schedule'!H:H, SMALL(IF('Bank Schedule'!$K$2:$K$825="Vacant", ROW('Bank Schedule'!$K$2:$K$825)), ROW(73:73))), "")</f>
        <v/>
      </c>
      <c r="I76" s="55" t="str">
        <f t="array" ref="I76">IFERROR(INDEX('Bank Schedule'!I:I, SMALL(IF('Bank Schedule'!$K$2:$K$825="Vacant", ROW('Bank Schedule'!$K$2:$K$825)), ROW(73:73))), "")</f>
        <v/>
      </c>
      <c r="J76" s="11" t="str">
        <f t="array" ref="J76">IFERROR(INDEX('Bank Schedule'!K:K, SMALL(IF('Bank Schedule'!$K$2:$K$825="Vacant", ROW('Bank Schedule'!$K$2:$K$825)), ROW(73:73))), "")</f>
        <v/>
      </c>
      <c r="K76" s="11" t="str">
        <f t="array" ref="K76">IFERROR(INDEX('Bank Schedule'!L:L, SMALL(IF('Bank Schedule'!$K$2:$K$825="Vacant", ROW('Bank Schedule'!$K$2:$K$825)), ROW(73:73))), "")</f>
        <v/>
      </c>
      <c r="L76" s="11" t="str">
        <f t="array" ref="L76">IFERROR(INDEX('Bank Schedule'!M:M, SMALL(IF('Bank Schedule'!$K$2:$K$825="Vacant", ROW('Bank Schedule'!$K$2:$K$825)), ROW(73:73))), "")</f>
        <v/>
      </c>
      <c r="M76" s="106" t="str">
        <f t="array" ref="M76">IFERROR(INDEX('Bank Schedule'!N:N, SMALL(IF('Bank Schedule'!$K$2:$K$825="Vacant", ROW('Bank Schedule'!$K$2:$K$825)), ROW(73:73))), "")</f>
        <v/>
      </c>
      <c r="N76" s="11" t="str">
        <f t="array" ref="N76">IFERROR(INDEX('Bank Schedule'!O:O, SMALL(IF('Bank Schedule'!$K$2:$K$825="Vacant", ROW('Bank Schedule'!$K$2:$K$825)), ROW(73:73))), "")</f>
        <v/>
      </c>
      <c r="O76" s="11" t="str">
        <f t="array" ref="O76">IFERROR(INDEX('Bank Schedule'!P:P, SMALL(IF('Bank Schedule'!$K$2:$K$825="Vacant", ROW('Bank Schedule'!$K$2:$K$825)), ROW(73:73))), "")</f>
        <v/>
      </c>
      <c r="P76" s="11" t="str">
        <f t="array" ref="P76">IFERROR(INDEX('Bank Schedule'!Q:Q, SMALL(IF('Bank Schedule'!$K$2:$K$825="Vacant", ROW('Bank Schedule'!$K$2:$K$825)), ROW(73:73))), "")</f>
        <v/>
      </c>
      <c r="Q76" s="11" t="str">
        <f t="array" ref="Q76">IFERROR(INDEX('Bank Schedule'!R:R, SMALL(IF('Bank Schedule'!$K$2:$K$825="Vacant", ROW('Bank Schedule'!$K$2:$K$825)), ROW(73:73))), "")</f>
        <v/>
      </c>
      <c r="R76" s="11" t="str">
        <f t="array" ref="R76">IFERROR(INDEX('Bank Schedule'!S:S, SMALL(IF('Bank Schedule'!$K$2:$K$825="Vacant", ROW('Bank Schedule'!$K$2:$K$825)), ROW(73:73))), "")</f>
        <v/>
      </c>
      <c r="S76" s="320" t="str">
        <f t="array" ref="S76">IFERROR(INDEX('Bank Schedule'!T:T, SMALL(IF('Bank Schedule'!$K$2:$K$825="Vacant", ROW('Bank Schedule'!$K$2:$K$825)), ROW(73:73))), "")</f>
        <v/>
      </c>
      <c r="T76" s="320" t="str">
        <f t="array" ref="T76">IFERROR(INDEX('Bank Schedule'!U:U, SMALL(IF('Bank Schedule'!$K$2:$K$825="Vacant", ROW('Bank Schedule'!$K$2:$K$825)), ROW(73:73))), "")</f>
        <v/>
      </c>
      <c r="U76" s="320" t="str">
        <f t="array" ref="U76">IFERROR(INDEX('Bank Schedule'!V:V, SMALL(IF('Bank Schedule'!$K$2:$K$825="Vacant", ROW('Bank Schedule'!$K$2:$K$825)), ROW(73:73))), "")</f>
        <v/>
      </c>
      <c r="V76" s="320" t="str">
        <f t="array" ref="V76">IFERROR(INDEX('Bank Schedule'!W:W, SMALL(IF('Bank Schedule'!$K$2:$K$825="Vacant", ROW('Bank Schedule'!$K$2:$K$825)), ROW(73:73))), "")</f>
        <v/>
      </c>
      <c r="W76" s="319" t="str">
        <f t="array" ref="W76">IFERROR(INDEX('Bank Schedule'!X:X, SMALL(IF('Bank Schedule'!$K$2:$K$825="Vacant", ROW('Bank Schedule'!$K$2:$K$825)), ROW(73:73))), "")</f>
        <v/>
      </c>
      <c r="X76" s="11" t="str">
        <f t="array" ref="X76">IFERROR(INDEX('Bank Schedule'!Y:Y, SMALL(IF('Bank Schedule'!$K$2:$K$825="Vacant", ROW('Bank Schedule'!$K$2:$K$825)), ROW(73:73))), "")</f>
        <v/>
      </c>
      <c r="Y76" s="11" t="str">
        <f t="array" ref="Y76">IFERROR(INDEX('Bank Schedule'!Z:Z, SMALL(IF('Bank Schedule'!$K$2:$K$825="Vacant", ROW('Bank Schedule'!$K$2:$K$825)), ROW(73:73))), "")</f>
        <v/>
      </c>
      <c r="Z76" s="11" t="str">
        <f t="array" ref="Z76">IFERROR(INDEX('Bank Schedule'!AA:AA, SMALL(IF('Bank Schedule'!$K$2:$K$825="Vacant", ROW('Bank Schedule'!$K$2:$K$825)), ROW(73:73))), "")</f>
        <v/>
      </c>
      <c r="AA76" s="11" t="str">
        <f t="array" ref="AA76">IFERROR(INDEX('Bank Schedule'!AB:AB, SMALL(IF('Bank Schedule'!$K$2:$K$825="Vacant", ROW('Bank Schedule'!$K$2:$K$825)), ROW(73:73))), "")</f>
        <v/>
      </c>
      <c r="AB76" s="25" t="str">
        <f t="array" ref="AB76">IFERROR(INDEX('Bank Schedule'!AC:AC, SMALL(IF('Bank Schedule'!$K$2:$K$825="Vacant", ROW('Bank Schedule'!$K$2:$K$825)), ROW(73:73))), "")</f>
        <v/>
      </c>
      <c r="AC76" s="299" t="str">
        <f t="array" ref="AC76">IFERROR(INDEX('Bank Schedule'!AD:AD, SMALL(IF('Bank Schedule'!$K$2:$K$825="Vacant", ROW('Bank Schedule'!$K$2:$K$825)), ROW(73:73))), "")</f>
        <v/>
      </c>
      <c r="AD76" s="11" t="str">
        <f t="array" ref="AD76">IFERROR(INDEX('Bank Schedule'!AE:AE, SMALL(IF('Bank Schedule'!$K$2:$K$825="Vacant", ROW('Bank Schedule'!$K$2:$K$825)), ROW(73:73))), "")</f>
        <v/>
      </c>
      <c r="AE76" s="11" t="str">
        <f t="array" ref="AE76">IFERROR(INDEX('Bank Schedule'!AF:AF, SMALL(IF('Bank Schedule'!$K$2:$K$825="Vacant", ROW('Bank Schedule'!$K$2:$K$825)), ROW(73:73))), "")</f>
        <v/>
      </c>
      <c r="AF76" s="11" t="str">
        <f t="array" ref="AF76">IFERROR(INDEX('Bank Schedule'!AG:AG, SMALL(IF('Bank Schedule'!$K$2:$K$825="Vacant", ROW('Bank Schedule'!$K$2:$K$825)), ROW(73:73))), "")</f>
        <v/>
      </c>
      <c r="AG76" s="4"/>
    </row>
    <row r="77" spans="1:33" ht="28.5" hidden="1" customHeight="1">
      <c r="A77" s="2" t="str">
        <f t="array" ref="A77">IFERROR(INDEX('Bank Schedule'!A:A, SMALL(IF('Bank Schedule'!$K$2:$K$825="Vacant", ROW('Bank Schedule'!$K$2:$K$825)), ROW(74:74))), "")</f>
        <v/>
      </c>
      <c r="B77" s="11" t="str">
        <f t="array" ref="B77">IFERROR(INDEX('Bank Schedule'!B:B, SMALL(IF('Bank Schedule'!$K$2:$K$825="Vacant", ROW('Bank Schedule'!$K$2:$K$825)), ROW(74:74))), "")</f>
        <v/>
      </c>
      <c r="C77" s="11" t="str">
        <f t="array" ref="C77">IFERROR(INDEX('Bank Schedule'!C:C, SMALL(IF('Bank Schedule'!$K$2:$K$825="Vacant", ROW('Bank Schedule'!$K$2:$K$825)), ROW(74:74))), "")</f>
        <v/>
      </c>
      <c r="D77" s="11" t="str">
        <f t="array" ref="D77">IFERROR(INDEX('Bank Schedule'!D:D, SMALL(IF('Bank Schedule'!$K$2:$K$825="Vacant", ROW('Bank Schedule'!$K$2:$K$825)), ROW(74:74))), "")</f>
        <v/>
      </c>
      <c r="E77" s="25" t="str">
        <f t="array" ref="E77">IFERROR(INDEX('Bank Schedule'!E:E, SMALL(IF('Bank Schedule'!$K$2:$K$825="Vacant", ROW('Bank Schedule'!$K$2:$K$825)), ROW(74:74))), "")</f>
        <v/>
      </c>
      <c r="F77" s="25" t="str">
        <f t="array" ref="F77">IFERROR(INDEX('Bank Schedule'!F:F, SMALL(IF('Bank Schedule'!$K$2:$K$825="Vacant", ROW('Bank Schedule'!$K$2:$K$825)), ROW(74:74))), "")</f>
        <v/>
      </c>
      <c r="G77" s="25" t="str">
        <f t="array" ref="G77">IFERROR(INDEX('Bank Schedule'!G:G, SMALL(IF('Bank Schedule'!$K$2:$K$825="Vacant", ROW('Bank Schedule'!$K$2:$K$825)), ROW(74:74))), "")</f>
        <v/>
      </c>
      <c r="H77" s="55" t="str">
        <f t="array" ref="H77">IFERROR(INDEX('Bank Schedule'!H:H, SMALL(IF('Bank Schedule'!$K$2:$K$825="Vacant", ROW('Bank Schedule'!$K$2:$K$825)), ROW(74:74))), "")</f>
        <v/>
      </c>
      <c r="I77" s="55" t="str">
        <f t="array" ref="I77">IFERROR(INDEX('Bank Schedule'!I:I, SMALL(IF('Bank Schedule'!$K$2:$K$825="Vacant", ROW('Bank Schedule'!$K$2:$K$825)), ROW(74:74))), "")</f>
        <v/>
      </c>
      <c r="J77" s="11" t="str">
        <f t="array" ref="J77">IFERROR(INDEX('Bank Schedule'!K:K, SMALL(IF('Bank Schedule'!$K$2:$K$825="Vacant", ROW('Bank Schedule'!$K$2:$K$825)), ROW(74:74))), "")</f>
        <v/>
      </c>
      <c r="K77" s="11" t="str">
        <f t="array" ref="K77">IFERROR(INDEX('Bank Schedule'!L:L, SMALL(IF('Bank Schedule'!$K$2:$K$825="Vacant", ROW('Bank Schedule'!$K$2:$K$825)), ROW(74:74))), "")</f>
        <v/>
      </c>
      <c r="L77" s="11" t="str">
        <f t="array" ref="L77">IFERROR(INDEX('Bank Schedule'!M:M, SMALL(IF('Bank Schedule'!$K$2:$K$825="Vacant", ROW('Bank Schedule'!$K$2:$K$825)), ROW(74:74))), "")</f>
        <v/>
      </c>
      <c r="M77" s="106" t="str">
        <f t="array" ref="M77">IFERROR(INDEX('Bank Schedule'!N:N, SMALL(IF('Bank Schedule'!$K$2:$K$825="Vacant", ROW('Bank Schedule'!$K$2:$K$825)), ROW(74:74))), "")</f>
        <v/>
      </c>
      <c r="N77" s="11" t="str">
        <f t="array" ref="N77">IFERROR(INDEX('Bank Schedule'!O:O, SMALL(IF('Bank Schedule'!$K$2:$K$825="Vacant", ROW('Bank Schedule'!$K$2:$K$825)), ROW(74:74))), "")</f>
        <v/>
      </c>
      <c r="O77" s="11" t="str">
        <f t="array" ref="O77">IFERROR(INDEX('Bank Schedule'!P:P, SMALL(IF('Bank Schedule'!$K$2:$K$825="Vacant", ROW('Bank Schedule'!$K$2:$K$825)), ROW(74:74))), "")</f>
        <v/>
      </c>
      <c r="P77" s="11" t="str">
        <f t="array" ref="P77">IFERROR(INDEX('Bank Schedule'!Q:Q, SMALL(IF('Bank Schedule'!$K$2:$K$825="Vacant", ROW('Bank Schedule'!$K$2:$K$825)), ROW(74:74))), "")</f>
        <v/>
      </c>
      <c r="Q77" s="11" t="str">
        <f t="array" ref="Q77">IFERROR(INDEX('Bank Schedule'!R:R, SMALL(IF('Bank Schedule'!$K$2:$K$825="Vacant", ROW('Bank Schedule'!$K$2:$K$825)), ROW(74:74))), "")</f>
        <v/>
      </c>
      <c r="R77" s="11" t="str">
        <f t="array" ref="R77">IFERROR(INDEX('Bank Schedule'!S:S, SMALL(IF('Bank Schedule'!$K$2:$K$825="Vacant", ROW('Bank Schedule'!$K$2:$K$825)), ROW(74:74))), "")</f>
        <v/>
      </c>
      <c r="S77" s="320" t="str">
        <f t="array" ref="S77">IFERROR(INDEX('Bank Schedule'!T:T, SMALL(IF('Bank Schedule'!$K$2:$K$825="Vacant", ROW('Bank Schedule'!$K$2:$K$825)), ROW(74:74))), "")</f>
        <v/>
      </c>
      <c r="T77" s="320" t="str">
        <f t="array" ref="T77">IFERROR(INDEX('Bank Schedule'!U:U, SMALL(IF('Bank Schedule'!$K$2:$K$825="Vacant", ROW('Bank Schedule'!$K$2:$K$825)), ROW(74:74))), "")</f>
        <v/>
      </c>
      <c r="U77" s="320" t="str">
        <f t="array" ref="U77">IFERROR(INDEX('Bank Schedule'!V:V, SMALL(IF('Bank Schedule'!$K$2:$K$825="Vacant", ROW('Bank Schedule'!$K$2:$K$825)), ROW(74:74))), "")</f>
        <v/>
      </c>
      <c r="V77" s="320" t="str">
        <f t="array" ref="V77">IFERROR(INDEX('Bank Schedule'!W:W, SMALL(IF('Bank Schedule'!$K$2:$K$825="Vacant", ROW('Bank Schedule'!$K$2:$K$825)), ROW(74:74))), "")</f>
        <v/>
      </c>
      <c r="W77" s="319" t="str">
        <f t="array" ref="W77">IFERROR(INDEX('Bank Schedule'!X:X, SMALL(IF('Bank Schedule'!$K$2:$K$825="Vacant", ROW('Bank Schedule'!$K$2:$K$825)), ROW(74:74))), "")</f>
        <v/>
      </c>
      <c r="X77" s="11" t="str">
        <f t="array" ref="X77">IFERROR(INDEX('Bank Schedule'!Y:Y, SMALL(IF('Bank Schedule'!$K$2:$K$825="Vacant", ROW('Bank Schedule'!$K$2:$K$825)), ROW(74:74))), "")</f>
        <v/>
      </c>
      <c r="Y77" s="11" t="str">
        <f t="array" ref="Y77">IFERROR(INDEX('Bank Schedule'!Z:Z, SMALL(IF('Bank Schedule'!$K$2:$K$825="Vacant", ROW('Bank Schedule'!$K$2:$K$825)), ROW(74:74))), "")</f>
        <v/>
      </c>
      <c r="Z77" s="11" t="str">
        <f t="array" ref="Z77">IFERROR(INDEX('Bank Schedule'!AA:AA, SMALL(IF('Bank Schedule'!$K$2:$K$825="Vacant", ROW('Bank Schedule'!$K$2:$K$825)), ROW(74:74))), "")</f>
        <v/>
      </c>
      <c r="AA77" s="11" t="str">
        <f t="array" ref="AA77">IFERROR(INDEX('Bank Schedule'!AB:AB, SMALL(IF('Bank Schedule'!$K$2:$K$825="Vacant", ROW('Bank Schedule'!$K$2:$K$825)), ROW(74:74))), "")</f>
        <v/>
      </c>
      <c r="AB77" s="25" t="str">
        <f t="array" ref="AB77">IFERROR(INDEX('Bank Schedule'!AC:AC, SMALL(IF('Bank Schedule'!$K$2:$K$825="Vacant", ROW('Bank Schedule'!$K$2:$K$825)), ROW(74:74))), "")</f>
        <v/>
      </c>
      <c r="AC77" s="299" t="str">
        <f t="array" ref="AC77">IFERROR(INDEX('Bank Schedule'!AD:AD, SMALL(IF('Bank Schedule'!$K$2:$K$825="Vacant", ROW('Bank Schedule'!$K$2:$K$825)), ROW(74:74))), "")</f>
        <v/>
      </c>
      <c r="AD77" s="11" t="str">
        <f t="array" ref="AD77">IFERROR(INDEX('Bank Schedule'!AE:AE, SMALL(IF('Bank Schedule'!$K$2:$K$825="Vacant", ROW('Bank Schedule'!$K$2:$K$825)), ROW(74:74))), "")</f>
        <v/>
      </c>
      <c r="AE77" s="11" t="str">
        <f t="array" ref="AE77">IFERROR(INDEX('Bank Schedule'!AF:AF, SMALL(IF('Bank Schedule'!$K$2:$K$825="Vacant", ROW('Bank Schedule'!$K$2:$K$825)), ROW(74:74))), "")</f>
        <v/>
      </c>
      <c r="AF77" s="11" t="str">
        <f t="array" ref="AF77">IFERROR(INDEX('Bank Schedule'!AG:AG, SMALL(IF('Bank Schedule'!$K$2:$K$825="Vacant", ROW('Bank Schedule'!$K$2:$K$825)), ROW(74:74))), "")</f>
        <v/>
      </c>
      <c r="AG77" s="4"/>
    </row>
    <row r="78" spans="1:33" ht="28.5" hidden="1" customHeight="1">
      <c r="A78" s="2" t="str">
        <f t="array" ref="A78">IFERROR(INDEX('Bank Schedule'!A:A, SMALL(IF('Bank Schedule'!$K$2:$K$825="Vacant", ROW('Bank Schedule'!$K$2:$K$825)), ROW(75:75))), "")</f>
        <v/>
      </c>
      <c r="B78" s="11" t="str">
        <f t="array" ref="B78">IFERROR(INDEX('Bank Schedule'!B:B, SMALL(IF('Bank Schedule'!$K$2:$K$825="Vacant", ROW('Bank Schedule'!$K$2:$K$825)), ROW(75:75))), "")</f>
        <v/>
      </c>
      <c r="C78" s="11" t="str">
        <f t="array" ref="C78">IFERROR(INDEX('Bank Schedule'!C:C, SMALL(IF('Bank Schedule'!$K$2:$K$825="Vacant", ROW('Bank Schedule'!$K$2:$K$825)), ROW(75:75))), "")</f>
        <v/>
      </c>
      <c r="D78" s="11" t="str">
        <f t="array" ref="D78">IFERROR(INDEX('Bank Schedule'!D:D, SMALL(IF('Bank Schedule'!$K$2:$K$825="Vacant", ROW('Bank Schedule'!$K$2:$K$825)), ROW(75:75))), "")</f>
        <v/>
      </c>
      <c r="E78" s="25" t="str">
        <f t="array" ref="E78">IFERROR(INDEX('Bank Schedule'!E:E, SMALL(IF('Bank Schedule'!$K$2:$K$825="Vacant", ROW('Bank Schedule'!$K$2:$K$825)), ROW(75:75))), "")</f>
        <v/>
      </c>
      <c r="F78" s="25" t="str">
        <f t="array" ref="F78">IFERROR(INDEX('Bank Schedule'!F:F, SMALL(IF('Bank Schedule'!$K$2:$K$825="Vacant", ROW('Bank Schedule'!$K$2:$K$825)), ROW(75:75))), "")</f>
        <v/>
      </c>
      <c r="G78" s="25" t="str">
        <f t="array" ref="G78">IFERROR(INDEX('Bank Schedule'!G:G, SMALL(IF('Bank Schedule'!$K$2:$K$825="Vacant", ROW('Bank Schedule'!$K$2:$K$825)), ROW(75:75))), "")</f>
        <v/>
      </c>
      <c r="H78" s="55" t="str">
        <f t="array" ref="H78">IFERROR(INDEX('Bank Schedule'!H:H, SMALL(IF('Bank Schedule'!$K$2:$K$825="Vacant", ROW('Bank Schedule'!$K$2:$K$825)), ROW(75:75))), "")</f>
        <v/>
      </c>
      <c r="I78" s="55" t="str">
        <f t="array" ref="I78">IFERROR(INDEX('Bank Schedule'!I:I, SMALL(IF('Bank Schedule'!$K$2:$K$825="Vacant", ROW('Bank Schedule'!$K$2:$K$825)), ROW(75:75))), "")</f>
        <v/>
      </c>
      <c r="J78" s="11" t="str">
        <f t="array" ref="J78">IFERROR(INDEX('Bank Schedule'!K:K, SMALL(IF('Bank Schedule'!$K$2:$K$825="Vacant", ROW('Bank Schedule'!$K$2:$K$825)), ROW(75:75))), "")</f>
        <v/>
      </c>
      <c r="K78" s="11" t="str">
        <f t="array" ref="K78">IFERROR(INDEX('Bank Schedule'!L:L, SMALL(IF('Bank Schedule'!$K$2:$K$825="Vacant", ROW('Bank Schedule'!$K$2:$K$825)), ROW(75:75))), "")</f>
        <v/>
      </c>
      <c r="L78" s="11" t="str">
        <f t="array" ref="L78">IFERROR(INDEX('Bank Schedule'!M:M, SMALL(IF('Bank Schedule'!$K$2:$K$825="Vacant", ROW('Bank Schedule'!$K$2:$K$825)), ROW(75:75))), "")</f>
        <v/>
      </c>
      <c r="M78" s="106" t="str">
        <f t="array" ref="M78">IFERROR(INDEX('Bank Schedule'!N:N, SMALL(IF('Bank Schedule'!$K$2:$K$825="Vacant", ROW('Bank Schedule'!$K$2:$K$825)), ROW(75:75))), "")</f>
        <v/>
      </c>
      <c r="N78" s="11" t="str">
        <f t="array" ref="N78">IFERROR(INDEX('Bank Schedule'!O:O, SMALL(IF('Bank Schedule'!$K$2:$K$825="Vacant", ROW('Bank Schedule'!$K$2:$K$825)), ROW(75:75))), "")</f>
        <v/>
      </c>
      <c r="O78" s="11" t="str">
        <f t="array" ref="O78">IFERROR(INDEX('Bank Schedule'!P:P, SMALL(IF('Bank Schedule'!$K$2:$K$825="Vacant", ROW('Bank Schedule'!$K$2:$K$825)), ROW(75:75))), "")</f>
        <v/>
      </c>
      <c r="P78" s="11" t="str">
        <f t="array" ref="P78">IFERROR(INDEX('Bank Schedule'!Q:Q, SMALL(IF('Bank Schedule'!$K$2:$K$825="Vacant", ROW('Bank Schedule'!$K$2:$K$825)), ROW(75:75))), "")</f>
        <v/>
      </c>
      <c r="Q78" s="11" t="str">
        <f t="array" ref="Q78">IFERROR(INDEX('Bank Schedule'!R:R, SMALL(IF('Bank Schedule'!$K$2:$K$825="Vacant", ROW('Bank Schedule'!$K$2:$K$825)), ROW(75:75))), "")</f>
        <v/>
      </c>
      <c r="R78" s="11" t="str">
        <f t="array" ref="R78">IFERROR(INDEX('Bank Schedule'!S:S, SMALL(IF('Bank Schedule'!$K$2:$K$825="Vacant", ROW('Bank Schedule'!$K$2:$K$825)), ROW(75:75))), "")</f>
        <v/>
      </c>
      <c r="S78" s="320" t="str">
        <f t="array" ref="S78">IFERROR(INDEX('Bank Schedule'!T:T, SMALL(IF('Bank Schedule'!$K$2:$K$825="Vacant", ROW('Bank Schedule'!$K$2:$K$825)), ROW(75:75))), "")</f>
        <v/>
      </c>
      <c r="T78" s="320" t="str">
        <f t="array" ref="T78">IFERROR(INDEX('Bank Schedule'!U:U, SMALL(IF('Bank Schedule'!$K$2:$K$825="Vacant", ROW('Bank Schedule'!$K$2:$K$825)), ROW(75:75))), "")</f>
        <v/>
      </c>
      <c r="U78" s="320" t="str">
        <f t="array" ref="U78">IFERROR(INDEX('Bank Schedule'!V:V, SMALL(IF('Bank Schedule'!$K$2:$K$825="Vacant", ROW('Bank Schedule'!$K$2:$K$825)), ROW(75:75))), "")</f>
        <v/>
      </c>
      <c r="V78" s="320" t="str">
        <f t="array" ref="V78">IFERROR(INDEX('Bank Schedule'!W:W, SMALL(IF('Bank Schedule'!$K$2:$K$825="Vacant", ROW('Bank Schedule'!$K$2:$K$825)), ROW(75:75))), "")</f>
        <v/>
      </c>
      <c r="W78" s="319" t="str">
        <f t="array" ref="W78">IFERROR(INDEX('Bank Schedule'!X:X, SMALL(IF('Bank Schedule'!$K$2:$K$825="Vacant", ROW('Bank Schedule'!$K$2:$K$825)), ROW(75:75))), "")</f>
        <v/>
      </c>
      <c r="X78" s="11" t="str">
        <f t="array" ref="X78">IFERROR(INDEX('Bank Schedule'!Y:Y, SMALL(IF('Bank Schedule'!$K$2:$K$825="Vacant", ROW('Bank Schedule'!$K$2:$K$825)), ROW(75:75))), "")</f>
        <v/>
      </c>
      <c r="Y78" s="11" t="str">
        <f t="array" ref="Y78">IFERROR(INDEX('Bank Schedule'!Z:Z, SMALL(IF('Bank Schedule'!$K$2:$K$825="Vacant", ROW('Bank Schedule'!$K$2:$K$825)), ROW(75:75))), "")</f>
        <v/>
      </c>
      <c r="Z78" s="11" t="str">
        <f t="array" ref="Z78">IFERROR(INDEX('Bank Schedule'!AA:AA, SMALL(IF('Bank Schedule'!$K$2:$K$825="Vacant", ROW('Bank Schedule'!$K$2:$K$825)), ROW(75:75))), "")</f>
        <v/>
      </c>
      <c r="AA78" s="11" t="str">
        <f t="array" ref="AA78">IFERROR(INDEX('Bank Schedule'!AB:AB, SMALL(IF('Bank Schedule'!$K$2:$K$825="Vacant", ROW('Bank Schedule'!$K$2:$K$825)), ROW(75:75))), "")</f>
        <v/>
      </c>
      <c r="AB78" s="25" t="str">
        <f t="array" ref="AB78">IFERROR(INDEX('Bank Schedule'!AC:AC, SMALL(IF('Bank Schedule'!$K$2:$K$825="Vacant", ROW('Bank Schedule'!$K$2:$K$825)), ROW(75:75))), "")</f>
        <v/>
      </c>
      <c r="AC78" s="299" t="str">
        <f t="array" ref="AC78">IFERROR(INDEX('Bank Schedule'!AD:AD, SMALL(IF('Bank Schedule'!$K$2:$K$825="Vacant", ROW('Bank Schedule'!$K$2:$K$825)), ROW(75:75))), "")</f>
        <v/>
      </c>
      <c r="AD78" s="11" t="str">
        <f t="array" ref="AD78">IFERROR(INDEX('Bank Schedule'!AE:AE, SMALL(IF('Bank Schedule'!$K$2:$K$825="Vacant", ROW('Bank Schedule'!$K$2:$K$825)), ROW(75:75))), "")</f>
        <v/>
      </c>
      <c r="AE78" s="11" t="str">
        <f t="array" ref="AE78">IFERROR(INDEX('Bank Schedule'!AF:AF, SMALL(IF('Bank Schedule'!$K$2:$K$825="Vacant", ROW('Bank Schedule'!$K$2:$K$825)), ROW(75:75))), "")</f>
        <v/>
      </c>
      <c r="AF78" s="11" t="str">
        <f t="array" ref="AF78">IFERROR(INDEX('Bank Schedule'!AG:AG, SMALL(IF('Bank Schedule'!$K$2:$K$825="Vacant", ROW('Bank Schedule'!$K$2:$K$825)), ROW(75:75))), "")</f>
        <v/>
      </c>
      <c r="AG78" s="4"/>
    </row>
    <row r="79" spans="1:33" ht="28.5" hidden="1" customHeight="1">
      <c r="A79" s="2" t="str">
        <f t="array" ref="A79">IFERROR(INDEX('Bank Schedule'!A:A, SMALL(IF('Bank Schedule'!$K$2:$K$825="Vacant", ROW('Bank Schedule'!$K$2:$K$825)), ROW(76:76))), "")</f>
        <v/>
      </c>
      <c r="B79" s="11" t="str">
        <f t="array" ref="B79">IFERROR(INDEX('Bank Schedule'!B:B, SMALL(IF('Bank Schedule'!$K$2:$K$825="Vacant", ROW('Bank Schedule'!$K$2:$K$825)), ROW(76:76))), "")</f>
        <v/>
      </c>
      <c r="C79" s="11" t="str">
        <f t="array" ref="C79">IFERROR(INDEX('Bank Schedule'!C:C, SMALL(IF('Bank Schedule'!$K$2:$K$825="Vacant", ROW('Bank Schedule'!$K$2:$K$825)), ROW(76:76))), "")</f>
        <v/>
      </c>
      <c r="D79" s="11" t="str">
        <f t="array" ref="D79">IFERROR(INDEX('Bank Schedule'!D:D, SMALL(IF('Bank Schedule'!$K$2:$K$825="Vacant", ROW('Bank Schedule'!$K$2:$K$825)), ROW(76:76))), "")</f>
        <v/>
      </c>
      <c r="E79" s="25" t="str">
        <f t="array" ref="E79">IFERROR(INDEX('Bank Schedule'!E:E, SMALL(IF('Bank Schedule'!$K$2:$K$825="Vacant", ROW('Bank Schedule'!$K$2:$K$825)), ROW(76:76))), "")</f>
        <v/>
      </c>
      <c r="F79" s="25" t="str">
        <f t="array" ref="F79">IFERROR(INDEX('Bank Schedule'!F:F, SMALL(IF('Bank Schedule'!$K$2:$K$825="Vacant", ROW('Bank Schedule'!$K$2:$K$825)), ROW(76:76))), "")</f>
        <v/>
      </c>
      <c r="G79" s="25" t="str">
        <f t="array" ref="G79">IFERROR(INDEX('Bank Schedule'!G:G, SMALL(IF('Bank Schedule'!$K$2:$K$825="Vacant", ROW('Bank Schedule'!$K$2:$K$825)), ROW(76:76))), "")</f>
        <v/>
      </c>
      <c r="H79" s="55" t="str">
        <f t="array" ref="H79">IFERROR(INDEX('Bank Schedule'!H:H, SMALL(IF('Bank Schedule'!$K$2:$K$825="Vacant", ROW('Bank Schedule'!$K$2:$K$825)), ROW(76:76))), "")</f>
        <v/>
      </c>
      <c r="I79" s="55" t="str">
        <f t="array" ref="I79">IFERROR(INDEX('Bank Schedule'!I:I, SMALL(IF('Bank Schedule'!$K$2:$K$825="Vacant", ROW('Bank Schedule'!$K$2:$K$825)), ROW(76:76))), "")</f>
        <v/>
      </c>
      <c r="J79" s="11" t="str">
        <f t="array" ref="J79">IFERROR(INDEX('Bank Schedule'!K:K, SMALL(IF('Bank Schedule'!$K$2:$K$825="Vacant", ROW('Bank Schedule'!$K$2:$K$825)), ROW(76:76))), "")</f>
        <v/>
      </c>
      <c r="K79" s="11" t="str">
        <f t="array" ref="K79">IFERROR(INDEX('Bank Schedule'!L:L, SMALL(IF('Bank Schedule'!$K$2:$K$825="Vacant", ROW('Bank Schedule'!$K$2:$K$825)), ROW(76:76))), "")</f>
        <v/>
      </c>
      <c r="L79" s="11" t="str">
        <f t="array" ref="L79">IFERROR(INDEX('Bank Schedule'!M:M, SMALL(IF('Bank Schedule'!$K$2:$K$825="Vacant", ROW('Bank Schedule'!$K$2:$K$825)), ROW(76:76))), "")</f>
        <v/>
      </c>
      <c r="M79" s="106" t="str">
        <f t="array" ref="M79">IFERROR(INDEX('Bank Schedule'!N:N, SMALL(IF('Bank Schedule'!$K$2:$K$825="Vacant", ROW('Bank Schedule'!$K$2:$K$825)), ROW(76:76))), "")</f>
        <v/>
      </c>
      <c r="N79" s="11" t="str">
        <f t="array" ref="N79">IFERROR(INDEX('Bank Schedule'!O:O, SMALL(IF('Bank Schedule'!$K$2:$K$825="Vacant", ROW('Bank Schedule'!$K$2:$K$825)), ROW(76:76))), "")</f>
        <v/>
      </c>
      <c r="O79" s="11" t="str">
        <f t="array" ref="O79">IFERROR(INDEX('Bank Schedule'!P:P, SMALL(IF('Bank Schedule'!$K$2:$K$825="Vacant", ROW('Bank Schedule'!$K$2:$K$825)), ROW(76:76))), "")</f>
        <v/>
      </c>
      <c r="P79" s="11" t="str">
        <f t="array" ref="P79">IFERROR(INDEX('Bank Schedule'!Q:Q, SMALL(IF('Bank Schedule'!$K$2:$K$825="Vacant", ROW('Bank Schedule'!$K$2:$K$825)), ROW(76:76))), "")</f>
        <v/>
      </c>
      <c r="Q79" s="11" t="str">
        <f t="array" ref="Q79">IFERROR(INDEX('Bank Schedule'!R:R, SMALL(IF('Bank Schedule'!$K$2:$K$825="Vacant", ROW('Bank Schedule'!$K$2:$K$825)), ROW(76:76))), "")</f>
        <v/>
      </c>
      <c r="R79" s="11" t="str">
        <f t="array" ref="R79">IFERROR(INDEX('Bank Schedule'!S:S, SMALL(IF('Bank Schedule'!$K$2:$K$825="Vacant", ROW('Bank Schedule'!$K$2:$K$825)), ROW(76:76))), "")</f>
        <v/>
      </c>
      <c r="S79" s="320" t="str">
        <f t="array" ref="S79">IFERROR(INDEX('Bank Schedule'!T:T, SMALL(IF('Bank Schedule'!$K$2:$K$825="Vacant", ROW('Bank Schedule'!$K$2:$K$825)), ROW(76:76))), "")</f>
        <v/>
      </c>
      <c r="T79" s="320" t="str">
        <f t="array" ref="T79">IFERROR(INDEX('Bank Schedule'!U:U, SMALL(IF('Bank Schedule'!$K$2:$K$825="Vacant", ROW('Bank Schedule'!$K$2:$K$825)), ROW(76:76))), "")</f>
        <v/>
      </c>
      <c r="U79" s="320" t="str">
        <f t="array" ref="U79">IFERROR(INDEX('Bank Schedule'!V:V, SMALL(IF('Bank Schedule'!$K$2:$K$825="Vacant", ROW('Bank Schedule'!$K$2:$K$825)), ROW(76:76))), "")</f>
        <v/>
      </c>
      <c r="V79" s="320" t="str">
        <f t="array" ref="V79">IFERROR(INDEX('Bank Schedule'!W:W, SMALL(IF('Bank Schedule'!$K$2:$K$825="Vacant", ROW('Bank Schedule'!$K$2:$K$825)), ROW(76:76))), "")</f>
        <v/>
      </c>
      <c r="W79" s="319" t="str">
        <f t="array" ref="W79">IFERROR(INDEX('Bank Schedule'!X:X, SMALL(IF('Bank Schedule'!$K$2:$K$825="Vacant", ROW('Bank Schedule'!$K$2:$K$825)), ROW(76:76))), "")</f>
        <v/>
      </c>
      <c r="X79" s="11" t="str">
        <f t="array" ref="X79">IFERROR(INDEX('Bank Schedule'!Y:Y, SMALL(IF('Bank Schedule'!$K$2:$K$825="Vacant", ROW('Bank Schedule'!$K$2:$K$825)), ROW(76:76))), "")</f>
        <v/>
      </c>
      <c r="Y79" s="11" t="str">
        <f t="array" ref="Y79">IFERROR(INDEX('Bank Schedule'!Z:Z, SMALL(IF('Bank Schedule'!$K$2:$K$825="Vacant", ROW('Bank Schedule'!$K$2:$K$825)), ROW(76:76))), "")</f>
        <v/>
      </c>
      <c r="Z79" s="11" t="str">
        <f t="array" ref="Z79">IFERROR(INDEX('Bank Schedule'!AA:AA, SMALL(IF('Bank Schedule'!$K$2:$K$825="Vacant", ROW('Bank Schedule'!$K$2:$K$825)), ROW(76:76))), "")</f>
        <v/>
      </c>
      <c r="AA79" s="11" t="str">
        <f t="array" ref="AA79">IFERROR(INDEX('Bank Schedule'!AB:AB, SMALL(IF('Bank Schedule'!$K$2:$K$825="Vacant", ROW('Bank Schedule'!$K$2:$K$825)), ROW(76:76))), "")</f>
        <v/>
      </c>
      <c r="AB79" s="25" t="str">
        <f t="array" ref="AB79">IFERROR(INDEX('Bank Schedule'!AC:AC, SMALL(IF('Bank Schedule'!$K$2:$K$825="Vacant", ROW('Bank Schedule'!$K$2:$K$825)), ROW(76:76))), "")</f>
        <v/>
      </c>
      <c r="AC79" s="299" t="str">
        <f t="array" ref="AC79">IFERROR(INDEX('Bank Schedule'!AD:AD, SMALL(IF('Bank Schedule'!$K$2:$K$825="Vacant", ROW('Bank Schedule'!$K$2:$K$825)), ROW(76:76))), "")</f>
        <v/>
      </c>
      <c r="AD79" s="11" t="str">
        <f t="array" ref="AD79">IFERROR(INDEX('Bank Schedule'!AE:AE, SMALL(IF('Bank Schedule'!$K$2:$K$825="Vacant", ROW('Bank Schedule'!$K$2:$K$825)), ROW(76:76))), "")</f>
        <v/>
      </c>
      <c r="AE79" s="11" t="str">
        <f t="array" ref="AE79">IFERROR(INDEX('Bank Schedule'!AF:AF, SMALL(IF('Bank Schedule'!$K$2:$K$825="Vacant", ROW('Bank Schedule'!$K$2:$K$825)), ROW(76:76))), "")</f>
        <v/>
      </c>
      <c r="AF79" s="11" t="str">
        <f t="array" ref="AF79">IFERROR(INDEX('Bank Schedule'!AG:AG, SMALL(IF('Bank Schedule'!$K$2:$K$825="Vacant", ROW('Bank Schedule'!$K$2:$K$825)), ROW(76:76))), "")</f>
        <v/>
      </c>
      <c r="AG79" s="4"/>
    </row>
    <row r="80" spans="1:33" ht="28.5" hidden="1" customHeight="1">
      <c r="A80" s="2" t="str">
        <f t="array" ref="A80">IFERROR(INDEX('Bank Schedule'!A:A, SMALL(IF('Bank Schedule'!$K$2:$K$825="Vacant", ROW('Bank Schedule'!$K$2:$K$825)), ROW(77:77))), "")</f>
        <v/>
      </c>
      <c r="B80" s="11" t="str">
        <f t="array" ref="B80">IFERROR(INDEX('Bank Schedule'!B:B, SMALL(IF('Bank Schedule'!$K$2:$K$825="Vacant", ROW('Bank Schedule'!$K$2:$K$825)), ROW(77:77))), "")</f>
        <v/>
      </c>
      <c r="C80" s="11" t="str">
        <f t="array" ref="C80">IFERROR(INDEX('Bank Schedule'!C:C, SMALL(IF('Bank Schedule'!$K$2:$K$825="Vacant", ROW('Bank Schedule'!$K$2:$K$825)), ROW(77:77))), "")</f>
        <v/>
      </c>
      <c r="D80" s="11" t="str">
        <f t="array" ref="D80">IFERROR(INDEX('Bank Schedule'!D:D, SMALL(IF('Bank Schedule'!$K$2:$K$825="Vacant", ROW('Bank Schedule'!$K$2:$K$825)), ROW(77:77))), "")</f>
        <v/>
      </c>
      <c r="E80" s="25" t="str">
        <f t="array" ref="E80">IFERROR(INDEX('Bank Schedule'!E:E, SMALL(IF('Bank Schedule'!$K$2:$K$825="Vacant", ROW('Bank Schedule'!$K$2:$K$825)), ROW(77:77))), "")</f>
        <v/>
      </c>
      <c r="F80" s="25" t="str">
        <f t="array" ref="F80">IFERROR(INDEX('Bank Schedule'!F:F, SMALL(IF('Bank Schedule'!$K$2:$K$825="Vacant", ROW('Bank Schedule'!$K$2:$K$825)), ROW(77:77))), "")</f>
        <v/>
      </c>
      <c r="G80" s="25" t="str">
        <f t="array" ref="G80">IFERROR(INDEX('Bank Schedule'!G:G, SMALL(IF('Bank Schedule'!$K$2:$K$825="Vacant", ROW('Bank Schedule'!$K$2:$K$825)), ROW(77:77))), "")</f>
        <v/>
      </c>
      <c r="H80" s="55" t="str">
        <f t="array" ref="H80">IFERROR(INDEX('Bank Schedule'!H:H, SMALL(IF('Bank Schedule'!$K$2:$K$825="Vacant", ROW('Bank Schedule'!$K$2:$K$825)), ROW(77:77))), "")</f>
        <v/>
      </c>
      <c r="I80" s="55" t="str">
        <f t="array" ref="I80">IFERROR(INDEX('Bank Schedule'!I:I, SMALL(IF('Bank Schedule'!$K$2:$K$825="Vacant", ROW('Bank Schedule'!$K$2:$K$825)), ROW(77:77))), "")</f>
        <v/>
      </c>
      <c r="J80" s="11" t="str">
        <f t="array" ref="J80">IFERROR(INDEX('Bank Schedule'!K:K, SMALL(IF('Bank Schedule'!$K$2:$K$825="Vacant", ROW('Bank Schedule'!$K$2:$K$825)), ROW(77:77))), "")</f>
        <v/>
      </c>
      <c r="K80" s="11" t="str">
        <f t="array" ref="K80">IFERROR(INDEX('Bank Schedule'!L:L, SMALL(IF('Bank Schedule'!$K$2:$K$825="Vacant", ROW('Bank Schedule'!$K$2:$K$825)), ROW(77:77))), "")</f>
        <v/>
      </c>
      <c r="L80" s="11" t="str">
        <f t="array" ref="L80">IFERROR(INDEX('Bank Schedule'!M:M, SMALL(IF('Bank Schedule'!$K$2:$K$825="Vacant", ROW('Bank Schedule'!$K$2:$K$825)), ROW(77:77))), "")</f>
        <v/>
      </c>
      <c r="M80" s="106" t="str">
        <f t="array" ref="M80">IFERROR(INDEX('Bank Schedule'!N:N, SMALL(IF('Bank Schedule'!$K$2:$K$825="Vacant", ROW('Bank Schedule'!$K$2:$K$825)), ROW(77:77))), "")</f>
        <v/>
      </c>
      <c r="N80" s="11" t="str">
        <f t="array" ref="N80">IFERROR(INDEX('Bank Schedule'!O:O, SMALL(IF('Bank Schedule'!$K$2:$K$825="Vacant", ROW('Bank Schedule'!$K$2:$K$825)), ROW(77:77))), "")</f>
        <v/>
      </c>
      <c r="O80" s="11" t="str">
        <f t="array" ref="O80">IFERROR(INDEX('Bank Schedule'!P:P, SMALL(IF('Bank Schedule'!$K$2:$K$825="Vacant", ROW('Bank Schedule'!$K$2:$K$825)), ROW(77:77))), "")</f>
        <v/>
      </c>
      <c r="P80" s="11" t="str">
        <f t="array" ref="P80">IFERROR(INDEX('Bank Schedule'!Q:Q, SMALL(IF('Bank Schedule'!$K$2:$K$825="Vacant", ROW('Bank Schedule'!$K$2:$K$825)), ROW(77:77))), "")</f>
        <v/>
      </c>
      <c r="Q80" s="11" t="str">
        <f t="array" ref="Q80">IFERROR(INDEX('Bank Schedule'!R:R, SMALL(IF('Bank Schedule'!$K$2:$K$825="Vacant", ROW('Bank Schedule'!$K$2:$K$825)), ROW(77:77))), "")</f>
        <v/>
      </c>
      <c r="R80" s="11" t="str">
        <f t="array" ref="R80">IFERROR(INDEX('Bank Schedule'!S:S, SMALL(IF('Bank Schedule'!$K$2:$K$825="Vacant", ROW('Bank Schedule'!$K$2:$K$825)), ROW(77:77))), "")</f>
        <v/>
      </c>
      <c r="S80" s="320" t="str">
        <f t="array" ref="S80">IFERROR(INDEX('Bank Schedule'!T:T, SMALL(IF('Bank Schedule'!$K$2:$K$825="Vacant", ROW('Bank Schedule'!$K$2:$K$825)), ROW(77:77))), "")</f>
        <v/>
      </c>
      <c r="T80" s="320" t="str">
        <f t="array" ref="T80">IFERROR(INDEX('Bank Schedule'!U:U, SMALL(IF('Bank Schedule'!$K$2:$K$825="Vacant", ROW('Bank Schedule'!$K$2:$K$825)), ROW(77:77))), "")</f>
        <v/>
      </c>
      <c r="U80" s="320" t="str">
        <f t="array" ref="U80">IFERROR(INDEX('Bank Schedule'!V:V, SMALL(IF('Bank Schedule'!$K$2:$K$825="Vacant", ROW('Bank Schedule'!$K$2:$K$825)), ROW(77:77))), "")</f>
        <v/>
      </c>
      <c r="V80" s="320" t="str">
        <f t="array" ref="V80">IFERROR(INDEX('Bank Schedule'!W:W, SMALL(IF('Bank Schedule'!$K$2:$K$825="Vacant", ROW('Bank Schedule'!$K$2:$K$825)), ROW(77:77))), "")</f>
        <v/>
      </c>
      <c r="W80" s="319" t="str">
        <f t="array" ref="W80">IFERROR(INDEX('Bank Schedule'!X:X, SMALL(IF('Bank Schedule'!$K$2:$K$825="Vacant", ROW('Bank Schedule'!$K$2:$K$825)), ROW(77:77))), "")</f>
        <v/>
      </c>
      <c r="X80" s="11" t="str">
        <f t="array" ref="X80">IFERROR(INDEX('Bank Schedule'!Y:Y, SMALL(IF('Bank Schedule'!$K$2:$K$825="Vacant", ROW('Bank Schedule'!$K$2:$K$825)), ROW(77:77))), "")</f>
        <v/>
      </c>
      <c r="Y80" s="11" t="str">
        <f t="array" ref="Y80">IFERROR(INDEX('Bank Schedule'!Z:Z, SMALL(IF('Bank Schedule'!$K$2:$K$825="Vacant", ROW('Bank Schedule'!$K$2:$K$825)), ROW(77:77))), "")</f>
        <v/>
      </c>
      <c r="Z80" s="11" t="str">
        <f t="array" ref="Z80">IFERROR(INDEX('Bank Schedule'!AA:AA, SMALL(IF('Bank Schedule'!$K$2:$K$825="Vacant", ROW('Bank Schedule'!$K$2:$K$825)), ROW(77:77))), "")</f>
        <v/>
      </c>
      <c r="AA80" s="11" t="str">
        <f t="array" ref="AA80">IFERROR(INDEX('Bank Schedule'!AB:AB, SMALL(IF('Bank Schedule'!$K$2:$K$825="Vacant", ROW('Bank Schedule'!$K$2:$K$825)), ROW(77:77))), "")</f>
        <v/>
      </c>
      <c r="AB80" s="25" t="str">
        <f t="array" ref="AB80">IFERROR(INDEX('Bank Schedule'!AC:AC, SMALL(IF('Bank Schedule'!$K$2:$K$825="Vacant", ROW('Bank Schedule'!$K$2:$K$825)), ROW(77:77))), "")</f>
        <v/>
      </c>
      <c r="AC80" s="299" t="str">
        <f t="array" ref="AC80">IFERROR(INDEX('Bank Schedule'!AD:AD, SMALL(IF('Bank Schedule'!$K$2:$K$825="Vacant", ROW('Bank Schedule'!$K$2:$K$825)), ROW(77:77))), "")</f>
        <v/>
      </c>
      <c r="AD80" s="11" t="str">
        <f t="array" ref="AD80">IFERROR(INDEX('Bank Schedule'!AE:AE, SMALL(IF('Bank Schedule'!$K$2:$K$825="Vacant", ROW('Bank Schedule'!$K$2:$K$825)), ROW(77:77))), "")</f>
        <v/>
      </c>
      <c r="AE80" s="11" t="str">
        <f t="array" ref="AE80">IFERROR(INDEX('Bank Schedule'!AF:AF, SMALL(IF('Bank Schedule'!$K$2:$K$825="Vacant", ROW('Bank Schedule'!$K$2:$K$825)), ROW(77:77))), "")</f>
        <v/>
      </c>
      <c r="AF80" s="11" t="str">
        <f t="array" ref="AF80">IFERROR(INDEX('Bank Schedule'!AG:AG, SMALL(IF('Bank Schedule'!$K$2:$K$825="Vacant", ROW('Bank Schedule'!$K$2:$K$825)), ROW(77:77))), "")</f>
        <v/>
      </c>
      <c r="AG80" s="4"/>
    </row>
    <row r="81" spans="1:33" ht="28.5" customHeight="1">
      <c r="A81" s="2" t="str">
        <f t="array" ref="A81">IFERROR(INDEX('Bank Schedule'!A:A, SMALL(IF('Bank Schedule'!$K$2:$K$825="Vacant", ROW('Bank Schedule'!$K$2:$K$825)), ROW(78:78))), "")</f>
        <v/>
      </c>
      <c r="B81" s="11" t="str">
        <f t="array" ref="B81">IFERROR(INDEX('Bank Schedule'!B:B, SMALL(IF('Bank Schedule'!$K$2:$K$825="Vacant", ROW('Bank Schedule'!$K$2:$K$825)), ROW(78:78))), "")</f>
        <v/>
      </c>
      <c r="C81" s="11" t="str">
        <f t="array" ref="C81">IFERROR(INDEX('Bank Schedule'!C:C, SMALL(IF('Bank Schedule'!$K$2:$K$825="Vacant", ROW('Bank Schedule'!$K$2:$K$825)), ROW(78:78))), "")</f>
        <v/>
      </c>
      <c r="D81" s="11" t="str">
        <f t="array" ref="D81">IFERROR(INDEX('Bank Schedule'!D:D, SMALL(IF('Bank Schedule'!$K$2:$K$825="Vacant", ROW('Bank Schedule'!$K$2:$K$825)), ROW(78:78))), "")</f>
        <v/>
      </c>
      <c r="E81" s="25" t="str">
        <f t="array" ref="E81">IFERROR(INDEX('Bank Schedule'!E:E, SMALL(IF('Bank Schedule'!$K$2:$K$825="Vacant", ROW('Bank Schedule'!$K$2:$K$825)), ROW(78:78))), "")</f>
        <v/>
      </c>
      <c r="F81" s="25" t="str">
        <f t="array" ref="F81">IFERROR(INDEX('Bank Schedule'!F:F, SMALL(IF('Bank Schedule'!$K$2:$K$825="Vacant", ROW('Bank Schedule'!$K$2:$K$825)), ROW(78:78))), "")</f>
        <v/>
      </c>
      <c r="G81" s="25" t="str">
        <f t="array" ref="G81">IFERROR(INDEX('Bank Schedule'!G:G, SMALL(IF('Bank Schedule'!$K$2:$K$825="Vacant", ROW('Bank Schedule'!$K$2:$K$825)), ROW(78:78))), "")</f>
        <v/>
      </c>
      <c r="H81" s="55" t="str">
        <f t="array" ref="H81">IFERROR(INDEX('Bank Schedule'!H:H, SMALL(IF('Bank Schedule'!$K$2:$K$825="Vacant", ROW('Bank Schedule'!$K$2:$K$825)), ROW(78:78))), "")</f>
        <v/>
      </c>
      <c r="I81" s="55" t="str">
        <f t="array" ref="I81">IFERROR(INDEX('Bank Schedule'!I:I, SMALL(IF('Bank Schedule'!$K$2:$K$825="Vacant", ROW('Bank Schedule'!$K$2:$K$825)), ROW(78:78))), "")</f>
        <v/>
      </c>
      <c r="J81" s="11" t="str">
        <f t="array" ref="J81">IFERROR(INDEX('Bank Schedule'!K:K, SMALL(IF('Bank Schedule'!$K$2:$K$825="Vacant", ROW('Bank Schedule'!$K$2:$K$825)), ROW(78:78))), "")</f>
        <v/>
      </c>
      <c r="K81" s="11" t="str">
        <f t="array" ref="K81">IFERROR(INDEX('Bank Schedule'!L:L, SMALL(IF('Bank Schedule'!$K$2:$K$825="Vacant", ROW('Bank Schedule'!$K$2:$K$825)), ROW(78:78))), "")</f>
        <v/>
      </c>
      <c r="L81" s="11" t="str">
        <f t="array" ref="L81">IFERROR(INDEX('Bank Schedule'!M:M, SMALL(IF('Bank Schedule'!$K$2:$K$825="Vacant", ROW('Bank Schedule'!$K$2:$K$825)), ROW(78:78))), "")</f>
        <v/>
      </c>
      <c r="M81" s="106" t="str">
        <f t="array" ref="M81">IFERROR(INDEX('Bank Schedule'!N:N, SMALL(IF('Bank Schedule'!$K$2:$K$825="Vacant", ROW('Bank Schedule'!$K$2:$K$825)), ROW(78:78))), "")</f>
        <v/>
      </c>
      <c r="N81" s="11" t="str">
        <f t="array" ref="N81">IFERROR(INDEX('Bank Schedule'!O:O, SMALL(IF('Bank Schedule'!$K$2:$K$825="Vacant", ROW('Bank Schedule'!$K$2:$K$825)), ROW(78:78))), "")</f>
        <v/>
      </c>
      <c r="O81" s="11" t="str">
        <f t="array" ref="O81">IFERROR(INDEX('Bank Schedule'!P:P, SMALL(IF('Bank Schedule'!$K$2:$K$825="Vacant", ROW('Bank Schedule'!$K$2:$K$825)), ROW(78:78))), "")</f>
        <v/>
      </c>
      <c r="P81" s="11" t="str">
        <f t="array" ref="P81">IFERROR(INDEX('Bank Schedule'!Q:Q, SMALL(IF('Bank Schedule'!$K$2:$K$825="Vacant", ROW('Bank Schedule'!$K$2:$K$825)), ROW(78:78))), "")</f>
        <v/>
      </c>
      <c r="Q81" s="11" t="str">
        <f t="array" ref="Q81">IFERROR(INDEX('Bank Schedule'!R:R, SMALL(IF('Bank Schedule'!$K$2:$K$825="Vacant", ROW('Bank Schedule'!$K$2:$K$825)), ROW(78:78))), "")</f>
        <v/>
      </c>
      <c r="R81" s="11" t="str">
        <f t="array" ref="R81">IFERROR(INDEX('Bank Schedule'!S:S, SMALL(IF('Bank Schedule'!$K$2:$K$825="Vacant", ROW('Bank Schedule'!$K$2:$K$825)), ROW(78:78))), "")</f>
        <v/>
      </c>
      <c r="S81" s="320" t="str">
        <f t="array" ref="S81">IFERROR(INDEX('Bank Schedule'!T:T, SMALL(IF('Bank Schedule'!$K$2:$K$825="Vacant", ROW('Bank Schedule'!$K$2:$K$825)), ROW(78:78))), "")</f>
        <v/>
      </c>
      <c r="T81" s="320" t="str">
        <f t="array" ref="T81">IFERROR(INDEX('Bank Schedule'!U:U, SMALL(IF('Bank Schedule'!$K$2:$K$825="Vacant", ROW('Bank Schedule'!$K$2:$K$825)), ROW(78:78))), "")</f>
        <v/>
      </c>
      <c r="U81" s="320" t="str">
        <f t="array" ref="U81">IFERROR(INDEX('Bank Schedule'!V:V, SMALL(IF('Bank Schedule'!$K$2:$K$825="Vacant", ROW('Bank Schedule'!$K$2:$K$825)), ROW(78:78))), "")</f>
        <v/>
      </c>
      <c r="V81" s="320" t="str">
        <f t="array" ref="V81">IFERROR(INDEX('Bank Schedule'!W:W, SMALL(IF('Bank Schedule'!$K$2:$K$825="Vacant", ROW('Bank Schedule'!$K$2:$K$825)), ROW(78:78))), "")</f>
        <v/>
      </c>
      <c r="W81" s="319" t="str">
        <f t="array" ref="W81">IFERROR(INDEX('Bank Schedule'!X:X, SMALL(IF('Bank Schedule'!$K$2:$K$825="Vacant", ROW('Bank Schedule'!$K$2:$K$825)), ROW(78:78))), "")</f>
        <v/>
      </c>
      <c r="X81" s="11" t="str">
        <f t="array" ref="X81">IFERROR(INDEX('Bank Schedule'!Y:Y, SMALL(IF('Bank Schedule'!$K$2:$K$825="Vacant", ROW('Bank Schedule'!$K$2:$K$825)), ROW(78:78))), "")</f>
        <v/>
      </c>
      <c r="Y81" s="11" t="str">
        <f t="array" ref="Y81">IFERROR(INDEX('Bank Schedule'!Z:Z, SMALL(IF('Bank Schedule'!$K$2:$K$825="Vacant", ROW('Bank Schedule'!$K$2:$K$825)), ROW(78:78))), "")</f>
        <v/>
      </c>
      <c r="Z81" s="11" t="str">
        <f t="array" ref="Z81">IFERROR(INDEX('Bank Schedule'!AA:AA, SMALL(IF('Bank Schedule'!$K$2:$K$825="Vacant", ROW('Bank Schedule'!$K$2:$K$825)), ROW(78:78))), "")</f>
        <v/>
      </c>
      <c r="AA81" s="11" t="str">
        <f t="array" ref="AA81">IFERROR(INDEX('Bank Schedule'!AB:AB, SMALL(IF('Bank Schedule'!$K$2:$K$825="Vacant", ROW('Bank Schedule'!$K$2:$K$825)), ROW(78:78))), "")</f>
        <v/>
      </c>
      <c r="AB81" s="25" t="str">
        <f t="array" ref="AB81">IFERROR(INDEX('Bank Schedule'!AC:AC, SMALL(IF('Bank Schedule'!$K$2:$K$825="Vacant", ROW('Bank Schedule'!$K$2:$K$825)), ROW(78:78))), "")</f>
        <v/>
      </c>
      <c r="AC81" s="299" t="str">
        <f t="array" ref="AC81">IFERROR(INDEX('Bank Schedule'!AD:AD, SMALL(IF('Bank Schedule'!$K$2:$K$825="Vacant", ROW('Bank Schedule'!$K$2:$K$825)), ROW(78:78))), "")</f>
        <v/>
      </c>
      <c r="AD81" s="11" t="str">
        <f t="array" ref="AD81">IFERROR(INDEX('Bank Schedule'!AE:AE, SMALL(IF('Bank Schedule'!$K$2:$K$825="Vacant", ROW('Bank Schedule'!$K$2:$K$825)), ROW(78:78))), "")</f>
        <v/>
      </c>
      <c r="AE81" s="11" t="str">
        <f t="array" ref="AE81">IFERROR(INDEX('Bank Schedule'!AF:AF, SMALL(IF('Bank Schedule'!$K$2:$K$825="Vacant", ROW('Bank Schedule'!$K$2:$K$825)), ROW(78:78))), "")</f>
        <v/>
      </c>
      <c r="AF81" s="11" t="str">
        <f t="array" ref="AF81">IFERROR(INDEX('Bank Schedule'!AG:AG, SMALL(IF('Bank Schedule'!$K$2:$K$825="Vacant", ROW('Bank Schedule'!$K$2:$K$825)), ROW(78:78))), "")</f>
        <v/>
      </c>
      <c r="AG81" s="4"/>
    </row>
    <row r="82" spans="1:33" ht="28.5" hidden="1" customHeight="1">
      <c r="A82" s="2" t="str">
        <f t="array" ref="A82">IFERROR(INDEX('Bank Schedule'!A:A, SMALL(IF('Bank Schedule'!$K$2:$K$825="Vacant", ROW('Bank Schedule'!$K$2:$K$825)), ROW(79:79))), "")</f>
        <v/>
      </c>
      <c r="B82" s="11" t="str">
        <f t="array" ref="B82">IFERROR(INDEX('Bank Schedule'!B:B, SMALL(IF('Bank Schedule'!$K$2:$K$825="Vacant", ROW('Bank Schedule'!$K$2:$K$825)), ROW(79:79))), "")</f>
        <v/>
      </c>
      <c r="C82" s="11" t="str">
        <f t="array" ref="C82">IFERROR(INDEX('Bank Schedule'!C:C, SMALL(IF('Bank Schedule'!$K$2:$K$825="Vacant", ROW('Bank Schedule'!$K$2:$K$825)), ROW(79:79))), "")</f>
        <v/>
      </c>
      <c r="D82" s="11" t="str">
        <f t="array" ref="D82">IFERROR(INDEX('Bank Schedule'!D:D, SMALL(IF('Bank Schedule'!$K$2:$K$825="Vacant", ROW('Bank Schedule'!$K$2:$K$825)), ROW(79:79))), "")</f>
        <v/>
      </c>
      <c r="E82" s="25" t="str">
        <f t="array" ref="E82">IFERROR(INDEX('Bank Schedule'!E:E, SMALL(IF('Bank Schedule'!$K$2:$K$825="Vacant", ROW('Bank Schedule'!$K$2:$K$825)), ROW(79:79))), "")</f>
        <v/>
      </c>
      <c r="F82" s="25" t="str">
        <f t="array" ref="F82">IFERROR(INDEX('Bank Schedule'!F:F, SMALL(IF('Bank Schedule'!$K$2:$K$825="Vacant", ROW('Bank Schedule'!$K$2:$K$825)), ROW(79:79))), "")</f>
        <v/>
      </c>
      <c r="G82" s="25" t="str">
        <f t="array" ref="G82">IFERROR(INDEX('Bank Schedule'!G:G, SMALL(IF('Bank Schedule'!$K$2:$K$825="Vacant", ROW('Bank Schedule'!$K$2:$K$825)), ROW(79:79))), "")</f>
        <v/>
      </c>
      <c r="H82" s="55" t="str">
        <f t="array" ref="H82">IFERROR(INDEX('Bank Schedule'!H:H, SMALL(IF('Bank Schedule'!$K$2:$K$825="Vacant", ROW('Bank Schedule'!$K$2:$K$825)), ROW(79:79))), "")</f>
        <v/>
      </c>
      <c r="I82" s="55" t="str">
        <f t="array" ref="I82">IFERROR(INDEX('Bank Schedule'!I:I, SMALL(IF('Bank Schedule'!$K$2:$K$825="Vacant", ROW('Bank Schedule'!$K$2:$K$825)), ROW(79:79))), "")</f>
        <v/>
      </c>
      <c r="J82" s="11" t="str">
        <f t="array" ref="J82">IFERROR(INDEX('Bank Schedule'!K:K, SMALL(IF('Bank Schedule'!$K$2:$K$825="Vacant", ROW('Bank Schedule'!$K$2:$K$825)), ROW(79:79))), "")</f>
        <v/>
      </c>
      <c r="K82" s="11" t="str">
        <f t="array" ref="K82">IFERROR(INDEX('Bank Schedule'!L:L, SMALL(IF('Bank Schedule'!$K$2:$K$825="Vacant", ROW('Bank Schedule'!$K$2:$K$825)), ROW(79:79))), "")</f>
        <v/>
      </c>
      <c r="L82" s="11" t="str">
        <f t="array" ref="L82">IFERROR(INDEX('Bank Schedule'!M:M, SMALL(IF('Bank Schedule'!$K$2:$K$825="Vacant", ROW('Bank Schedule'!$K$2:$K$825)), ROW(79:79))), "")</f>
        <v/>
      </c>
      <c r="M82" s="106" t="str">
        <f t="array" ref="M82">IFERROR(INDEX('Bank Schedule'!N:N, SMALL(IF('Bank Schedule'!$K$2:$K$825="Vacant", ROW('Bank Schedule'!$K$2:$K$825)), ROW(79:79))), "")</f>
        <v/>
      </c>
      <c r="N82" s="11" t="str">
        <f t="array" ref="N82">IFERROR(INDEX('Bank Schedule'!O:O, SMALL(IF('Bank Schedule'!$K$2:$K$825="Vacant", ROW('Bank Schedule'!$K$2:$K$825)), ROW(79:79))), "")</f>
        <v/>
      </c>
      <c r="O82" s="11" t="str">
        <f t="array" ref="O82">IFERROR(INDEX('Bank Schedule'!P:P, SMALL(IF('Bank Schedule'!$K$2:$K$825="Vacant", ROW('Bank Schedule'!$K$2:$K$825)), ROW(79:79))), "")</f>
        <v/>
      </c>
      <c r="P82" s="11" t="str">
        <f t="array" ref="P82">IFERROR(INDEX('Bank Schedule'!Q:Q, SMALL(IF('Bank Schedule'!$K$2:$K$825="Vacant", ROW('Bank Schedule'!$K$2:$K$825)), ROW(79:79))), "")</f>
        <v/>
      </c>
      <c r="Q82" s="11" t="str">
        <f t="array" ref="Q82">IFERROR(INDEX('Bank Schedule'!R:R, SMALL(IF('Bank Schedule'!$K$2:$K$825="Vacant", ROW('Bank Schedule'!$K$2:$K$825)), ROW(79:79))), "")</f>
        <v/>
      </c>
      <c r="R82" s="11" t="str">
        <f t="array" ref="R82">IFERROR(INDEX('Bank Schedule'!S:S, SMALL(IF('Bank Schedule'!$K$2:$K$825="Vacant", ROW('Bank Schedule'!$K$2:$K$825)), ROW(79:79))), "")</f>
        <v/>
      </c>
      <c r="S82" s="320" t="str">
        <f t="array" ref="S82">IFERROR(INDEX('Bank Schedule'!T:T, SMALL(IF('Bank Schedule'!$K$2:$K$825="Vacant", ROW('Bank Schedule'!$K$2:$K$825)), ROW(79:79))), "")</f>
        <v/>
      </c>
      <c r="T82" s="320" t="str">
        <f t="array" ref="T82">IFERROR(INDEX('Bank Schedule'!U:U, SMALL(IF('Bank Schedule'!$K$2:$K$825="Vacant", ROW('Bank Schedule'!$K$2:$K$825)), ROW(79:79))), "")</f>
        <v/>
      </c>
      <c r="U82" s="320" t="str">
        <f t="array" ref="U82">IFERROR(INDEX('Bank Schedule'!V:V, SMALL(IF('Bank Schedule'!$K$2:$K$825="Vacant", ROW('Bank Schedule'!$K$2:$K$825)), ROW(79:79))), "")</f>
        <v/>
      </c>
      <c r="V82" s="320" t="str">
        <f t="array" ref="V82">IFERROR(INDEX('Bank Schedule'!W:W, SMALL(IF('Bank Schedule'!$K$2:$K$825="Vacant", ROW('Bank Schedule'!$K$2:$K$825)), ROW(79:79))), "")</f>
        <v/>
      </c>
      <c r="W82" s="319" t="str">
        <f t="array" ref="W82">IFERROR(INDEX('Bank Schedule'!X:X, SMALL(IF('Bank Schedule'!$K$2:$K$825="Vacant", ROW('Bank Schedule'!$K$2:$K$825)), ROW(79:79))), "")</f>
        <v/>
      </c>
      <c r="X82" s="11" t="str">
        <f t="array" ref="X82">IFERROR(INDEX('Bank Schedule'!Y:Y, SMALL(IF('Bank Schedule'!$K$2:$K$825="Vacant", ROW('Bank Schedule'!$K$2:$K$825)), ROW(79:79))), "")</f>
        <v/>
      </c>
      <c r="Y82" s="11" t="str">
        <f t="array" ref="Y82">IFERROR(INDEX('Bank Schedule'!Z:Z, SMALL(IF('Bank Schedule'!$K$2:$K$825="Vacant", ROW('Bank Schedule'!$K$2:$K$825)), ROW(79:79))), "")</f>
        <v/>
      </c>
      <c r="Z82" s="11" t="str">
        <f t="array" ref="Z82">IFERROR(INDEX('Bank Schedule'!AA:AA, SMALL(IF('Bank Schedule'!$K$2:$K$825="Vacant", ROW('Bank Schedule'!$K$2:$K$825)), ROW(79:79))), "")</f>
        <v/>
      </c>
      <c r="AA82" s="11" t="str">
        <f t="array" ref="AA82">IFERROR(INDEX('Bank Schedule'!AB:AB, SMALL(IF('Bank Schedule'!$K$2:$K$825="Vacant", ROW('Bank Schedule'!$K$2:$K$825)), ROW(79:79))), "")</f>
        <v/>
      </c>
      <c r="AB82" s="25" t="str">
        <f t="array" ref="AB82">IFERROR(INDEX('Bank Schedule'!AC:AC, SMALL(IF('Bank Schedule'!$K$2:$K$825="Vacant", ROW('Bank Schedule'!$K$2:$K$825)), ROW(79:79))), "")</f>
        <v/>
      </c>
      <c r="AC82" s="299" t="str">
        <f t="array" ref="AC82">IFERROR(INDEX('Bank Schedule'!AD:AD, SMALL(IF('Bank Schedule'!$K$2:$K$825="Vacant", ROW('Bank Schedule'!$K$2:$K$825)), ROW(79:79))), "")</f>
        <v/>
      </c>
      <c r="AD82" s="11" t="str">
        <f t="array" ref="AD82">IFERROR(INDEX('Bank Schedule'!AE:AE, SMALL(IF('Bank Schedule'!$K$2:$K$825="Vacant", ROW('Bank Schedule'!$K$2:$K$825)), ROW(79:79))), "")</f>
        <v/>
      </c>
      <c r="AE82" s="11" t="str">
        <f t="array" ref="AE82">IFERROR(INDEX('Bank Schedule'!AF:AF, SMALL(IF('Bank Schedule'!$K$2:$K$825="Vacant", ROW('Bank Schedule'!$K$2:$K$825)), ROW(79:79))), "")</f>
        <v/>
      </c>
      <c r="AF82" s="11" t="str">
        <f t="array" ref="AF82">IFERROR(INDEX('Bank Schedule'!AG:AG, SMALL(IF('Bank Schedule'!$K$2:$K$825="Vacant", ROW('Bank Schedule'!$K$2:$K$825)), ROW(79:79))), "")</f>
        <v/>
      </c>
      <c r="AG82" s="4"/>
    </row>
    <row r="83" spans="1:33" ht="28.5" customHeight="1">
      <c r="A83" s="2" t="str">
        <f t="array" ref="A83">IFERROR(INDEX('Bank Schedule'!A:A, SMALL(IF('Bank Schedule'!$K$2:$K$825="Vacant", ROW('Bank Schedule'!$K$2:$K$825)), ROW(80:80))), "")</f>
        <v/>
      </c>
      <c r="B83" s="11" t="str">
        <f t="array" ref="B83">IFERROR(INDEX('Bank Schedule'!B:B, SMALL(IF('Bank Schedule'!$K$2:$K$825="Vacant", ROW('Bank Schedule'!$K$2:$K$825)), ROW(80:80))), "")</f>
        <v/>
      </c>
      <c r="C83" s="11" t="str">
        <f t="array" ref="C83">IFERROR(INDEX('Bank Schedule'!C:C, SMALL(IF('Bank Schedule'!$K$2:$K$825="Vacant", ROW('Bank Schedule'!$K$2:$K$825)), ROW(80:80))), "")</f>
        <v/>
      </c>
      <c r="D83" s="11" t="str">
        <f t="array" ref="D83">IFERROR(INDEX('Bank Schedule'!D:D, SMALL(IF('Bank Schedule'!$K$2:$K$825="Vacant", ROW('Bank Schedule'!$K$2:$K$825)), ROW(80:80))), "")</f>
        <v/>
      </c>
      <c r="E83" s="25" t="str">
        <f t="array" ref="E83">IFERROR(INDEX('Bank Schedule'!E:E, SMALL(IF('Bank Schedule'!$K$2:$K$825="Vacant", ROW('Bank Schedule'!$K$2:$K$825)), ROW(80:80))), "")</f>
        <v/>
      </c>
      <c r="F83" s="25" t="str">
        <f t="array" ref="F83">IFERROR(INDEX('Bank Schedule'!F:F, SMALL(IF('Bank Schedule'!$K$2:$K$825="Vacant", ROW('Bank Schedule'!$K$2:$K$825)), ROW(80:80))), "")</f>
        <v/>
      </c>
      <c r="G83" s="25" t="str">
        <f t="array" ref="G83">IFERROR(INDEX('Bank Schedule'!G:G, SMALL(IF('Bank Schedule'!$K$2:$K$825="Vacant", ROW('Bank Schedule'!$K$2:$K$825)), ROW(80:80))), "")</f>
        <v/>
      </c>
      <c r="H83" s="55" t="str">
        <f t="array" ref="H83">IFERROR(INDEX('Bank Schedule'!H:H, SMALL(IF('Bank Schedule'!$K$2:$K$825="Vacant", ROW('Bank Schedule'!$K$2:$K$825)), ROW(80:80))), "")</f>
        <v/>
      </c>
      <c r="I83" s="55" t="str">
        <f t="array" ref="I83">IFERROR(INDEX('Bank Schedule'!I:I, SMALL(IF('Bank Schedule'!$K$2:$K$825="Vacant", ROW('Bank Schedule'!$K$2:$K$825)), ROW(80:80))), "")</f>
        <v/>
      </c>
      <c r="J83" s="11" t="str">
        <f t="array" ref="J83">IFERROR(INDEX('Bank Schedule'!K:K, SMALL(IF('Bank Schedule'!$K$2:$K$825="Vacant", ROW('Bank Schedule'!$K$2:$K$825)), ROW(80:80))), "")</f>
        <v/>
      </c>
      <c r="K83" s="11" t="str">
        <f t="array" ref="K83">IFERROR(INDEX('Bank Schedule'!L:L, SMALL(IF('Bank Schedule'!$K$2:$K$825="Vacant", ROW('Bank Schedule'!$K$2:$K$825)), ROW(80:80))), "")</f>
        <v/>
      </c>
      <c r="L83" s="11" t="str">
        <f t="array" ref="L83">IFERROR(INDEX('Bank Schedule'!M:M, SMALL(IF('Bank Schedule'!$K$2:$K$825="Vacant", ROW('Bank Schedule'!$K$2:$K$825)), ROW(80:80))), "")</f>
        <v/>
      </c>
      <c r="M83" s="106" t="str">
        <f t="array" ref="M83">IFERROR(INDEX('Bank Schedule'!N:N, SMALL(IF('Bank Schedule'!$K$2:$K$825="Vacant", ROW('Bank Schedule'!$K$2:$K$825)), ROW(80:80))), "")</f>
        <v/>
      </c>
      <c r="N83" s="11" t="str">
        <f t="array" ref="N83">IFERROR(INDEX('Bank Schedule'!O:O, SMALL(IF('Bank Schedule'!$K$2:$K$825="Vacant", ROW('Bank Schedule'!$K$2:$K$825)), ROW(80:80))), "")</f>
        <v/>
      </c>
      <c r="O83" s="11" t="str">
        <f t="array" ref="O83">IFERROR(INDEX('Bank Schedule'!P:P, SMALL(IF('Bank Schedule'!$K$2:$K$825="Vacant", ROW('Bank Schedule'!$K$2:$K$825)), ROW(80:80))), "")</f>
        <v/>
      </c>
      <c r="P83" s="11" t="str">
        <f t="array" ref="P83">IFERROR(INDEX('Bank Schedule'!Q:Q, SMALL(IF('Bank Schedule'!$K$2:$K$825="Vacant", ROW('Bank Schedule'!$K$2:$K$825)), ROW(80:80))), "")</f>
        <v/>
      </c>
      <c r="Q83" s="11" t="str">
        <f t="array" ref="Q83">IFERROR(INDEX('Bank Schedule'!R:R, SMALL(IF('Bank Schedule'!$K$2:$K$825="Vacant", ROW('Bank Schedule'!$K$2:$K$825)), ROW(80:80))), "")</f>
        <v/>
      </c>
      <c r="R83" s="11" t="str">
        <f t="array" ref="R83">IFERROR(INDEX('Bank Schedule'!S:S, SMALL(IF('Bank Schedule'!$K$2:$K$825="Vacant", ROW('Bank Schedule'!$K$2:$K$825)), ROW(80:80))), "")</f>
        <v/>
      </c>
      <c r="S83" s="320" t="str">
        <f t="array" ref="S83">IFERROR(INDEX('Bank Schedule'!T:T, SMALL(IF('Bank Schedule'!$K$2:$K$825="Vacant", ROW('Bank Schedule'!$K$2:$K$825)), ROW(80:80))), "")</f>
        <v/>
      </c>
      <c r="T83" s="320" t="str">
        <f t="array" ref="T83">IFERROR(INDEX('Bank Schedule'!U:U, SMALL(IF('Bank Schedule'!$K$2:$K$825="Vacant", ROW('Bank Schedule'!$K$2:$K$825)), ROW(80:80))), "")</f>
        <v/>
      </c>
      <c r="U83" s="320" t="str">
        <f t="array" ref="U83">IFERROR(INDEX('Bank Schedule'!V:V, SMALL(IF('Bank Schedule'!$K$2:$K$825="Vacant", ROW('Bank Schedule'!$K$2:$K$825)), ROW(80:80))), "")</f>
        <v/>
      </c>
      <c r="V83" s="320" t="str">
        <f t="array" ref="V83">IFERROR(INDEX('Bank Schedule'!W:W, SMALL(IF('Bank Schedule'!$K$2:$K$825="Vacant", ROW('Bank Schedule'!$K$2:$K$825)), ROW(80:80))), "")</f>
        <v/>
      </c>
      <c r="W83" s="319" t="str">
        <f t="array" ref="W83">IFERROR(INDEX('Bank Schedule'!X:X, SMALL(IF('Bank Schedule'!$K$2:$K$825="Vacant", ROW('Bank Schedule'!$K$2:$K$825)), ROW(80:80))), "")</f>
        <v/>
      </c>
      <c r="X83" s="11" t="str">
        <f t="array" ref="X83">IFERROR(INDEX('Bank Schedule'!Y:Y, SMALL(IF('Bank Schedule'!$K$2:$K$825="Vacant", ROW('Bank Schedule'!$K$2:$K$825)), ROW(80:80))), "")</f>
        <v/>
      </c>
      <c r="Y83" s="11" t="str">
        <f t="array" ref="Y83">IFERROR(INDEX('Bank Schedule'!Z:Z, SMALL(IF('Bank Schedule'!$K$2:$K$825="Vacant", ROW('Bank Schedule'!$K$2:$K$825)), ROW(80:80))), "")</f>
        <v/>
      </c>
      <c r="Z83" s="11" t="str">
        <f t="array" ref="Z83">IFERROR(INDEX('Bank Schedule'!AA:AA, SMALL(IF('Bank Schedule'!$K$2:$K$825="Vacant", ROW('Bank Schedule'!$K$2:$K$825)), ROW(80:80))), "")</f>
        <v/>
      </c>
      <c r="AA83" s="11" t="str">
        <f t="array" ref="AA83">IFERROR(INDEX('Bank Schedule'!AB:AB, SMALL(IF('Bank Schedule'!$K$2:$K$825="Vacant", ROW('Bank Schedule'!$K$2:$K$825)), ROW(80:80))), "")</f>
        <v/>
      </c>
      <c r="AB83" s="25" t="str">
        <f t="array" ref="AB83">IFERROR(INDEX('Bank Schedule'!AC:AC, SMALL(IF('Bank Schedule'!$K$2:$K$825="Vacant", ROW('Bank Schedule'!$K$2:$K$825)), ROW(80:80))), "")</f>
        <v/>
      </c>
      <c r="AC83" s="299" t="str">
        <f t="array" ref="AC83">IFERROR(INDEX('Bank Schedule'!AD:AD, SMALL(IF('Bank Schedule'!$K$2:$K$825="Vacant", ROW('Bank Schedule'!$K$2:$K$825)), ROW(80:80))), "")</f>
        <v/>
      </c>
      <c r="AD83" s="11" t="str">
        <f t="array" ref="AD83">IFERROR(INDEX('Bank Schedule'!AE:AE, SMALL(IF('Bank Schedule'!$K$2:$K$825="Vacant", ROW('Bank Schedule'!$K$2:$K$825)), ROW(80:80))), "")</f>
        <v/>
      </c>
      <c r="AE83" s="11" t="str">
        <f t="array" ref="AE83">IFERROR(INDEX('Bank Schedule'!AF:AF, SMALL(IF('Bank Schedule'!$K$2:$K$825="Vacant", ROW('Bank Schedule'!$K$2:$K$825)), ROW(80:80))), "")</f>
        <v/>
      </c>
      <c r="AF83" s="11" t="str">
        <f t="array" ref="AF83">IFERROR(INDEX('Bank Schedule'!AG:AG, SMALL(IF('Bank Schedule'!$K$2:$K$825="Vacant", ROW('Bank Schedule'!$K$2:$K$825)), ROW(80:80))), "")</f>
        <v/>
      </c>
      <c r="AG83" s="4"/>
    </row>
    <row r="84" spans="1:33" ht="28.5" hidden="1" customHeight="1">
      <c r="A84" s="2" t="str">
        <f t="array" ref="A84">IFERROR(INDEX('Bank Schedule'!A:A, SMALL(IF('Bank Schedule'!$K$2:$K$825="Vacant", ROW('Bank Schedule'!$K$2:$K$825)), ROW(81:81))), "")</f>
        <v/>
      </c>
      <c r="B84" s="11" t="str">
        <f t="array" ref="B84">IFERROR(INDEX('Bank Schedule'!B:B, SMALL(IF('Bank Schedule'!$K$2:$K$825="Vacant", ROW('Bank Schedule'!$K$2:$K$825)), ROW(81:81))), "")</f>
        <v/>
      </c>
      <c r="C84" s="11" t="str">
        <f t="array" ref="C84">IFERROR(INDEX('Bank Schedule'!C:C, SMALL(IF('Bank Schedule'!$K$2:$K$825="Vacant", ROW('Bank Schedule'!$K$2:$K$825)), ROW(81:81))), "")</f>
        <v/>
      </c>
      <c r="D84" s="11" t="str">
        <f t="array" ref="D84">IFERROR(INDEX('Bank Schedule'!D:D, SMALL(IF('Bank Schedule'!$K$2:$K$825="Vacant", ROW('Bank Schedule'!$K$2:$K$825)), ROW(81:81))), "")</f>
        <v/>
      </c>
      <c r="E84" s="25" t="str">
        <f t="array" ref="E84">IFERROR(INDEX('Bank Schedule'!E:E, SMALL(IF('Bank Schedule'!$K$2:$K$825="Vacant", ROW('Bank Schedule'!$K$2:$K$825)), ROW(81:81))), "")</f>
        <v/>
      </c>
      <c r="F84" s="25" t="str">
        <f t="array" ref="F84">IFERROR(INDEX('Bank Schedule'!F:F, SMALL(IF('Bank Schedule'!$K$2:$K$825="Vacant", ROW('Bank Schedule'!$K$2:$K$825)), ROW(81:81))), "")</f>
        <v/>
      </c>
      <c r="G84" s="25" t="str">
        <f t="array" ref="G84">IFERROR(INDEX('Bank Schedule'!G:G, SMALL(IF('Bank Schedule'!$K$2:$K$825="Vacant", ROW('Bank Schedule'!$K$2:$K$825)), ROW(81:81))), "")</f>
        <v/>
      </c>
      <c r="H84" s="55" t="str">
        <f t="array" ref="H84">IFERROR(INDEX('Bank Schedule'!H:H, SMALL(IF('Bank Schedule'!$K$2:$K$825="Vacant", ROW('Bank Schedule'!$K$2:$K$825)), ROW(81:81))), "")</f>
        <v/>
      </c>
      <c r="I84" s="55" t="str">
        <f t="array" ref="I84">IFERROR(INDEX('Bank Schedule'!I:I, SMALL(IF('Bank Schedule'!$K$2:$K$825="Vacant", ROW('Bank Schedule'!$K$2:$K$825)), ROW(81:81))), "")</f>
        <v/>
      </c>
      <c r="J84" s="11" t="str">
        <f t="array" ref="J84">IFERROR(INDEX('Bank Schedule'!K:K, SMALL(IF('Bank Schedule'!$K$2:$K$825="Vacant", ROW('Bank Schedule'!$K$2:$K$825)), ROW(81:81))), "")</f>
        <v/>
      </c>
      <c r="K84" s="11" t="str">
        <f t="array" ref="K84">IFERROR(INDEX('Bank Schedule'!L:L, SMALL(IF('Bank Schedule'!$K$2:$K$825="Vacant", ROW('Bank Schedule'!$K$2:$K$825)), ROW(81:81))), "")</f>
        <v/>
      </c>
      <c r="L84" s="11" t="str">
        <f t="array" ref="L84">IFERROR(INDEX('Bank Schedule'!M:M, SMALL(IF('Bank Schedule'!$K$2:$K$825="Vacant", ROW('Bank Schedule'!$K$2:$K$825)), ROW(81:81))), "")</f>
        <v/>
      </c>
      <c r="M84" s="106" t="str">
        <f t="array" ref="M84">IFERROR(INDEX('Bank Schedule'!N:N, SMALL(IF('Bank Schedule'!$K$2:$K$825="Vacant", ROW('Bank Schedule'!$K$2:$K$825)), ROW(81:81))), "")</f>
        <v/>
      </c>
      <c r="N84" s="11" t="str">
        <f t="array" ref="N84">IFERROR(INDEX('Bank Schedule'!O:O, SMALL(IF('Bank Schedule'!$K$2:$K$825="Vacant", ROW('Bank Schedule'!$K$2:$K$825)), ROW(81:81))), "")</f>
        <v/>
      </c>
      <c r="O84" s="11" t="str">
        <f t="array" ref="O84">IFERROR(INDEX('Bank Schedule'!P:P, SMALL(IF('Bank Schedule'!$K$2:$K$825="Vacant", ROW('Bank Schedule'!$K$2:$K$825)), ROW(81:81))), "")</f>
        <v/>
      </c>
      <c r="P84" s="11" t="str">
        <f t="array" ref="P84">IFERROR(INDEX('Bank Schedule'!Q:Q, SMALL(IF('Bank Schedule'!$K$2:$K$825="Vacant", ROW('Bank Schedule'!$K$2:$K$825)), ROW(81:81))), "")</f>
        <v/>
      </c>
      <c r="Q84" s="11" t="str">
        <f t="array" ref="Q84">IFERROR(INDEX('Bank Schedule'!R:R, SMALL(IF('Bank Schedule'!$K$2:$K$825="Vacant", ROW('Bank Schedule'!$K$2:$K$825)), ROW(81:81))), "")</f>
        <v/>
      </c>
      <c r="R84" s="11" t="str">
        <f t="array" ref="R84">IFERROR(INDEX('Bank Schedule'!S:S, SMALL(IF('Bank Schedule'!$K$2:$K$825="Vacant", ROW('Bank Schedule'!$K$2:$K$825)), ROW(81:81))), "")</f>
        <v/>
      </c>
      <c r="S84" s="320" t="str">
        <f t="array" ref="S84">IFERROR(INDEX('Bank Schedule'!T:T, SMALL(IF('Bank Schedule'!$K$2:$K$825="Vacant", ROW('Bank Schedule'!$K$2:$K$825)), ROW(81:81))), "")</f>
        <v/>
      </c>
      <c r="T84" s="320" t="str">
        <f t="array" ref="T84">IFERROR(INDEX('Bank Schedule'!U:U, SMALL(IF('Bank Schedule'!$K$2:$K$825="Vacant", ROW('Bank Schedule'!$K$2:$K$825)), ROW(81:81))), "")</f>
        <v/>
      </c>
      <c r="U84" s="320" t="str">
        <f t="array" ref="U84">IFERROR(INDEX('Bank Schedule'!V:V, SMALL(IF('Bank Schedule'!$K$2:$K$825="Vacant", ROW('Bank Schedule'!$K$2:$K$825)), ROW(81:81))), "")</f>
        <v/>
      </c>
      <c r="V84" s="320" t="str">
        <f t="array" ref="V84">IFERROR(INDEX('Bank Schedule'!W:W, SMALL(IF('Bank Schedule'!$K$2:$K$825="Vacant", ROW('Bank Schedule'!$K$2:$K$825)), ROW(81:81))), "")</f>
        <v/>
      </c>
      <c r="W84" s="319" t="str">
        <f t="array" ref="W84">IFERROR(INDEX('Bank Schedule'!X:X, SMALL(IF('Bank Schedule'!$K$2:$K$825="Vacant", ROW('Bank Schedule'!$K$2:$K$825)), ROW(81:81))), "")</f>
        <v/>
      </c>
      <c r="X84" s="11" t="str">
        <f t="array" ref="X84">IFERROR(INDEX('Bank Schedule'!Y:Y, SMALL(IF('Bank Schedule'!$K$2:$K$825="Vacant", ROW('Bank Schedule'!$K$2:$K$825)), ROW(81:81))), "")</f>
        <v/>
      </c>
      <c r="Y84" s="11" t="str">
        <f t="array" ref="Y84">IFERROR(INDEX('Bank Schedule'!Z:Z, SMALL(IF('Bank Schedule'!$K$2:$K$825="Vacant", ROW('Bank Schedule'!$K$2:$K$825)), ROW(81:81))), "")</f>
        <v/>
      </c>
      <c r="Z84" s="11" t="str">
        <f t="array" ref="Z84">IFERROR(INDEX('Bank Schedule'!AA:AA, SMALL(IF('Bank Schedule'!$K$2:$K$825="Vacant", ROW('Bank Schedule'!$K$2:$K$825)), ROW(81:81))), "")</f>
        <v/>
      </c>
      <c r="AA84" s="11" t="str">
        <f t="array" ref="AA84">IFERROR(INDEX('Bank Schedule'!AB:AB, SMALL(IF('Bank Schedule'!$K$2:$K$825="Vacant", ROW('Bank Schedule'!$K$2:$K$825)), ROW(81:81))), "")</f>
        <v/>
      </c>
      <c r="AB84" s="25" t="str">
        <f t="array" ref="AB84">IFERROR(INDEX('Bank Schedule'!AC:AC, SMALL(IF('Bank Schedule'!$K$2:$K$825="Vacant", ROW('Bank Schedule'!$K$2:$K$825)), ROW(81:81))), "")</f>
        <v/>
      </c>
      <c r="AC84" s="299" t="str">
        <f t="array" ref="AC84">IFERROR(INDEX('Bank Schedule'!AD:AD, SMALL(IF('Bank Schedule'!$K$2:$K$825="Vacant", ROW('Bank Schedule'!$K$2:$K$825)), ROW(81:81))), "")</f>
        <v/>
      </c>
      <c r="AD84" s="11" t="str">
        <f t="array" ref="AD84">IFERROR(INDEX('Bank Schedule'!AE:AE, SMALL(IF('Bank Schedule'!$K$2:$K$825="Vacant", ROW('Bank Schedule'!$K$2:$K$825)), ROW(81:81))), "")</f>
        <v/>
      </c>
      <c r="AE84" s="11" t="str">
        <f t="array" ref="AE84">IFERROR(INDEX('Bank Schedule'!AF:AF, SMALL(IF('Bank Schedule'!$K$2:$K$825="Vacant", ROW('Bank Schedule'!$K$2:$K$825)), ROW(81:81))), "")</f>
        <v/>
      </c>
      <c r="AF84" s="11" t="str">
        <f t="array" ref="AF84">IFERROR(INDEX('Bank Schedule'!AG:AG, SMALL(IF('Bank Schedule'!$K$2:$K$825="Vacant", ROW('Bank Schedule'!$K$2:$K$825)), ROW(81:81))), "")</f>
        <v/>
      </c>
      <c r="AG84" s="4"/>
    </row>
    <row r="85" spans="1:33" ht="28.5" hidden="1" customHeight="1">
      <c r="A85" s="2" t="str">
        <f t="array" ref="A85">IFERROR(INDEX('Bank Schedule'!A:A, SMALL(IF('Bank Schedule'!$K$2:$K$825="Vacant", ROW('Bank Schedule'!$K$2:$K$825)), ROW(82:82))), "")</f>
        <v/>
      </c>
      <c r="B85" s="11" t="str">
        <f t="array" ref="B85">IFERROR(INDEX('Bank Schedule'!B:B, SMALL(IF('Bank Schedule'!$K$2:$K$825="Vacant", ROW('Bank Schedule'!$K$2:$K$825)), ROW(82:82))), "")</f>
        <v/>
      </c>
      <c r="C85" s="11" t="str">
        <f t="array" ref="C85">IFERROR(INDEX('Bank Schedule'!C:C, SMALL(IF('Bank Schedule'!$K$2:$K$825="Vacant", ROW('Bank Schedule'!$K$2:$K$825)), ROW(82:82))), "")</f>
        <v/>
      </c>
      <c r="D85" s="11" t="str">
        <f t="array" ref="D85">IFERROR(INDEX('Bank Schedule'!D:D, SMALL(IF('Bank Schedule'!$K$2:$K$825="Vacant", ROW('Bank Schedule'!$K$2:$K$825)), ROW(82:82))), "")</f>
        <v/>
      </c>
      <c r="E85" s="25" t="str">
        <f t="array" ref="E85">IFERROR(INDEX('Bank Schedule'!E:E, SMALL(IF('Bank Schedule'!$K$2:$K$825="Vacant", ROW('Bank Schedule'!$K$2:$K$825)), ROW(82:82))), "")</f>
        <v/>
      </c>
      <c r="F85" s="25" t="str">
        <f t="array" ref="F85">IFERROR(INDEX('Bank Schedule'!F:F, SMALL(IF('Bank Schedule'!$K$2:$K$825="Vacant", ROW('Bank Schedule'!$K$2:$K$825)), ROW(82:82))), "")</f>
        <v/>
      </c>
      <c r="G85" s="25" t="str">
        <f t="array" ref="G85">IFERROR(INDEX('Bank Schedule'!G:G, SMALL(IF('Bank Schedule'!$K$2:$K$825="Vacant", ROW('Bank Schedule'!$K$2:$K$825)), ROW(82:82))), "")</f>
        <v/>
      </c>
      <c r="H85" s="55" t="str">
        <f t="array" ref="H85">IFERROR(INDEX('Bank Schedule'!H:H, SMALL(IF('Bank Schedule'!$K$2:$K$825="Vacant", ROW('Bank Schedule'!$K$2:$K$825)), ROW(82:82))), "")</f>
        <v/>
      </c>
      <c r="I85" s="55" t="str">
        <f t="array" ref="I85">IFERROR(INDEX('Bank Schedule'!I:I, SMALL(IF('Bank Schedule'!$K$2:$K$825="Vacant", ROW('Bank Schedule'!$K$2:$K$825)), ROW(82:82))), "")</f>
        <v/>
      </c>
      <c r="J85" s="11" t="str">
        <f t="array" ref="J85">IFERROR(INDEX('Bank Schedule'!K:K, SMALL(IF('Bank Schedule'!$K$2:$K$825="Vacant", ROW('Bank Schedule'!$K$2:$K$825)), ROW(82:82))), "")</f>
        <v/>
      </c>
      <c r="K85" s="11" t="str">
        <f t="array" ref="K85">IFERROR(INDEX('Bank Schedule'!L:L, SMALL(IF('Bank Schedule'!$K$2:$K$825="Vacant", ROW('Bank Schedule'!$K$2:$K$825)), ROW(82:82))), "")</f>
        <v/>
      </c>
      <c r="L85" s="11" t="str">
        <f t="array" ref="L85">IFERROR(INDEX('Bank Schedule'!M:M, SMALL(IF('Bank Schedule'!$K$2:$K$825="Vacant", ROW('Bank Schedule'!$K$2:$K$825)), ROW(82:82))), "")</f>
        <v/>
      </c>
      <c r="M85" s="106" t="str">
        <f t="array" ref="M85">IFERROR(INDEX('Bank Schedule'!N:N, SMALL(IF('Bank Schedule'!$K$2:$K$825="Vacant", ROW('Bank Schedule'!$K$2:$K$825)), ROW(82:82))), "")</f>
        <v/>
      </c>
      <c r="N85" s="11" t="str">
        <f t="array" ref="N85">IFERROR(INDEX('Bank Schedule'!O:O, SMALL(IF('Bank Schedule'!$K$2:$K$825="Vacant", ROW('Bank Schedule'!$K$2:$K$825)), ROW(82:82))), "")</f>
        <v/>
      </c>
      <c r="O85" s="11" t="str">
        <f t="array" ref="O85">IFERROR(INDEX('Bank Schedule'!P:P, SMALL(IF('Bank Schedule'!$K$2:$K$825="Vacant", ROW('Bank Schedule'!$K$2:$K$825)), ROW(82:82))), "")</f>
        <v/>
      </c>
      <c r="P85" s="11" t="str">
        <f t="array" ref="P85">IFERROR(INDEX('Bank Schedule'!Q:Q, SMALL(IF('Bank Schedule'!$K$2:$K$825="Vacant", ROW('Bank Schedule'!$K$2:$K$825)), ROW(82:82))), "")</f>
        <v/>
      </c>
      <c r="Q85" s="11" t="str">
        <f t="array" ref="Q85">IFERROR(INDEX('Bank Schedule'!R:R, SMALL(IF('Bank Schedule'!$K$2:$K$825="Vacant", ROW('Bank Schedule'!$K$2:$K$825)), ROW(82:82))), "")</f>
        <v/>
      </c>
      <c r="R85" s="11" t="str">
        <f t="array" ref="R85">IFERROR(INDEX('Bank Schedule'!S:S, SMALL(IF('Bank Schedule'!$K$2:$K$825="Vacant", ROW('Bank Schedule'!$K$2:$K$825)), ROW(82:82))), "")</f>
        <v/>
      </c>
      <c r="S85" s="320" t="str">
        <f t="array" ref="S85">IFERROR(INDEX('Bank Schedule'!T:T, SMALL(IF('Bank Schedule'!$K$2:$K$825="Vacant", ROW('Bank Schedule'!$K$2:$K$825)), ROW(82:82))), "")</f>
        <v/>
      </c>
      <c r="T85" s="320" t="str">
        <f t="array" ref="T85">IFERROR(INDEX('Bank Schedule'!U:U, SMALL(IF('Bank Schedule'!$K$2:$K$825="Vacant", ROW('Bank Schedule'!$K$2:$K$825)), ROW(82:82))), "")</f>
        <v/>
      </c>
      <c r="U85" s="320" t="str">
        <f t="array" ref="U85">IFERROR(INDEX('Bank Schedule'!V:V, SMALL(IF('Bank Schedule'!$K$2:$K$825="Vacant", ROW('Bank Schedule'!$K$2:$K$825)), ROW(82:82))), "")</f>
        <v/>
      </c>
      <c r="V85" s="320" t="str">
        <f t="array" ref="V85">IFERROR(INDEX('Bank Schedule'!W:W, SMALL(IF('Bank Schedule'!$K$2:$K$825="Vacant", ROW('Bank Schedule'!$K$2:$K$825)), ROW(82:82))), "")</f>
        <v/>
      </c>
      <c r="W85" s="319" t="str">
        <f t="array" ref="W85">IFERROR(INDEX('Bank Schedule'!X:X, SMALL(IF('Bank Schedule'!$K$2:$K$825="Vacant", ROW('Bank Schedule'!$K$2:$K$825)), ROW(82:82))), "")</f>
        <v/>
      </c>
      <c r="X85" s="11" t="str">
        <f t="array" ref="X85">IFERROR(INDEX('Bank Schedule'!Y:Y, SMALL(IF('Bank Schedule'!$K$2:$K$825="Vacant", ROW('Bank Schedule'!$K$2:$K$825)), ROW(82:82))), "")</f>
        <v/>
      </c>
      <c r="Y85" s="11" t="str">
        <f t="array" ref="Y85">IFERROR(INDEX('Bank Schedule'!Z:Z, SMALL(IF('Bank Schedule'!$K$2:$K$825="Vacant", ROW('Bank Schedule'!$K$2:$K$825)), ROW(82:82))), "")</f>
        <v/>
      </c>
      <c r="Z85" s="11" t="str">
        <f t="array" ref="Z85">IFERROR(INDEX('Bank Schedule'!AA:AA, SMALL(IF('Bank Schedule'!$K$2:$K$825="Vacant", ROW('Bank Schedule'!$K$2:$K$825)), ROW(82:82))), "")</f>
        <v/>
      </c>
      <c r="AA85" s="11" t="str">
        <f t="array" ref="AA85">IFERROR(INDEX('Bank Schedule'!AB:AB, SMALL(IF('Bank Schedule'!$K$2:$K$825="Vacant", ROW('Bank Schedule'!$K$2:$K$825)), ROW(82:82))), "")</f>
        <v/>
      </c>
      <c r="AB85" s="25" t="str">
        <f t="array" ref="AB85">IFERROR(INDEX('Bank Schedule'!AC:AC, SMALL(IF('Bank Schedule'!$K$2:$K$825="Vacant", ROW('Bank Schedule'!$K$2:$K$825)), ROW(82:82))), "")</f>
        <v/>
      </c>
      <c r="AC85" s="299" t="str">
        <f t="array" ref="AC85">IFERROR(INDEX('Bank Schedule'!AD:AD, SMALL(IF('Bank Schedule'!$K$2:$K$825="Vacant", ROW('Bank Schedule'!$K$2:$K$825)), ROW(82:82))), "")</f>
        <v/>
      </c>
      <c r="AD85" s="11" t="str">
        <f t="array" ref="AD85">IFERROR(INDEX('Bank Schedule'!AE:AE, SMALL(IF('Bank Schedule'!$K$2:$K$825="Vacant", ROW('Bank Schedule'!$K$2:$K$825)), ROW(82:82))), "")</f>
        <v/>
      </c>
      <c r="AE85" s="11" t="str">
        <f t="array" ref="AE85">IFERROR(INDEX('Bank Schedule'!AF:AF, SMALL(IF('Bank Schedule'!$K$2:$K$825="Vacant", ROW('Bank Schedule'!$K$2:$K$825)), ROW(82:82))), "")</f>
        <v/>
      </c>
      <c r="AF85" s="11" t="str">
        <f t="array" ref="AF85">IFERROR(INDEX('Bank Schedule'!AG:AG, SMALL(IF('Bank Schedule'!$K$2:$K$825="Vacant", ROW('Bank Schedule'!$K$2:$K$825)), ROW(82:82))), "")</f>
        <v/>
      </c>
      <c r="AG85" s="4"/>
    </row>
    <row r="86" spans="1:33" ht="28.5" hidden="1" customHeight="1">
      <c r="A86" s="2" t="str">
        <f t="array" ref="A86">IFERROR(INDEX('Bank Schedule'!A:A, SMALL(IF('Bank Schedule'!$K$2:$K$825="Vacant", ROW('Bank Schedule'!$K$2:$K$825)), ROW(83:83))), "")</f>
        <v/>
      </c>
      <c r="B86" s="11" t="str">
        <f t="array" ref="B86">IFERROR(INDEX('Bank Schedule'!B:B, SMALL(IF('Bank Schedule'!$K$2:$K$825="Vacant", ROW('Bank Schedule'!$K$2:$K$825)), ROW(83:83))), "")</f>
        <v/>
      </c>
      <c r="C86" s="11" t="str">
        <f t="array" ref="C86">IFERROR(INDEX('Bank Schedule'!C:C, SMALL(IF('Bank Schedule'!$K$2:$K$825="Vacant", ROW('Bank Schedule'!$K$2:$K$825)), ROW(83:83))), "")</f>
        <v/>
      </c>
      <c r="D86" s="11" t="str">
        <f t="array" ref="D86">IFERROR(INDEX('Bank Schedule'!D:D, SMALL(IF('Bank Schedule'!$K$2:$K$825="Vacant", ROW('Bank Schedule'!$K$2:$K$825)), ROW(83:83))), "")</f>
        <v/>
      </c>
      <c r="E86" s="25" t="str">
        <f t="array" ref="E86">IFERROR(INDEX('Bank Schedule'!E:E, SMALL(IF('Bank Schedule'!$K$2:$K$825="Vacant", ROW('Bank Schedule'!$K$2:$K$825)), ROW(83:83))), "")</f>
        <v/>
      </c>
      <c r="F86" s="25" t="str">
        <f t="array" ref="F86">IFERROR(INDEX('Bank Schedule'!F:F, SMALL(IF('Bank Schedule'!$K$2:$K$825="Vacant", ROW('Bank Schedule'!$K$2:$K$825)), ROW(83:83))), "")</f>
        <v/>
      </c>
      <c r="G86" s="25" t="str">
        <f t="array" ref="G86">IFERROR(INDEX('Bank Schedule'!G:G, SMALL(IF('Bank Schedule'!$K$2:$K$825="Vacant", ROW('Bank Schedule'!$K$2:$K$825)), ROW(83:83))), "")</f>
        <v/>
      </c>
      <c r="H86" s="55" t="str">
        <f t="array" ref="H86">IFERROR(INDEX('Bank Schedule'!H:H, SMALL(IF('Bank Schedule'!$K$2:$K$825="Vacant", ROW('Bank Schedule'!$K$2:$K$825)), ROW(83:83))), "")</f>
        <v/>
      </c>
      <c r="I86" s="55" t="str">
        <f t="array" ref="I86">IFERROR(INDEX('Bank Schedule'!I:I, SMALL(IF('Bank Schedule'!$K$2:$K$825="Vacant", ROW('Bank Schedule'!$K$2:$K$825)), ROW(83:83))), "")</f>
        <v/>
      </c>
      <c r="J86" s="11" t="str">
        <f t="array" ref="J86">IFERROR(INDEX('Bank Schedule'!K:K, SMALL(IF('Bank Schedule'!$K$2:$K$825="Vacant", ROW('Bank Schedule'!$K$2:$K$825)), ROW(83:83))), "")</f>
        <v/>
      </c>
      <c r="K86" s="11" t="str">
        <f t="array" ref="K86">IFERROR(INDEX('Bank Schedule'!L:L, SMALL(IF('Bank Schedule'!$K$2:$K$825="Vacant", ROW('Bank Schedule'!$K$2:$K$825)), ROW(83:83))), "")</f>
        <v/>
      </c>
      <c r="L86" s="11" t="str">
        <f t="array" ref="L86">IFERROR(INDEX('Bank Schedule'!M:M, SMALL(IF('Bank Schedule'!$K$2:$K$825="Vacant", ROW('Bank Schedule'!$K$2:$K$825)), ROW(83:83))), "")</f>
        <v/>
      </c>
      <c r="M86" s="106" t="str">
        <f t="array" ref="M86">IFERROR(INDEX('Bank Schedule'!N:N, SMALL(IF('Bank Schedule'!$K$2:$K$825="Vacant", ROW('Bank Schedule'!$K$2:$K$825)), ROW(83:83))), "")</f>
        <v/>
      </c>
      <c r="N86" s="11" t="str">
        <f t="array" ref="N86">IFERROR(INDEX('Bank Schedule'!O:O, SMALL(IF('Bank Schedule'!$K$2:$K$825="Vacant", ROW('Bank Schedule'!$K$2:$K$825)), ROW(83:83))), "")</f>
        <v/>
      </c>
      <c r="O86" s="11" t="str">
        <f t="array" ref="O86">IFERROR(INDEX('Bank Schedule'!P:P, SMALL(IF('Bank Schedule'!$K$2:$K$825="Vacant", ROW('Bank Schedule'!$K$2:$K$825)), ROW(83:83))), "")</f>
        <v/>
      </c>
      <c r="P86" s="11" t="str">
        <f t="array" ref="P86">IFERROR(INDEX('Bank Schedule'!Q:Q, SMALL(IF('Bank Schedule'!$K$2:$K$825="Vacant", ROW('Bank Schedule'!$K$2:$K$825)), ROW(83:83))), "")</f>
        <v/>
      </c>
      <c r="Q86" s="11" t="str">
        <f t="array" ref="Q86">IFERROR(INDEX('Bank Schedule'!R:R, SMALL(IF('Bank Schedule'!$K$2:$K$825="Vacant", ROW('Bank Schedule'!$K$2:$K$825)), ROW(83:83))), "")</f>
        <v/>
      </c>
      <c r="R86" s="11" t="str">
        <f t="array" ref="R86">IFERROR(INDEX('Bank Schedule'!S:S, SMALL(IF('Bank Schedule'!$K$2:$K$825="Vacant", ROW('Bank Schedule'!$K$2:$K$825)), ROW(83:83))), "")</f>
        <v/>
      </c>
      <c r="S86" s="320" t="str">
        <f t="array" ref="S86">IFERROR(INDEX('Bank Schedule'!T:T, SMALL(IF('Bank Schedule'!$K$2:$K$825="Vacant", ROW('Bank Schedule'!$K$2:$K$825)), ROW(83:83))), "")</f>
        <v/>
      </c>
      <c r="T86" s="320" t="str">
        <f t="array" ref="T86">IFERROR(INDEX('Bank Schedule'!U:U, SMALL(IF('Bank Schedule'!$K$2:$K$825="Vacant", ROW('Bank Schedule'!$K$2:$K$825)), ROW(83:83))), "")</f>
        <v/>
      </c>
      <c r="U86" s="320" t="str">
        <f t="array" ref="U86">IFERROR(INDEX('Bank Schedule'!V:V, SMALL(IF('Bank Schedule'!$K$2:$K$825="Vacant", ROW('Bank Schedule'!$K$2:$K$825)), ROW(83:83))), "")</f>
        <v/>
      </c>
      <c r="V86" s="320" t="str">
        <f t="array" ref="V86">IFERROR(INDEX('Bank Schedule'!W:W, SMALL(IF('Bank Schedule'!$K$2:$K$825="Vacant", ROW('Bank Schedule'!$K$2:$K$825)), ROW(83:83))), "")</f>
        <v/>
      </c>
      <c r="W86" s="319" t="str">
        <f t="array" ref="W86">IFERROR(INDEX('Bank Schedule'!X:X, SMALL(IF('Bank Schedule'!$K$2:$K$825="Vacant", ROW('Bank Schedule'!$K$2:$K$825)), ROW(83:83))), "")</f>
        <v/>
      </c>
      <c r="X86" s="11" t="str">
        <f t="array" ref="X86">IFERROR(INDEX('Bank Schedule'!Y:Y, SMALL(IF('Bank Schedule'!$K$2:$K$825="Vacant", ROW('Bank Schedule'!$K$2:$K$825)), ROW(83:83))), "")</f>
        <v/>
      </c>
      <c r="Y86" s="11" t="str">
        <f t="array" ref="Y86">IFERROR(INDEX('Bank Schedule'!Z:Z, SMALL(IF('Bank Schedule'!$K$2:$K$825="Vacant", ROW('Bank Schedule'!$K$2:$K$825)), ROW(83:83))), "")</f>
        <v/>
      </c>
      <c r="Z86" s="11" t="str">
        <f t="array" ref="Z86">IFERROR(INDEX('Bank Schedule'!AA:AA, SMALL(IF('Bank Schedule'!$K$2:$K$825="Vacant", ROW('Bank Schedule'!$K$2:$K$825)), ROW(83:83))), "")</f>
        <v/>
      </c>
      <c r="AA86" s="11" t="str">
        <f t="array" ref="AA86">IFERROR(INDEX('Bank Schedule'!AB:AB, SMALL(IF('Bank Schedule'!$K$2:$K$825="Vacant", ROW('Bank Schedule'!$K$2:$K$825)), ROW(83:83))), "")</f>
        <v/>
      </c>
      <c r="AB86" s="25" t="str">
        <f t="array" ref="AB86">IFERROR(INDEX('Bank Schedule'!AC:AC, SMALL(IF('Bank Schedule'!$K$2:$K$825="Vacant", ROW('Bank Schedule'!$K$2:$K$825)), ROW(83:83))), "")</f>
        <v/>
      </c>
      <c r="AC86" s="299" t="str">
        <f t="array" ref="AC86">IFERROR(INDEX('Bank Schedule'!AD:AD, SMALL(IF('Bank Schedule'!$K$2:$K$825="Vacant", ROW('Bank Schedule'!$K$2:$K$825)), ROW(83:83))), "")</f>
        <v/>
      </c>
      <c r="AD86" s="11" t="str">
        <f t="array" ref="AD86">IFERROR(INDEX('Bank Schedule'!AE:AE, SMALL(IF('Bank Schedule'!$K$2:$K$825="Vacant", ROW('Bank Schedule'!$K$2:$K$825)), ROW(83:83))), "")</f>
        <v/>
      </c>
      <c r="AE86" s="11" t="str">
        <f t="array" ref="AE86">IFERROR(INDEX('Bank Schedule'!AF:AF, SMALL(IF('Bank Schedule'!$K$2:$K$825="Vacant", ROW('Bank Schedule'!$K$2:$K$825)), ROW(83:83))), "")</f>
        <v/>
      </c>
      <c r="AF86" s="11" t="str">
        <f t="array" ref="AF86">IFERROR(INDEX('Bank Schedule'!AG:AG, SMALL(IF('Bank Schedule'!$K$2:$K$825="Vacant", ROW('Bank Schedule'!$K$2:$K$825)), ROW(83:83))), "")</f>
        <v/>
      </c>
      <c r="AG86" s="4"/>
    </row>
    <row r="87" spans="1:33" ht="28.5" hidden="1" customHeight="1">
      <c r="A87" s="2" t="str">
        <f t="array" ref="A87">IFERROR(INDEX('Bank Schedule'!A:A, SMALL(IF('Bank Schedule'!$K$2:$K$825="Vacant", ROW('Bank Schedule'!$K$2:$K$825)), ROW(84:84))), "")</f>
        <v/>
      </c>
      <c r="B87" s="11" t="str">
        <f t="array" ref="B87">IFERROR(INDEX('Bank Schedule'!B:B, SMALL(IF('Bank Schedule'!$K$2:$K$825="Vacant", ROW('Bank Schedule'!$K$2:$K$825)), ROW(84:84))), "")</f>
        <v/>
      </c>
      <c r="C87" s="11" t="str">
        <f t="array" ref="C87">IFERROR(INDEX('Bank Schedule'!C:C, SMALL(IF('Bank Schedule'!$K$2:$K$825="Vacant", ROW('Bank Schedule'!$K$2:$K$825)), ROW(84:84))), "")</f>
        <v/>
      </c>
      <c r="D87" s="11" t="str">
        <f t="array" ref="D87">IFERROR(INDEX('Bank Schedule'!D:D, SMALL(IF('Bank Schedule'!$K$2:$K$825="Vacant", ROW('Bank Schedule'!$K$2:$K$825)), ROW(84:84))), "")</f>
        <v/>
      </c>
      <c r="E87" s="25" t="str">
        <f t="array" ref="E87">IFERROR(INDEX('Bank Schedule'!E:E, SMALL(IF('Bank Schedule'!$K$2:$K$825="Vacant", ROW('Bank Schedule'!$K$2:$K$825)), ROW(84:84))), "")</f>
        <v/>
      </c>
      <c r="F87" s="25" t="str">
        <f t="array" ref="F87">IFERROR(INDEX('Bank Schedule'!F:F, SMALL(IF('Bank Schedule'!$K$2:$K$825="Vacant", ROW('Bank Schedule'!$K$2:$K$825)), ROW(84:84))), "")</f>
        <v/>
      </c>
      <c r="G87" s="25" t="str">
        <f t="array" ref="G87">IFERROR(INDEX('Bank Schedule'!G:G, SMALL(IF('Bank Schedule'!$K$2:$K$825="Vacant", ROW('Bank Schedule'!$K$2:$K$825)), ROW(84:84))), "")</f>
        <v/>
      </c>
      <c r="H87" s="55" t="str">
        <f t="array" ref="H87">IFERROR(INDEX('Bank Schedule'!H:H, SMALL(IF('Bank Schedule'!$K$2:$K$825="Vacant", ROW('Bank Schedule'!$K$2:$K$825)), ROW(84:84))), "")</f>
        <v/>
      </c>
      <c r="I87" s="55" t="str">
        <f t="array" ref="I87">IFERROR(INDEX('Bank Schedule'!I:I, SMALL(IF('Bank Schedule'!$K$2:$K$825="Vacant", ROW('Bank Schedule'!$K$2:$K$825)), ROW(84:84))), "")</f>
        <v/>
      </c>
      <c r="J87" s="11" t="str">
        <f t="array" ref="J87">IFERROR(INDEX('Bank Schedule'!K:K, SMALL(IF('Bank Schedule'!$K$2:$K$825="Vacant", ROW('Bank Schedule'!$K$2:$K$825)), ROW(84:84))), "")</f>
        <v/>
      </c>
      <c r="K87" s="11" t="str">
        <f t="array" ref="K87">IFERROR(INDEX('Bank Schedule'!L:L, SMALL(IF('Bank Schedule'!$K$2:$K$825="Vacant", ROW('Bank Schedule'!$K$2:$K$825)), ROW(84:84))), "")</f>
        <v/>
      </c>
      <c r="L87" s="11" t="str">
        <f t="array" ref="L87">IFERROR(INDEX('Bank Schedule'!M:M, SMALL(IF('Bank Schedule'!$K$2:$K$825="Vacant", ROW('Bank Schedule'!$K$2:$K$825)), ROW(84:84))), "")</f>
        <v/>
      </c>
      <c r="M87" s="106" t="str">
        <f t="array" ref="M87">IFERROR(INDEX('Bank Schedule'!N:N, SMALL(IF('Bank Schedule'!$K$2:$K$825="Vacant", ROW('Bank Schedule'!$K$2:$K$825)), ROW(84:84))), "")</f>
        <v/>
      </c>
      <c r="N87" s="11" t="str">
        <f t="array" ref="N87">IFERROR(INDEX('Bank Schedule'!O:O, SMALL(IF('Bank Schedule'!$K$2:$K$825="Vacant", ROW('Bank Schedule'!$K$2:$K$825)), ROW(84:84))), "")</f>
        <v/>
      </c>
      <c r="O87" s="11" t="str">
        <f t="array" ref="O87">IFERROR(INDEX('Bank Schedule'!P:P, SMALL(IF('Bank Schedule'!$K$2:$K$825="Vacant", ROW('Bank Schedule'!$K$2:$K$825)), ROW(84:84))), "")</f>
        <v/>
      </c>
      <c r="P87" s="11" t="str">
        <f t="array" ref="P87">IFERROR(INDEX('Bank Schedule'!Q:Q, SMALL(IF('Bank Schedule'!$K$2:$K$825="Vacant", ROW('Bank Schedule'!$K$2:$K$825)), ROW(84:84))), "")</f>
        <v/>
      </c>
      <c r="Q87" s="11" t="str">
        <f t="array" ref="Q87">IFERROR(INDEX('Bank Schedule'!R:R, SMALL(IF('Bank Schedule'!$K$2:$K$825="Vacant", ROW('Bank Schedule'!$K$2:$K$825)), ROW(84:84))), "")</f>
        <v/>
      </c>
      <c r="R87" s="11" t="str">
        <f t="array" ref="R87">IFERROR(INDEX('Bank Schedule'!S:S, SMALL(IF('Bank Schedule'!$K$2:$K$825="Vacant", ROW('Bank Schedule'!$K$2:$K$825)), ROW(84:84))), "")</f>
        <v/>
      </c>
      <c r="S87" s="320" t="str">
        <f t="array" ref="S87">IFERROR(INDEX('Bank Schedule'!T:T, SMALL(IF('Bank Schedule'!$K$2:$K$825="Vacant", ROW('Bank Schedule'!$K$2:$K$825)), ROW(84:84))), "")</f>
        <v/>
      </c>
      <c r="T87" s="320" t="str">
        <f t="array" ref="T87">IFERROR(INDEX('Bank Schedule'!U:U, SMALL(IF('Bank Schedule'!$K$2:$K$825="Vacant", ROW('Bank Schedule'!$K$2:$K$825)), ROW(84:84))), "")</f>
        <v/>
      </c>
      <c r="U87" s="320" t="str">
        <f t="array" ref="U87">IFERROR(INDEX('Bank Schedule'!V:V, SMALL(IF('Bank Schedule'!$K$2:$K$825="Vacant", ROW('Bank Schedule'!$K$2:$K$825)), ROW(84:84))), "")</f>
        <v/>
      </c>
      <c r="V87" s="320" t="str">
        <f t="array" ref="V87">IFERROR(INDEX('Bank Schedule'!W:W, SMALL(IF('Bank Schedule'!$K$2:$K$825="Vacant", ROW('Bank Schedule'!$K$2:$K$825)), ROW(84:84))), "")</f>
        <v/>
      </c>
      <c r="W87" s="319" t="str">
        <f t="array" ref="W87">IFERROR(INDEX('Bank Schedule'!X:X, SMALL(IF('Bank Schedule'!$K$2:$K$825="Vacant", ROW('Bank Schedule'!$K$2:$K$825)), ROW(84:84))), "")</f>
        <v/>
      </c>
      <c r="X87" s="11" t="str">
        <f t="array" ref="X87">IFERROR(INDEX('Bank Schedule'!Y:Y, SMALL(IF('Bank Schedule'!$K$2:$K$825="Vacant", ROW('Bank Schedule'!$K$2:$K$825)), ROW(84:84))), "")</f>
        <v/>
      </c>
      <c r="Y87" s="11" t="str">
        <f t="array" ref="Y87">IFERROR(INDEX('Bank Schedule'!Z:Z, SMALL(IF('Bank Schedule'!$K$2:$K$825="Vacant", ROW('Bank Schedule'!$K$2:$K$825)), ROW(84:84))), "")</f>
        <v/>
      </c>
      <c r="Z87" s="11" t="str">
        <f t="array" ref="Z87">IFERROR(INDEX('Bank Schedule'!AA:AA, SMALL(IF('Bank Schedule'!$K$2:$K$825="Vacant", ROW('Bank Schedule'!$K$2:$K$825)), ROW(84:84))), "")</f>
        <v/>
      </c>
      <c r="AA87" s="11" t="str">
        <f t="array" ref="AA87">IFERROR(INDEX('Bank Schedule'!AB:AB, SMALL(IF('Bank Schedule'!$K$2:$K$825="Vacant", ROW('Bank Schedule'!$K$2:$K$825)), ROW(84:84))), "")</f>
        <v/>
      </c>
      <c r="AB87" s="25" t="str">
        <f t="array" ref="AB87">IFERROR(INDEX('Bank Schedule'!AC:AC, SMALL(IF('Bank Schedule'!$K$2:$K$825="Vacant", ROW('Bank Schedule'!$K$2:$K$825)), ROW(84:84))), "")</f>
        <v/>
      </c>
      <c r="AC87" s="299" t="str">
        <f t="array" ref="AC87">IFERROR(INDEX('Bank Schedule'!AD:AD, SMALL(IF('Bank Schedule'!$K$2:$K$825="Vacant", ROW('Bank Schedule'!$K$2:$K$825)), ROW(84:84))), "")</f>
        <v/>
      </c>
      <c r="AD87" s="11" t="str">
        <f t="array" ref="AD87">IFERROR(INDEX('Bank Schedule'!AE:AE, SMALL(IF('Bank Schedule'!$K$2:$K$825="Vacant", ROW('Bank Schedule'!$K$2:$K$825)), ROW(84:84))), "")</f>
        <v/>
      </c>
      <c r="AE87" s="11" t="str">
        <f t="array" ref="AE87">IFERROR(INDEX('Bank Schedule'!AF:AF, SMALL(IF('Bank Schedule'!$K$2:$K$825="Vacant", ROW('Bank Schedule'!$K$2:$K$825)), ROW(84:84))), "")</f>
        <v/>
      </c>
      <c r="AF87" s="11" t="str">
        <f t="array" ref="AF87">IFERROR(INDEX('Bank Schedule'!AG:AG, SMALL(IF('Bank Schedule'!$K$2:$K$825="Vacant", ROW('Bank Schedule'!$K$2:$K$825)), ROW(84:84))), "")</f>
        <v/>
      </c>
      <c r="AG87" s="4"/>
    </row>
    <row r="88" spans="1:33" ht="28.5" hidden="1" customHeight="1">
      <c r="A88" s="2" t="str">
        <f t="array" ref="A88">IFERROR(INDEX('Bank Schedule'!A:A, SMALL(IF('Bank Schedule'!$K$2:$K$825="Vacant", ROW('Bank Schedule'!$K$2:$K$825)), ROW(85:85))), "")</f>
        <v/>
      </c>
      <c r="B88" s="11" t="str">
        <f t="array" ref="B88">IFERROR(INDEX('Bank Schedule'!B:B, SMALL(IF('Bank Schedule'!$K$2:$K$825="Vacant", ROW('Bank Schedule'!$K$2:$K$825)), ROW(85:85))), "")</f>
        <v/>
      </c>
      <c r="C88" s="11" t="str">
        <f t="array" ref="C88">IFERROR(INDEX('Bank Schedule'!C:C, SMALL(IF('Bank Schedule'!$K$2:$K$825="Vacant", ROW('Bank Schedule'!$K$2:$K$825)), ROW(85:85))), "")</f>
        <v/>
      </c>
      <c r="D88" s="11" t="str">
        <f t="array" ref="D88">IFERROR(INDEX('Bank Schedule'!D:D, SMALL(IF('Bank Schedule'!$K$2:$K$825="Vacant", ROW('Bank Schedule'!$K$2:$K$825)), ROW(85:85))), "")</f>
        <v/>
      </c>
      <c r="E88" s="25" t="str">
        <f t="array" ref="E88">IFERROR(INDEX('Bank Schedule'!E:E, SMALL(IF('Bank Schedule'!$K$2:$K$825="Vacant", ROW('Bank Schedule'!$K$2:$K$825)), ROW(85:85))), "")</f>
        <v/>
      </c>
      <c r="F88" s="25" t="str">
        <f t="array" ref="F88">IFERROR(INDEX('Bank Schedule'!F:F, SMALL(IF('Bank Schedule'!$K$2:$K$825="Vacant", ROW('Bank Schedule'!$K$2:$K$825)), ROW(85:85))), "")</f>
        <v/>
      </c>
      <c r="G88" s="25" t="str">
        <f t="array" ref="G88">IFERROR(INDEX('Bank Schedule'!G:G, SMALL(IF('Bank Schedule'!$K$2:$K$825="Vacant", ROW('Bank Schedule'!$K$2:$K$825)), ROW(85:85))), "")</f>
        <v/>
      </c>
      <c r="H88" s="55" t="str">
        <f t="array" ref="H88">IFERROR(INDEX('Bank Schedule'!H:H, SMALL(IF('Bank Schedule'!$K$2:$K$825="Vacant", ROW('Bank Schedule'!$K$2:$K$825)), ROW(85:85))), "")</f>
        <v/>
      </c>
      <c r="I88" s="55" t="str">
        <f t="array" ref="I88">IFERROR(INDEX('Bank Schedule'!I:I, SMALL(IF('Bank Schedule'!$K$2:$K$825="Vacant", ROW('Bank Schedule'!$K$2:$K$825)), ROW(85:85))), "")</f>
        <v/>
      </c>
      <c r="J88" s="11" t="str">
        <f t="array" ref="J88">IFERROR(INDEX('Bank Schedule'!K:K, SMALL(IF('Bank Schedule'!$K$2:$K$825="Vacant", ROW('Bank Schedule'!$K$2:$K$825)), ROW(85:85))), "")</f>
        <v/>
      </c>
      <c r="K88" s="11" t="str">
        <f t="array" ref="K88">IFERROR(INDEX('Bank Schedule'!L:L, SMALL(IF('Bank Schedule'!$K$2:$K$825="Vacant", ROW('Bank Schedule'!$K$2:$K$825)), ROW(85:85))), "")</f>
        <v/>
      </c>
      <c r="L88" s="11" t="str">
        <f t="array" ref="L88">IFERROR(INDEX('Bank Schedule'!M:M, SMALL(IF('Bank Schedule'!$K$2:$K$825="Vacant", ROW('Bank Schedule'!$K$2:$K$825)), ROW(85:85))), "")</f>
        <v/>
      </c>
      <c r="M88" s="106" t="str">
        <f t="array" ref="M88">IFERROR(INDEX('Bank Schedule'!N:N, SMALL(IF('Bank Schedule'!$K$2:$K$825="Vacant", ROW('Bank Schedule'!$K$2:$K$825)), ROW(85:85))), "")</f>
        <v/>
      </c>
      <c r="N88" s="11" t="str">
        <f t="array" ref="N88">IFERROR(INDEX('Bank Schedule'!O:O, SMALL(IF('Bank Schedule'!$K$2:$K$825="Vacant", ROW('Bank Schedule'!$K$2:$K$825)), ROW(85:85))), "")</f>
        <v/>
      </c>
      <c r="O88" s="11" t="str">
        <f t="array" ref="O88">IFERROR(INDEX('Bank Schedule'!P:P, SMALL(IF('Bank Schedule'!$K$2:$K$825="Vacant", ROW('Bank Schedule'!$K$2:$K$825)), ROW(85:85))), "")</f>
        <v/>
      </c>
      <c r="P88" s="11" t="str">
        <f t="array" ref="P88">IFERROR(INDEX('Bank Schedule'!Q:Q, SMALL(IF('Bank Schedule'!$K$2:$K$825="Vacant", ROW('Bank Schedule'!$K$2:$K$825)), ROW(85:85))), "")</f>
        <v/>
      </c>
      <c r="Q88" s="11" t="str">
        <f t="array" ref="Q88">IFERROR(INDEX('Bank Schedule'!R:R, SMALL(IF('Bank Schedule'!$K$2:$K$825="Vacant", ROW('Bank Schedule'!$K$2:$K$825)), ROW(85:85))), "")</f>
        <v/>
      </c>
      <c r="R88" s="11" t="str">
        <f t="array" ref="R88">IFERROR(INDEX('Bank Schedule'!S:S, SMALL(IF('Bank Schedule'!$K$2:$K$825="Vacant", ROW('Bank Schedule'!$K$2:$K$825)), ROW(85:85))), "")</f>
        <v/>
      </c>
      <c r="S88" s="320" t="str">
        <f t="array" ref="S88">IFERROR(INDEX('Bank Schedule'!T:T, SMALL(IF('Bank Schedule'!$K$2:$K$825="Vacant", ROW('Bank Schedule'!$K$2:$K$825)), ROW(85:85))), "")</f>
        <v/>
      </c>
      <c r="T88" s="320" t="str">
        <f t="array" ref="T88">IFERROR(INDEX('Bank Schedule'!U:U, SMALL(IF('Bank Schedule'!$K$2:$K$825="Vacant", ROW('Bank Schedule'!$K$2:$K$825)), ROW(85:85))), "")</f>
        <v/>
      </c>
      <c r="U88" s="320" t="str">
        <f t="array" ref="U88">IFERROR(INDEX('Bank Schedule'!V:V, SMALL(IF('Bank Schedule'!$K$2:$K$825="Vacant", ROW('Bank Schedule'!$K$2:$K$825)), ROW(85:85))), "")</f>
        <v/>
      </c>
      <c r="V88" s="320" t="str">
        <f t="array" ref="V88">IFERROR(INDEX('Bank Schedule'!W:W, SMALL(IF('Bank Schedule'!$K$2:$K$825="Vacant", ROW('Bank Schedule'!$K$2:$K$825)), ROW(85:85))), "")</f>
        <v/>
      </c>
      <c r="W88" s="319" t="str">
        <f t="array" ref="W88">IFERROR(INDEX('Bank Schedule'!X:X, SMALL(IF('Bank Schedule'!$K$2:$K$825="Vacant", ROW('Bank Schedule'!$K$2:$K$825)), ROW(85:85))), "")</f>
        <v/>
      </c>
      <c r="X88" s="11" t="str">
        <f t="array" ref="X88">IFERROR(INDEX('Bank Schedule'!Y:Y, SMALL(IF('Bank Schedule'!$K$2:$K$825="Vacant", ROW('Bank Schedule'!$K$2:$K$825)), ROW(85:85))), "")</f>
        <v/>
      </c>
      <c r="Y88" s="11" t="str">
        <f t="array" ref="Y88">IFERROR(INDEX('Bank Schedule'!Z:Z, SMALL(IF('Bank Schedule'!$K$2:$K$825="Vacant", ROW('Bank Schedule'!$K$2:$K$825)), ROW(85:85))), "")</f>
        <v/>
      </c>
      <c r="Z88" s="11" t="str">
        <f t="array" ref="Z88">IFERROR(INDEX('Bank Schedule'!AA:AA, SMALL(IF('Bank Schedule'!$K$2:$K$825="Vacant", ROW('Bank Schedule'!$K$2:$K$825)), ROW(85:85))), "")</f>
        <v/>
      </c>
      <c r="AA88" s="11" t="str">
        <f t="array" ref="AA88">IFERROR(INDEX('Bank Schedule'!AB:AB, SMALL(IF('Bank Schedule'!$K$2:$K$825="Vacant", ROW('Bank Schedule'!$K$2:$K$825)), ROW(85:85))), "")</f>
        <v/>
      </c>
      <c r="AB88" s="25" t="str">
        <f t="array" ref="AB88">IFERROR(INDEX('Bank Schedule'!AC:AC, SMALL(IF('Bank Schedule'!$K$2:$K$825="Vacant", ROW('Bank Schedule'!$K$2:$K$825)), ROW(85:85))), "")</f>
        <v/>
      </c>
      <c r="AC88" s="299" t="str">
        <f t="array" ref="AC88">IFERROR(INDEX('Bank Schedule'!AD:AD, SMALL(IF('Bank Schedule'!$K$2:$K$825="Vacant", ROW('Bank Schedule'!$K$2:$K$825)), ROW(85:85))), "")</f>
        <v/>
      </c>
      <c r="AD88" s="11" t="str">
        <f t="array" ref="AD88">IFERROR(INDEX('Bank Schedule'!AE:AE, SMALL(IF('Bank Schedule'!$K$2:$K$825="Vacant", ROW('Bank Schedule'!$K$2:$K$825)), ROW(85:85))), "")</f>
        <v/>
      </c>
      <c r="AE88" s="11" t="str">
        <f t="array" ref="AE88">IFERROR(INDEX('Bank Schedule'!AF:AF, SMALL(IF('Bank Schedule'!$K$2:$K$825="Vacant", ROW('Bank Schedule'!$K$2:$K$825)), ROW(85:85))), "")</f>
        <v/>
      </c>
      <c r="AF88" s="11" t="str">
        <f t="array" ref="AF88">IFERROR(INDEX('Bank Schedule'!AG:AG, SMALL(IF('Bank Schedule'!$K$2:$K$825="Vacant", ROW('Bank Schedule'!$K$2:$K$825)), ROW(85:85))), "")</f>
        <v/>
      </c>
      <c r="AG88" s="4"/>
    </row>
    <row r="89" spans="1:33" ht="28.5" hidden="1" customHeight="1">
      <c r="A89" s="2" t="str">
        <f t="array" ref="A89">IFERROR(INDEX('Bank Schedule'!A:A, SMALL(IF('Bank Schedule'!$K$2:$K$825="Vacant", ROW('Bank Schedule'!$K$2:$K$825)), ROW(86:86))), "")</f>
        <v/>
      </c>
      <c r="B89" s="11" t="str">
        <f t="array" ref="B89">IFERROR(INDEX('Bank Schedule'!B:B, SMALL(IF('Bank Schedule'!$K$2:$K$825="Vacant", ROW('Bank Schedule'!$K$2:$K$825)), ROW(86:86))), "")</f>
        <v/>
      </c>
      <c r="C89" s="11" t="str">
        <f t="array" ref="C89">IFERROR(INDEX('Bank Schedule'!C:C, SMALL(IF('Bank Schedule'!$K$2:$K$825="Vacant", ROW('Bank Schedule'!$K$2:$K$825)), ROW(86:86))), "")</f>
        <v/>
      </c>
      <c r="D89" s="11" t="str">
        <f t="array" ref="D89">IFERROR(INDEX('Bank Schedule'!D:D, SMALL(IF('Bank Schedule'!$K$2:$K$825="Vacant", ROW('Bank Schedule'!$K$2:$K$825)), ROW(86:86))), "")</f>
        <v/>
      </c>
      <c r="E89" s="25" t="str">
        <f t="array" ref="E89">IFERROR(INDEX('Bank Schedule'!E:E, SMALL(IF('Bank Schedule'!$K$2:$K$825="Vacant", ROW('Bank Schedule'!$K$2:$K$825)), ROW(86:86))), "")</f>
        <v/>
      </c>
      <c r="F89" s="25" t="str">
        <f t="array" ref="F89">IFERROR(INDEX('Bank Schedule'!F:F, SMALL(IF('Bank Schedule'!$K$2:$K$825="Vacant", ROW('Bank Schedule'!$K$2:$K$825)), ROW(86:86))), "")</f>
        <v/>
      </c>
      <c r="G89" s="25" t="str">
        <f t="array" ref="G89">IFERROR(INDEX('Bank Schedule'!G:G, SMALL(IF('Bank Schedule'!$K$2:$K$825="Vacant", ROW('Bank Schedule'!$K$2:$K$825)), ROW(86:86))), "")</f>
        <v/>
      </c>
      <c r="H89" s="55" t="str">
        <f t="array" ref="H89">IFERROR(INDEX('Bank Schedule'!H:H, SMALL(IF('Bank Schedule'!$K$2:$K$825="Vacant", ROW('Bank Schedule'!$K$2:$K$825)), ROW(86:86))), "")</f>
        <v/>
      </c>
      <c r="I89" s="55" t="str">
        <f t="array" ref="I89">IFERROR(INDEX('Bank Schedule'!I:I, SMALL(IF('Bank Schedule'!$K$2:$K$825="Vacant", ROW('Bank Schedule'!$K$2:$K$825)), ROW(86:86))), "")</f>
        <v/>
      </c>
      <c r="J89" s="11" t="str">
        <f t="array" ref="J89">IFERROR(INDEX('Bank Schedule'!K:K, SMALL(IF('Bank Schedule'!$K$2:$K$825="Vacant", ROW('Bank Schedule'!$K$2:$K$825)), ROW(86:86))), "")</f>
        <v/>
      </c>
      <c r="K89" s="11" t="str">
        <f t="array" ref="K89">IFERROR(INDEX('Bank Schedule'!L:L, SMALL(IF('Bank Schedule'!$K$2:$K$825="Vacant", ROW('Bank Schedule'!$K$2:$K$825)), ROW(86:86))), "")</f>
        <v/>
      </c>
      <c r="L89" s="11" t="str">
        <f t="array" ref="L89">IFERROR(INDEX('Bank Schedule'!M:M, SMALL(IF('Bank Schedule'!$K$2:$K$825="Vacant", ROW('Bank Schedule'!$K$2:$K$825)), ROW(86:86))), "")</f>
        <v/>
      </c>
      <c r="M89" s="106" t="str">
        <f t="array" ref="M89">IFERROR(INDEX('Bank Schedule'!N:N, SMALL(IF('Bank Schedule'!$K$2:$K$825="Vacant", ROW('Bank Schedule'!$K$2:$K$825)), ROW(86:86))), "")</f>
        <v/>
      </c>
      <c r="N89" s="11" t="str">
        <f t="array" ref="N89">IFERROR(INDEX('Bank Schedule'!O:O, SMALL(IF('Bank Schedule'!$K$2:$K$825="Vacant", ROW('Bank Schedule'!$K$2:$K$825)), ROW(86:86))), "")</f>
        <v/>
      </c>
      <c r="O89" s="11" t="str">
        <f t="array" ref="O89">IFERROR(INDEX('Bank Schedule'!P:P, SMALL(IF('Bank Schedule'!$K$2:$K$825="Vacant", ROW('Bank Schedule'!$K$2:$K$825)), ROW(86:86))), "")</f>
        <v/>
      </c>
      <c r="P89" s="11" t="str">
        <f t="array" ref="P89">IFERROR(INDEX('Bank Schedule'!Q:Q, SMALL(IF('Bank Schedule'!$K$2:$K$825="Vacant", ROW('Bank Schedule'!$K$2:$K$825)), ROW(86:86))), "")</f>
        <v/>
      </c>
      <c r="Q89" s="11" t="str">
        <f t="array" ref="Q89">IFERROR(INDEX('Bank Schedule'!R:R, SMALL(IF('Bank Schedule'!$K$2:$K$825="Vacant", ROW('Bank Schedule'!$K$2:$K$825)), ROW(86:86))), "")</f>
        <v/>
      </c>
      <c r="R89" s="11" t="str">
        <f t="array" ref="R89">IFERROR(INDEX('Bank Schedule'!S:S, SMALL(IF('Bank Schedule'!$K$2:$K$825="Vacant", ROW('Bank Schedule'!$K$2:$K$825)), ROW(86:86))), "")</f>
        <v/>
      </c>
      <c r="S89" s="320" t="str">
        <f t="array" ref="S89">IFERROR(INDEX('Bank Schedule'!T:T, SMALL(IF('Bank Schedule'!$K$2:$K$825="Vacant", ROW('Bank Schedule'!$K$2:$K$825)), ROW(86:86))), "")</f>
        <v/>
      </c>
      <c r="T89" s="320" t="str">
        <f t="array" ref="T89">IFERROR(INDEX('Bank Schedule'!U:U, SMALL(IF('Bank Schedule'!$K$2:$K$825="Vacant", ROW('Bank Schedule'!$K$2:$K$825)), ROW(86:86))), "")</f>
        <v/>
      </c>
      <c r="U89" s="320" t="str">
        <f t="array" ref="U89">IFERROR(INDEX('Bank Schedule'!V:V, SMALL(IF('Bank Schedule'!$K$2:$K$825="Vacant", ROW('Bank Schedule'!$K$2:$K$825)), ROW(86:86))), "")</f>
        <v/>
      </c>
      <c r="V89" s="320" t="str">
        <f t="array" ref="V89">IFERROR(INDEX('Bank Schedule'!W:W, SMALL(IF('Bank Schedule'!$K$2:$K$825="Vacant", ROW('Bank Schedule'!$K$2:$K$825)), ROW(86:86))), "")</f>
        <v/>
      </c>
      <c r="W89" s="319" t="str">
        <f t="array" ref="W89">IFERROR(INDEX('Bank Schedule'!X:X, SMALL(IF('Bank Schedule'!$K$2:$K$825="Vacant", ROW('Bank Schedule'!$K$2:$K$825)), ROW(86:86))), "")</f>
        <v/>
      </c>
      <c r="X89" s="11" t="str">
        <f t="array" ref="X89">IFERROR(INDEX('Bank Schedule'!Y:Y, SMALL(IF('Bank Schedule'!$K$2:$K$825="Vacant", ROW('Bank Schedule'!$K$2:$K$825)), ROW(86:86))), "")</f>
        <v/>
      </c>
      <c r="Y89" s="11" t="str">
        <f t="array" ref="Y89">IFERROR(INDEX('Bank Schedule'!Z:Z, SMALL(IF('Bank Schedule'!$K$2:$K$825="Vacant", ROW('Bank Schedule'!$K$2:$K$825)), ROW(86:86))), "")</f>
        <v/>
      </c>
      <c r="Z89" s="11" t="str">
        <f t="array" ref="Z89">IFERROR(INDEX('Bank Schedule'!AA:AA, SMALL(IF('Bank Schedule'!$K$2:$K$825="Vacant", ROW('Bank Schedule'!$K$2:$K$825)), ROW(86:86))), "")</f>
        <v/>
      </c>
      <c r="AA89" s="11" t="str">
        <f t="array" ref="AA89">IFERROR(INDEX('Bank Schedule'!AB:AB, SMALL(IF('Bank Schedule'!$K$2:$K$825="Vacant", ROW('Bank Schedule'!$K$2:$K$825)), ROW(86:86))), "")</f>
        <v/>
      </c>
      <c r="AB89" s="25" t="str">
        <f t="array" ref="AB89">IFERROR(INDEX('Bank Schedule'!AC:AC, SMALL(IF('Bank Schedule'!$K$2:$K$825="Vacant", ROW('Bank Schedule'!$K$2:$K$825)), ROW(86:86))), "")</f>
        <v/>
      </c>
      <c r="AC89" s="299" t="str">
        <f t="array" ref="AC89">IFERROR(INDEX('Bank Schedule'!AD:AD, SMALL(IF('Bank Schedule'!$K$2:$K$825="Vacant", ROW('Bank Schedule'!$K$2:$K$825)), ROW(86:86))), "")</f>
        <v/>
      </c>
      <c r="AD89" s="11" t="str">
        <f t="array" ref="AD89">IFERROR(INDEX('Bank Schedule'!AE:AE, SMALL(IF('Bank Schedule'!$K$2:$K$825="Vacant", ROW('Bank Schedule'!$K$2:$K$825)), ROW(86:86))), "")</f>
        <v/>
      </c>
      <c r="AE89" s="11" t="str">
        <f t="array" ref="AE89">IFERROR(INDEX('Bank Schedule'!AF:AF, SMALL(IF('Bank Schedule'!$K$2:$K$825="Vacant", ROW('Bank Schedule'!$K$2:$K$825)), ROW(86:86))), "")</f>
        <v/>
      </c>
      <c r="AF89" s="11" t="str">
        <f t="array" ref="AF89">IFERROR(INDEX('Bank Schedule'!AG:AG, SMALL(IF('Bank Schedule'!$K$2:$K$825="Vacant", ROW('Bank Schedule'!$K$2:$K$825)), ROW(86:86))), "")</f>
        <v/>
      </c>
      <c r="AG89" s="4"/>
    </row>
    <row r="90" spans="1:33" ht="28.5" hidden="1" customHeight="1">
      <c r="A90" s="2" t="str">
        <f t="array" ref="A90">IFERROR(INDEX('Bank Schedule'!A:A, SMALL(IF('Bank Schedule'!$K$2:$K$825="Vacant", ROW('Bank Schedule'!$K$2:$K$825)), ROW(87:87))), "")</f>
        <v/>
      </c>
      <c r="B90" s="11" t="str">
        <f t="array" ref="B90">IFERROR(INDEX('Bank Schedule'!B:B, SMALL(IF('Bank Schedule'!$K$2:$K$825="Vacant", ROW('Bank Schedule'!$K$2:$K$825)), ROW(87:87))), "")</f>
        <v/>
      </c>
      <c r="C90" s="11" t="str">
        <f t="array" ref="C90">IFERROR(INDEX('Bank Schedule'!C:C, SMALL(IF('Bank Schedule'!$K$2:$K$825="Vacant", ROW('Bank Schedule'!$K$2:$K$825)), ROW(87:87))), "")</f>
        <v/>
      </c>
      <c r="D90" s="11" t="str">
        <f t="array" ref="D90">IFERROR(INDEX('Bank Schedule'!D:D, SMALL(IF('Bank Schedule'!$K$2:$K$825="Vacant", ROW('Bank Schedule'!$K$2:$K$825)), ROW(87:87))), "")</f>
        <v/>
      </c>
      <c r="E90" s="25" t="str">
        <f t="array" ref="E90">IFERROR(INDEX('Bank Schedule'!E:E, SMALL(IF('Bank Schedule'!$K$2:$K$825="Vacant", ROW('Bank Schedule'!$K$2:$K$825)), ROW(87:87))), "")</f>
        <v/>
      </c>
      <c r="F90" s="25" t="str">
        <f t="array" ref="F90">IFERROR(INDEX('Bank Schedule'!F:F, SMALL(IF('Bank Schedule'!$K$2:$K$825="Vacant", ROW('Bank Schedule'!$K$2:$K$825)), ROW(87:87))), "")</f>
        <v/>
      </c>
      <c r="G90" s="25" t="str">
        <f t="array" ref="G90">IFERROR(INDEX('Bank Schedule'!G:G, SMALL(IF('Bank Schedule'!$K$2:$K$825="Vacant", ROW('Bank Schedule'!$K$2:$K$825)), ROW(87:87))), "")</f>
        <v/>
      </c>
      <c r="H90" s="55" t="str">
        <f t="array" ref="H90">IFERROR(INDEX('Bank Schedule'!H:H, SMALL(IF('Bank Schedule'!$K$2:$K$825="Vacant", ROW('Bank Schedule'!$K$2:$K$825)), ROW(87:87))), "")</f>
        <v/>
      </c>
      <c r="I90" s="55" t="str">
        <f t="array" ref="I90">IFERROR(INDEX('Bank Schedule'!I:I, SMALL(IF('Bank Schedule'!$K$2:$K$825="Vacant", ROW('Bank Schedule'!$K$2:$K$825)), ROW(87:87))), "")</f>
        <v/>
      </c>
      <c r="J90" s="11" t="str">
        <f t="array" ref="J90">IFERROR(INDEX('Bank Schedule'!K:K, SMALL(IF('Bank Schedule'!$K$2:$K$825="Vacant", ROW('Bank Schedule'!$K$2:$K$825)), ROW(87:87))), "")</f>
        <v/>
      </c>
      <c r="K90" s="11" t="str">
        <f t="array" ref="K90">IFERROR(INDEX('Bank Schedule'!L:L, SMALL(IF('Bank Schedule'!$K$2:$K$825="Vacant", ROW('Bank Schedule'!$K$2:$K$825)), ROW(87:87))), "")</f>
        <v/>
      </c>
      <c r="L90" s="11" t="str">
        <f t="array" ref="L90">IFERROR(INDEX('Bank Schedule'!M:M, SMALL(IF('Bank Schedule'!$K$2:$K$825="Vacant", ROW('Bank Schedule'!$K$2:$K$825)), ROW(87:87))), "")</f>
        <v/>
      </c>
      <c r="M90" s="106" t="str">
        <f t="array" ref="M90">IFERROR(INDEX('Bank Schedule'!N:N, SMALL(IF('Bank Schedule'!$K$2:$K$825="Vacant", ROW('Bank Schedule'!$K$2:$K$825)), ROW(87:87))), "")</f>
        <v/>
      </c>
      <c r="N90" s="11" t="str">
        <f t="array" ref="N90">IFERROR(INDEX('Bank Schedule'!O:O, SMALL(IF('Bank Schedule'!$K$2:$K$825="Vacant", ROW('Bank Schedule'!$K$2:$K$825)), ROW(87:87))), "")</f>
        <v/>
      </c>
      <c r="O90" s="11" t="str">
        <f t="array" ref="O90">IFERROR(INDEX('Bank Schedule'!P:P, SMALL(IF('Bank Schedule'!$K$2:$K$825="Vacant", ROW('Bank Schedule'!$K$2:$K$825)), ROW(87:87))), "")</f>
        <v/>
      </c>
      <c r="P90" s="11" t="str">
        <f t="array" ref="P90">IFERROR(INDEX('Bank Schedule'!Q:Q, SMALL(IF('Bank Schedule'!$K$2:$K$825="Vacant", ROW('Bank Schedule'!$K$2:$K$825)), ROW(87:87))), "")</f>
        <v/>
      </c>
      <c r="Q90" s="11" t="str">
        <f t="array" ref="Q90">IFERROR(INDEX('Bank Schedule'!R:R, SMALL(IF('Bank Schedule'!$K$2:$K$825="Vacant", ROW('Bank Schedule'!$K$2:$K$825)), ROW(87:87))), "")</f>
        <v/>
      </c>
      <c r="R90" s="11" t="str">
        <f t="array" ref="R90">IFERROR(INDEX('Bank Schedule'!S:S, SMALL(IF('Bank Schedule'!$K$2:$K$825="Vacant", ROW('Bank Schedule'!$K$2:$K$825)), ROW(87:87))), "")</f>
        <v/>
      </c>
      <c r="S90" s="320" t="str">
        <f t="array" ref="S90">IFERROR(INDEX('Bank Schedule'!T:T, SMALL(IF('Bank Schedule'!$K$2:$K$825="Vacant", ROW('Bank Schedule'!$K$2:$K$825)), ROW(87:87))), "")</f>
        <v/>
      </c>
      <c r="T90" s="320" t="str">
        <f t="array" ref="T90">IFERROR(INDEX('Bank Schedule'!U:U, SMALL(IF('Bank Schedule'!$K$2:$K$825="Vacant", ROW('Bank Schedule'!$K$2:$K$825)), ROW(87:87))), "")</f>
        <v/>
      </c>
      <c r="U90" s="320" t="str">
        <f t="array" ref="U90">IFERROR(INDEX('Bank Schedule'!V:V, SMALL(IF('Bank Schedule'!$K$2:$K$825="Vacant", ROW('Bank Schedule'!$K$2:$K$825)), ROW(87:87))), "")</f>
        <v/>
      </c>
      <c r="V90" s="320" t="str">
        <f t="array" ref="V90">IFERROR(INDEX('Bank Schedule'!W:W, SMALL(IF('Bank Schedule'!$K$2:$K$825="Vacant", ROW('Bank Schedule'!$K$2:$K$825)), ROW(87:87))), "")</f>
        <v/>
      </c>
      <c r="W90" s="319" t="str">
        <f t="array" ref="W90">IFERROR(INDEX('Bank Schedule'!X:X, SMALL(IF('Bank Schedule'!$K$2:$K$825="Vacant", ROW('Bank Schedule'!$K$2:$K$825)), ROW(87:87))), "")</f>
        <v/>
      </c>
      <c r="X90" s="11" t="str">
        <f t="array" ref="X90">IFERROR(INDEX('Bank Schedule'!Y:Y, SMALL(IF('Bank Schedule'!$K$2:$K$825="Vacant", ROW('Bank Schedule'!$K$2:$K$825)), ROW(87:87))), "")</f>
        <v/>
      </c>
      <c r="Y90" s="11" t="str">
        <f t="array" ref="Y90">IFERROR(INDEX('Bank Schedule'!Z:Z, SMALL(IF('Bank Schedule'!$K$2:$K$825="Vacant", ROW('Bank Schedule'!$K$2:$K$825)), ROW(87:87))), "")</f>
        <v/>
      </c>
      <c r="Z90" s="11" t="str">
        <f t="array" ref="Z90">IFERROR(INDEX('Bank Schedule'!AA:AA, SMALL(IF('Bank Schedule'!$K$2:$K$825="Vacant", ROW('Bank Schedule'!$K$2:$K$825)), ROW(87:87))), "")</f>
        <v/>
      </c>
      <c r="AA90" s="11" t="str">
        <f t="array" ref="AA90">IFERROR(INDEX('Bank Schedule'!AB:AB, SMALL(IF('Bank Schedule'!$K$2:$K$825="Vacant", ROW('Bank Schedule'!$K$2:$K$825)), ROW(87:87))), "")</f>
        <v/>
      </c>
      <c r="AB90" s="25" t="str">
        <f t="array" ref="AB90">IFERROR(INDEX('Bank Schedule'!AC:AC, SMALL(IF('Bank Schedule'!$K$2:$K$825="Vacant", ROW('Bank Schedule'!$K$2:$K$825)), ROW(87:87))), "")</f>
        <v/>
      </c>
      <c r="AC90" s="299" t="str">
        <f t="array" ref="AC90">IFERROR(INDEX('Bank Schedule'!AD:AD, SMALL(IF('Bank Schedule'!$K$2:$K$825="Vacant", ROW('Bank Schedule'!$K$2:$K$825)), ROW(87:87))), "")</f>
        <v/>
      </c>
      <c r="AD90" s="11" t="str">
        <f t="array" ref="AD90">IFERROR(INDEX('Bank Schedule'!AE:AE, SMALL(IF('Bank Schedule'!$K$2:$K$825="Vacant", ROW('Bank Schedule'!$K$2:$K$825)), ROW(87:87))), "")</f>
        <v/>
      </c>
      <c r="AE90" s="11" t="str">
        <f t="array" ref="AE90">IFERROR(INDEX('Bank Schedule'!AF:AF, SMALL(IF('Bank Schedule'!$K$2:$K$825="Vacant", ROW('Bank Schedule'!$K$2:$K$825)), ROW(87:87))), "")</f>
        <v/>
      </c>
      <c r="AF90" s="11" t="str">
        <f t="array" ref="AF90">IFERROR(INDEX('Bank Schedule'!AG:AG, SMALL(IF('Bank Schedule'!$K$2:$K$825="Vacant", ROW('Bank Schedule'!$K$2:$K$825)), ROW(87:87))), "")</f>
        <v/>
      </c>
      <c r="AG90" s="4"/>
    </row>
    <row r="91" spans="1:33" ht="28.5" hidden="1" customHeight="1">
      <c r="A91" s="2" t="str">
        <f t="array" ref="A91">IFERROR(INDEX('Bank Schedule'!A:A, SMALL(IF('Bank Schedule'!$K$2:$K$825="Vacant", ROW('Bank Schedule'!$K$2:$K$825)), ROW(88:88))), "")</f>
        <v/>
      </c>
      <c r="B91" s="11" t="str">
        <f t="array" ref="B91">IFERROR(INDEX('Bank Schedule'!B:B, SMALL(IF('Bank Schedule'!$K$2:$K$825="Vacant", ROW('Bank Schedule'!$K$2:$K$825)), ROW(88:88))), "")</f>
        <v/>
      </c>
      <c r="C91" s="11" t="str">
        <f t="array" ref="C91">IFERROR(INDEX('Bank Schedule'!C:C, SMALL(IF('Bank Schedule'!$K$2:$K$825="Vacant", ROW('Bank Schedule'!$K$2:$K$825)), ROW(88:88))), "")</f>
        <v/>
      </c>
      <c r="D91" s="11" t="str">
        <f t="array" ref="D91">IFERROR(INDEX('Bank Schedule'!D:D, SMALL(IF('Bank Schedule'!$K$2:$K$825="Vacant", ROW('Bank Schedule'!$K$2:$K$825)), ROW(88:88))), "")</f>
        <v/>
      </c>
      <c r="E91" s="25" t="str">
        <f t="array" ref="E91">IFERROR(INDEX('Bank Schedule'!E:E, SMALL(IF('Bank Schedule'!$K$2:$K$825="Vacant", ROW('Bank Schedule'!$K$2:$K$825)), ROW(88:88))), "")</f>
        <v/>
      </c>
      <c r="F91" s="25" t="str">
        <f t="array" ref="F91">IFERROR(INDEX('Bank Schedule'!F:F, SMALL(IF('Bank Schedule'!$K$2:$K$825="Vacant", ROW('Bank Schedule'!$K$2:$K$825)), ROW(88:88))), "")</f>
        <v/>
      </c>
      <c r="G91" s="25" t="str">
        <f t="array" ref="G91">IFERROR(INDEX('Bank Schedule'!G:G, SMALL(IF('Bank Schedule'!$K$2:$K$825="Vacant", ROW('Bank Schedule'!$K$2:$K$825)), ROW(88:88))), "")</f>
        <v/>
      </c>
      <c r="H91" s="55" t="str">
        <f t="array" ref="H91">IFERROR(INDEX('Bank Schedule'!H:H, SMALL(IF('Bank Schedule'!$K$2:$K$825="Vacant", ROW('Bank Schedule'!$K$2:$K$825)), ROW(88:88))), "")</f>
        <v/>
      </c>
      <c r="I91" s="55" t="str">
        <f t="array" ref="I91">IFERROR(INDEX('Bank Schedule'!I:I, SMALL(IF('Bank Schedule'!$K$2:$K$825="Vacant", ROW('Bank Schedule'!$K$2:$K$825)), ROW(88:88))), "")</f>
        <v/>
      </c>
      <c r="J91" s="11" t="str">
        <f t="array" ref="J91">IFERROR(INDEX('Bank Schedule'!K:K, SMALL(IF('Bank Schedule'!$K$2:$K$825="Vacant", ROW('Bank Schedule'!$K$2:$K$825)), ROW(88:88))), "")</f>
        <v/>
      </c>
      <c r="K91" s="11" t="str">
        <f t="array" ref="K91">IFERROR(INDEX('Bank Schedule'!L:L, SMALL(IF('Bank Schedule'!$K$2:$K$825="Vacant", ROW('Bank Schedule'!$K$2:$K$825)), ROW(88:88))), "")</f>
        <v/>
      </c>
      <c r="L91" s="11" t="str">
        <f t="array" ref="L91">IFERROR(INDEX('Bank Schedule'!M:M, SMALL(IF('Bank Schedule'!$K$2:$K$825="Vacant", ROW('Bank Schedule'!$K$2:$K$825)), ROW(88:88))), "")</f>
        <v/>
      </c>
      <c r="M91" s="106" t="str">
        <f t="array" ref="M91">IFERROR(INDEX('Bank Schedule'!N:N, SMALL(IF('Bank Schedule'!$K$2:$K$825="Vacant", ROW('Bank Schedule'!$K$2:$K$825)), ROW(88:88))), "")</f>
        <v/>
      </c>
      <c r="N91" s="11" t="str">
        <f t="array" ref="N91">IFERROR(INDEX('Bank Schedule'!O:O, SMALL(IF('Bank Schedule'!$K$2:$K$825="Vacant", ROW('Bank Schedule'!$K$2:$K$825)), ROW(88:88))), "")</f>
        <v/>
      </c>
      <c r="O91" s="11" t="str">
        <f t="array" ref="O91">IFERROR(INDEX('Bank Schedule'!P:P, SMALL(IF('Bank Schedule'!$K$2:$K$825="Vacant", ROW('Bank Schedule'!$K$2:$K$825)), ROW(88:88))), "")</f>
        <v/>
      </c>
      <c r="P91" s="11" t="str">
        <f t="array" ref="P91">IFERROR(INDEX('Bank Schedule'!Q:Q, SMALL(IF('Bank Schedule'!$K$2:$K$825="Vacant", ROW('Bank Schedule'!$K$2:$K$825)), ROW(88:88))), "")</f>
        <v/>
      </c>
      <c r="Q91" s="11" t="str">
        <f t="array" ref="Q91">IFERROR(INDEX('Bank Schedule'!R:R, SMALL(IF('Bank Schedule'!$K$2:$K$825="Vacant", ROW('Bank Schedule'!$K$2:$K$825)), ROW(88:88))), "")</f>
        <v/>
      </c>
      <c r="R91" s="11" t="str">
        <f t="array" ref="R91">IFERROR(INDEX('Bank Schedule'!S:S, SMALL(IF('Bank Schedule'!$K$2:$K$825="Vacant", ROW('Bank Schedule'!$K$2:$K$825)), ROW(88:88))), "")</f>
        <v/>
      </c>
      <c r="S91" s="320" t="str">
        <f t="array" ref="S91">IFERROR(INDEX('Bank Schedule'!T:T, SMALL(IF('Bank Schedule'!$K$2:$K$825="Vacant", ROW('Bank Schedule'!$K$2:$K$825)), ROW(88:88))), "")</f>
        <v/>
      </c>
      <c r="T91" s="320" t="str">
        <f t="array" ref="T91">IFERROR(INDEX('Bank Schedule'!U:U, SMALL(IF('Bank Schedule'!$K$2:$K$825="Vacant", ROW('Bank Schedule'!$K$2:$K$825)), ROW(88:88))), "")</f>
        <v/>
      </c>
      <c r="U91" s="320" t="str">
        <f t="array" ref="U91">IFERROR(INDEX('Bank Schedule'!V:V, SMALL(IF('Bank Schedule'!$K$2:$K$825="Vacant", ROW('Bank Schedule'!$K$2:$K$825)), ROW(88:88))), "")</f>
        <v/>
      </c>
      <c r="V91" s="320" t="str">
        <f t="array" ref="V91">IFERROR(INDEX('Bank Schedule'!W:W, SMALL(IF('Bank Schedule'!$K$2:$K$825="Vacant", ROW('Bank Schedule'!$K$2:$K$825)), ROW(88:88))), "")</f>
        <v/>
      </c>
      <c r="W91" s="319" t="str">
        <f t="array" ref="W91">IFERROR(INDEX('Bank Schedule'!X:X, SMALL(IF('Bank Schedule'!$K$2:$K$825="Vacant", ROW('Bank Schedule'!$K$2:$K$825)), ROW(88:88))), "")</f>
        <v/>
      </c>
      <c r="X91" s="11" t="str">
        <f t="array" ref="X91">IFERROR(INDEX('Bank Schedule'!Y:Y, SMALL(IF('Bank Schedule'!$K$2:$K$825="Vacant", ROW('Bank Schedule'!$K$2:$K$825)), ROW(88:88))), "")</f>
        <v/>
      </c>
      <c r="Y91" s="11" t="str">
        <f t="array" ref="Y91">IFERROR(INDEX('Bank Schedule'!Z:Z, SMALL(IF('Bank Schedule'!$K$2:$K$825="Vacant", ROW('Bank Schedule'!$K$2:$K$825)), ROW(88:88))), "")</f>
        <v/>
      </c>
      <c r="Z91" s="11" t="str">
        <f t="array" ref="Z91">IFERROR(INDEX('Bank Schedule'!AA:AA, SMALL(IF('Bank Schedule'!$K$2:$K$825="Vacant", ROW('Bank Schedule'!$K$2:$K$825)), ROW(88:88))), "")</f>
        <v/>
      </c>
      <c r="AA91" s="11" t="str">
        <f t="array" ref="AA91">IFERROR(INDEX('Bank Schedule'!AB:AB, SMALL(IF('Bank Schedule'!$K$2:$K$825="Vacant", ROW('Bank Schedule'!$K$2:$K$825)), ROW(88:88))), "")</f>
        <v/>
      </c>
      <c r="AB91" s="25" t="str">
        <f t="array" ref="AB91">IFERROR(INDEX('Bank Schedule'!AC:AC, SMALL(IF('Bank Schedule'!$K$2:$K$825="Vacant", ROW('Bank Schedule'!$K$2:$K$825)), ROW(88:88))), "")</f>
        <v/>
      </c>
      <c r="AC91" s="299" t="str">
        <f t="array" ref="AC91">IFERROR(INDEX('Bank Schedule'!AD:AD, SMALL(IF('Bank Schedule'!$K$2:$K$825="Vacant", ROW('Bank Schedule'!$K$2:$K$825)), ROW(88:88))), "")</f>
        <v/>
      </c>
      <c r="AD91" s="11" t="str">
        <f t="array" ref="AD91">IFERROR(INDEX('Bank Schedule'!AE:AE, SMALL(IF('Bank Schedule'!$K$2:$K$825="Vacant", ROW('Bank Schedule'!$K$2:$K$825)), ROW(88:88))), "")</f>
        <v/>
      </c>
      <c r="AE91" s="11" t="str">
        <f t="array" ref="AE91">IFERROR(INDEX('Bank Schedule'!AF:AF, SMALL(IF('Bank Schedule'!$K$2:$K$825="Vacant", ROW('Bank Schedule'!$K$2:$K$825)), ROW(88:88))), "")</f>
        <v/>
      </c>
      <c r="AF91" s="11" t="str">
        <f t="array" ref="AF91">IFERROR(INDEX('Bank Schedule'!AG:AG, SMALL(IF('Bank Schedule'!$K$2:$K$825="Vacant", ROW('Bank Schedule'!$K$2:$K$825)), ROW(88:88))), "")</f>
        <v/>
      </c>
      <c r="AG91" s="4"/>
    </row>
    <row r="92" spans="1:33" ht="28.5" hidden="1" customHeight="1">
      <c r="A92" s="2" t="str">
        <f t="array" ref="A92">IFERROR(INDEX('Bank Schedule'!A:A, SMALL(IF('Bank Schedule'!$K$2:$K$825="Vacant", ROW('Bank Schedule'!$K$2:$K$825)), ROW(89:89))), "")</f>
        <v/>
      </c>
      <c r="B92" s="11" t="str">
        <f t="array" ref="B92">IFERROR(INDEX('Bank Schedule'!B:B, SMALL(IF('Bank Schedule'!$K$2:$K$825="Vacant", ROW('Bank Schedule'!$K$2:$K$825)), ROW(89:89))), "")</f>
        <v/>
      </c>
      <c r="C92" s="11" t="str">
        <f t="array" ref="C92">IFERROR(INDEX('Bank Schedule'!C:C, SMALL(IF('Bank Schedule'!$K$2:$K$825="Vacant", ROW('Bank Schedule'!$K$2:$K$825)), ROW(89:89))), "")</f>
        <v/>
      </c>
      <c r="D92" s="11" t="str">
        <f t="array" ref="D92">IFERROR(INDEX('Bank Schedule'!D:D, SMALL(IF('Bank Schedule'!$K$2:$K$825="Vacant", ROW('Bank Schedule'!$K$2:$K$825)), ROW(89:89))), "")</f>
        <v/>
      </c>
      <c r="E92" s="25" t="str">
        <f t="array" ref="E92">IFERROR(INDEX('Bank Schedule'!E:E, SMALL(IF('Bank Schedule'!$K$2:$K$825="Vacant", ROW('Bank Schedule'!$K$2:$K$825)), ROW(89:89))), "")</f>
        <v/>
      </c>
      <c r="F92" s="25" t="str">
        <f t="array" ref="F92">IFERROR(INDEX('Bank Schedule'!F:F, SMALL(IF('Bank Schedule'!$K$2:$K$825="Vacant", ROW('Bank Schedule'!$K$2:$K$825)), ROW(89:89))), "")</f>
        <v/>
      </c>
      <c r="G92" s="25" t="str">
        <f t="array" ref="G92">IFERROR(INDEX('Bank Schedule'!G:G, SMALL(IF('Bank Schedule'!$K$2:$K$825="Vacant", ROW('Bank Schedule'!$K$2:$K$825)), ROW(89:89))), "")</f>
        <v/>
      </c>
      <c r="H92" s="55" t="str">
        <f t="array" ref="H92">IFERROR(INDEX('Bank Schedule'!H:H, SMALL(IF('Bank Schedule'!$K$2:$K$825="Vacant", ROW('Bank Schedule'!$K$2:$K$825)), ROW(89:89))), "")</f>
        <v/>
      </c>
      <c r="I92" s="55" t="str">
        <f t="array" ref="I92">IFERROR(INDEX('Bank Schedule'!I:I, SMALL(IF('Bank Schedule'!$K$2:$K$825="Vacant", ROW('Bank Schedule'!$K$2:$K$825)), ROW(89:89))), "")</f>
        <v/>
      </c>
      <c r="J92" s="11" t="str">
        <f t="array" ref="J92">IFERROR(INDEX('Bank Schedule'!K:K, SMALL(IF('Bank Schedule'!$K$2:$K$825="Vacant", ROW('Bank Schedule'!$K$2:$K$825)), ROW(89:89))), "")</f>
        <v/>
      </c>
      <c r="K92" s="11" t="str">
        <f t="array" ref="K92">IFERROR(INDEX('Bank Schedule'!L:L, SMALL(IF('Bank Schedule'!$K$2:$K$825="Vacant", ROW('Bank Schedule'!$K$2:$K$825)), ROW(89:89))), "")</f>
        <v/>
      </c>
      <c r="L92" s="11" t="str">
        <f t="array" ref="L92">IFERROR(INDEX('Bank Schedule'!M:M, SMALL(IF('Bank Schedule'!$K$2:$K$825="Vacant", ROW('Bank Schedule'!$K$2:$K$825)), ROW(89:89))), "")</f>
        <v/>
      </c>
      <c r="M92" s="106" t="str">
        <f t="array" ref="M92">IFERROR(INDEX('Bank Schedule'!N:N, SMALL(IF('Bank Schedule'!$K$2:$K$825="Vacant", ROW('Bank Schedule'!$K$2:$K$825)), ROW(89:89))), "")</f>
        <v/>
      </c>
      <c r="N92" s="11" t="str">
        <f t="array" ref="N92">IFERROR(INDEX('Bank Schedule'!O:O, SMALL(IF('Bank Schedule'!$K$2:$K$825="Vacant", ROW('Bank Schedule'!$K$2:$K$825)), ROW(89:89))), "")</f>
        <v/>
      </c>
      <c r="O92" s="11" t="str">
        <f t="array" ref="O92">IFERROR(INDEX('Bank Schedule'!P:P, SMALL(IF('Bank Schedule'!$K$2:$K$825="Vacant", ROW('Bank Schedule'!$K$2:$K$825)), ROW(89:89))), "")</f>
        <v/>
      </c>
      <c r="P92" s="11" t="str">
        <f t="array" ref="P92">IFERROR(INDEX('Bank Schedule'!Q:Q, SMALL(IF('Bank Schedule'!$K$2:$K$825="Vacant", ROW('Bank Schedule'!$K$2:$K$825)), ROW(89:89))), "")</f>
        <v/>
      </c>
      <c r="Q92" s="11" t="str">
        <f t="array" ref="Q92">IFERROR(INDEX('Bank Schedule'!R:R, SMALL(IF('Bank Schedule'!$K$2:$K$825="Vacant", ROW('Bank Schedule'!$K$2:$K$825)), ROW(89:89))), "")</f>
        <v/>
      </c>
      <c r="R92" s="11" t="str">
        <f t="array" ref="R92">IFERROR(INDEX('Bank Schedule'!S:S, SMALL(IF('Bank Schedule'!$K$2:$K$825="Vacant", ROW('Bank Schedule'!$K$2:$K$825)), ROW(89:89))), "")</f>
        <v/>
      </c>
      <c r="S92" s="320" t="str">
        <f t="array" ref="S92">IFERROR(INDEX('Bank Schedule'!T:T, SMALL(IF('Bank Schedule'!$K$2:$K$825="Vacant", ROW('Bank Schedule'!$K$2:$K$825)), ROW(89:89))), "")</f>
        <v/>
      </c>
      <c r="T92" s="320" t="str">
        <f t="array" ref="T92">IFERROR(INDEX('Bank Schedule'!U:U, SMALL(IF('Bank Schedule'!$K$2:$K$825="Vacant", ROW('Bank Schedule'!$K$2:$K$825)), ROW(89:89))), "")</f>
        <v/>
      </c>
      <c r="U92" s="320" t="str">
        <f t="array" ref="U92">IFERROR(INDEX('Bank Schedule'!V:V, SMALL(IF('Bank Schedule'!$K$2:$K$825="Vacant", ROW('Bank Schedule'!$K$2:$K$825)), ROW(89:89))), "")</f>
        <v/>
      </c>
      <c r="V92" s="320" t="str">
        <f t="array" ref="V92">IFERROR(INDEX('Bank Schedule'!W:W, SMALL(IF('Bank Schedule'!$K$2:$K$825="Vacant", ROW('Bank Schedule'!$K$2:$K$825)), ROW(89:89))), "")</f>
        <v/>
      </c>
      <c r="W92" s="319" t="str">
        <f t="array" ref="W92">IFERROR(INDEX('Bank Schedule'!X:X, SMALL(IF('Bank Schedule'!$K$2:$K$825="Vacant", ROW('Bank Schedule'!$K$2:$K$825)), ROW(89:89))), "")</f>
        <v/>
      </c>
      <c r="X92" s="11" t="str">
        <f t="array" ref="X92">IFERROR(INDEX('Bank Schedule'!Y:Y, SMALL(IF('Bank Schedule'!$K$2:$K$825="Vacant", ROW('Bank Schedule'!$K$2:$K$825)), ROW(89:89))), "")</f>
        <v/>
      </c>
      <c r="Y92" s="11" t="str">
        <f t="array" ref="Y92">IFERROR(INDEX('Bank Schedule'!Z:Z, SMALL(IF('Bank Schedule'!$K$2:$K$825="Vacant", ROW('Bank Schedule'!$K$2:$K$825)), ROW(89:89))), "")</f>
        <v/>
      </c>
      <c r="Z92" s="11" t="str">
        <f t="array" ref="Z92">IFERROR(INDEX('Bank Schedule'!AA:AA, SMALL(IF('Bank Schedule'!$K$2:$K$825="Vacant", ROW('Bank Schedule'!$K$2:$K$825)), ROW(89:89))), "")</f>
        <v/>
      </c>
      <c r="AA92" s="11" t="str">
        <f t="array" ref="AA92">IFERROR(INDEX('Bank Schedule'!AB:AB, SMALL(IF('Bank Schedule'!$K$2:$K$825="Vacant", ROW('Bank Schedule'!$K$2:$K$825)), ROW(89:89))), "")</f>
        <v/>
      </c>
      <c r="AB92" s="25" t="str">
        <f t="array" ref="AB92">IFERROR(INDEX('Bank Schedule'!AC:AC, SMALL(IF('Bank Schedule'!$K$2:$K$825="Vacant", ROW('Bank Schedule'!$K$2:$K$825)), ROW(89:89))), "")</f>
        <v/>
      </c>
      <c r="AC92" s="299" t="str">
        <f t="array" ref="AC92">IFERROR(INDEX('Bank Schedule'!AD:AD, SMALL(IF('Bank Schedule'!$K$2:$K$825="Vacant", ROW('Bank Schedule'!$K$2:$K$825)), ROW(89:89))), "")</f>
        <v/>
      </c>
      <c r="AD92" s="11" t="str">
        <f t="array" ref="AD92">IFERROR(INDEX('Bank Schedule'!AE:AE, SMALL(IF('Bank Schedule'!$K$2:$K$825="Vacant", ROW('Bank Schedule'!$K$2:$K$825)), ROW(89:89))), "")</f>
        <v/>
      </c>
      <c r="AE92" s="11" t="str">
        <f t="array" ref="AE92">IFERROR(INDEX('Bank Schedule'!AF:AF, SMALL(IF('Bank Schedule'!$K$2:$K$825="Vacant", ROW('Bank Schedule'!$K$2:$K$825)), ROW(89:89))), "")</f>
        <v/>
      </c>
      <c r="AF92" s="11" t="str">
        <f t="array" ref="AF92">IFERROR(INDEX('Bank Schedule'!AG:AG, SMALL(IF('Bank Schedule'!$K$2:$K$825="Vacant", ROW('Bank Schedule'!$K$2:$K$825)), ROW(89:89))), "")</f>
        <v/>
      </c>
      <c r="AG92" s="4"/>
    </row>
    <row r="93" spans="1:33" ht="28.5" hidden="1" customHeight="1">
      <c r="A93" s="2" t="str">
        <f t="array" ref="A93">IFERROR(INDEX('Bank Schedule'!A:A, SMALL(IF('Bank Schedule'!$K$2:$K$825="Vacant", ROW('Bank Schedule'!$K$2:$K$825)), ROW(90:90))), "")</f>
        <v/>
      </c>
      <c r="B93" s="11" t="str">
        <f t="array" ref="B93">IFERROR(INDEX('Bank Schedule'!B:B, SMALL(IF('Bank Schedule'!$K$2:$K$825="Vacant", ROW('Bank Schedule'!$K$2:$K$825)), ROW(90:90))), "")</f>
        <v/>
      </c>
      <c r="C93" s="11" t="str">
        <f t="array" ref="C93">IFERROR(INDEX('Bank Schedule'!C:C, SMALL(IF('Bank Schedule'!$K$2:$K$825="Vacant", ROW('Bank Schedule'!$K$2:$K$825)), ROW(90:90))), "")</f>
        <v/>
      </c>
      <c r="D93" s="11" t="str">
        <f t="array" ref="D93">IFERROR(INDEX('Bank Schedule'!D:D, SMALL(IF('Bank Schedule'!$K$2:$K$825="Vacant", ROW('Bank Schedule'!$K$2:$K$825)), ROW(90:90))), "")</f>
        <v/>
      </c>
      <c r="E93" s="25" t="str">
        <f t="array" ref="E93">IFERROR(INDEX('Bank Schedule'!E:E, SMALL(IF('Bank Schedule'!$K$2:$K$825="Vacant", ROW('Bank Schedule'!$K$2:$K$825)), ROW(90:90))), "")</f>
        <v/>
      </c>
      <c r="F93" s="25" t="str">
        <f t="array" ref="F93">IFERROR(INDEX('Bank Schedule'!F:F, SMALL(IF('Bank Schedule'!$K$2:$K$825="Vacant", ROW('Bank Schedule'!$K$2:$K$825)), ROW(90:90))), "")</f>
        <v/>
      </c>
      <c r="G93" s="25" t="str">
        <f t="array" ref="G93">IFERROR(INDEX('Bank Schedule'!G:G, SMALL(IF('Bank Schedule'!$K$2:$K$825="Vacant", ROW('Bank Schedule'!$K$2:$K$825)), ROW(90:90))), "")</f>
        <v/>
      </c>
      <c r="H93" s="55" t="str">
        <f t="array" ref="H93">IFERROR(INDEX('Bank Schedule'!H:H, SMALL(IF('Bank Schedule'!$K$2:$K$825="Vacant", ROW('Bank Schedule'!$K$2:$K$825)), ROW(90:90))), "")</f>
        <v/>
      </c>
      <c r="I93" s="55" t="str">
        <f t="array" ref="I93">IFERROR(INDEX('Bank Schedule'!I:I, SMALL(IF('Bank Schedule'!$K$2:$K$825="Vacant", ROW('Bank Schedule'!$K$2:$K$825)), ROW(90:90))), "")</f>
        <v/>
      </c>
      <c r="J93" s="11" t="str">
        <f t="array" ref="J93">IFERROR(INDEX('Bank Schedule'!K:K, SMALL(IF('Bank Schedule'!$K$2:$K$825="Vacant", ROW('Bank Schedule'!$K$2:$K$825)), ROW(90:90))), "")</f>
        <v/>
      </c>
      <c r="K93" s="11" t="str">
        <f t="array" ref="K93">IFERROR(INDEX('Bank Schedule'!L:L, SMALL(IF('Bank Schedule'!$K$2:$K$825="Vacant", ROW('Bank Schedule'!$K$2:$K$825)), ROW(90:90))), "")</f>
        <v/>
      </c>
      <c r="L93" s="11" t="str">
        <f t="array" ref="L93">IFERROR(INDEX('Bank Schedule'!M:M, SMALL(IF('Bank Schedule'!$K$2:$K$825="Vacant", ROW('Bank Schedule'!$K$2:$K$825)), ROW(90:90))), "")</f>
        <v/>
      </c>
      <c r="M93" s="106" t="str">
        <f t="array" ref="M93">IFERROR(INDEX('Bank Schedule'!N:N, SMALL(IF('Bank Schedule'!$K$2:$K$825="Vacant", ROW('Bank Schedule'!$K$2:$K$825)), ROW(90:90))), "")</f>
        <v/>
      </c>
      <c r="N93" s="11" t="str">
        <f t="array" ref="N93">IFERROR(INDEX('Bank Schedule'!O:O, SMALL(IF('Bank Schedule'!$K$2:$K$825="Vacant", ROW('Bank Schedule'!$K$2:$K$825)), ROW(90:90))), "")</f>
        <v/>
      </c>
      <c r="O93" s="11" t="str">
        <f t="array" ref="O93">IFERROR(INDEX('Bank Schedule'!P:P, SMALL(IF('Bank Schedule'!$K$2:$K$825="Vacant", ROW('Bank Schedule'!$K$2:$K$825)), ROW(90:90))), "")</f>
        <v/>
      </c>
      <c r="P93" s="11" t="str">
        <f t="array" ref="P93">IFERROR(INDEX('Bank Schedule'!Q:Q, SMALL(IF('Bank Schedule'!$K$2:$K$825="Vacant", ROW('Bank Schedule'!$K$2:$K$825)), ROW(90:90))), "")</f>
        <v/>
      </c>
      <c r="Q93" s="11" t="str">
        <f t="array" ref="Q93">IFERROR(INDEX('Bank Schedule'!R:R, SMALL(IF('Bank Schedule'!$K$2:$K$825="Vacant", ROW('Bank Schedule'!$K$2:$K$825)), ROW(90:90))), "")</f>
        <v/>
      </c>
      <c r="R93" s="11" t="str">
        <f t="array" ref="R93">IFERROR(INDEX('Bank Schedule'!S:S, SMALL(IF('Bank Schedule'!$K$2:$K$825="Vacant", ROW('Bank Schedule'!$K$2:$K$825)), ROW(90:90))), "")</f>
        <v/>
      </c>
      <c r="S93" s="320" t="str">
        <f t="array" ref="S93">IFERROR(INDEX('Bank Schedule'!T:T, SMALL(IF('Bank Schedule'!$K$2:$K$825="Vacant", ROW('Bank Schedule'!$K$2:$K$825)), ROW(90:90))), "")</f>
        <v/>
      </c>
      <c r="T93" s="320" t="str">
        <f t="array" ref="T93">IFERROR(INDEX('Bank Schedule'!U:U, SMALL(IF('Bank Schedule'!$K$2:$K$825="Vacant", ROW('Bank Schedule'!$K$2:$K$825)), ROW(90:90))), "")</f>
        <v/>
      </c>
      <c r="U93" s="320" t="str">
        <f t="array" ref="U93">IFERROR(INDEX('Bank Schedule'!V:V, SMALL(IF('Bank Schedule'!$K$2:$K$825="Vacant", ROW('Bank Schedule'!$K$2:$K$825)), ROW(90:90))), "")</f>
        <v/>
      </c>
      <c r="V93" s="320" t="str">
        <f t="array" ref="V93">IFERROR(INDEX('Bank Schedule'!W:W, SMALL(IF('Bank Schedule'!$K$2:$K$825="Vacant", ROW('Bank Schedule'!$K$2:$K$825)), ROW(90:90))), "")</f>
        <v/>
      </c>
      <c r="W93" s="319" t="str">
        <f t="array" ref="W93">IFERROR(INDEX('Bank Schedule'!X:X, SMALL(IF('Bank Schedule'!$K$2:$K$825="Vacant", ROW('Bank Schedule'!$K$2:$K$825)), ROW(90:90))), "")</f>
        <v/>
      </c>
      <c r="X93" s="11" t="str">
        <f t="array" ref="X93">IFERROR(INDEX('Bank Schedule'!Y:Y, SMALL(IF('Bank Schedule'!$K$2:$K$825="Vacant", ROW('Bank Schedule'!$K$2:$K$825)), ROW(90:90))), "")</f>
        <v/>
      </c>
      <c r="Y93" s="11" t="str">
        <f t="array" ref="Y93">IFERROR(INDEX('Bank Schedule'!Z:Z, SMALL(IF('Bank Schedule'!$K$2:$K$825="Vacant", ROW('Bank Schedule'!$K$2:$K$825)), ROW(90:90))), "")</f>
        <v/>
      </c>
      <c r="Z93" s="11" t="str">
        <f t="array" ref="Z93">IFERROR(INDEX('Bank Schedule'!AA:AA, SMALL(IF('Bank Schedule'!$K$2:$K$825="Vacant", ROW('Bank Schedule'!$K$2:$K$825)), ROW(90:90))), "")</f>
        <v/>
      </c>
      <c r="AA93" s="11" t="str">
        <f t="array" ref="AA93">IFERROR(INDEX('Bank Schedule'!AB:AB, SMALL(IF('Bank Schedule'!$K$2:$K$825="Vacant", ROW('Bank Schedule'!$K$2:$K$825)), ROW(90:90))), "")</f>
        <v/>
      </c>
      <c r="AB93" s="25" t="str">
        <f t="array" ref="AB93">IFERROR(INDEX('Bank Schedule'!AC:AC, SMALL(IF('Bank Schedule'!$K$2:$K$825="Vacant", ROW('Bank Schedule'!$K$2:$K$825)), ROW(90:90))), "")</f>
        <v/>
      </c>
      <c r="AC93" s="299" t="str">
        <f t="array" ref="AC93">IFERROR(INDEX('Bank Schedule'!AD:AD, SMALL(IF('Bank Schedule'!$K$2:$K$825="Vacant", ROW('Bank Schedule'!$K$2:$K$825)), ROW(90:90))), "")</f>
        <v/>
      </c>
      <c r="AD93" s="11" t="str">
        <f t="array" ref="AD93">IFERROR(INDEX('Bank Schedule'!AE:AE, SMALL(IF('Bank Schedule'!$K$2:$K$825="Vacant", ROW('Bank Schedule'!$K$2:$K$825)), ROW(90:90))), "")</f>
        <v/>
      </c>
      <c r="AE93" s="11" t="str">
        <f t="array" ref="AE93">IFERROR(INDEX('Bank Schedule'!AF:AF, SMALL(IF('Bank Schedule'!$K$2:$K$825="Vacant", ROW('Bank Schedule'!$K$2:$K$825)), ROW(90:90))), "")</f>
        <v/>
      </c>
      <c r="AF93" s="11" t="str">
        <f t="array" ref="AF93">IFERROR(INDEX('Bank Schedule'!AG:AG, SMALL(IF('Bank Schedule'!$K$2:$K$825="Vacant", ROW('Bank Schedule'!$K$2:$K$825)), ROW(90:90))), "")</f>
        <v/>
      </c>
      <c r="AG93" s="4"/>
    </row>
    <row r="94" spans="1:33" ht="28.5" hidden="1" customHeight="1">
      <c r="A94" s="2" t="str">
        <f t="array" ref="A94">IFERROR(INDEX('Bank Schedule'!A:A, SMALL(IF('Bank Schedule'!$K$2:$K$825="Vacant", ROW('Bank Schedule'!$K$2:$K$825)), ROW(91:91))), "")</f>
        <v/>
      </c>
      <c r="B94" s="11" t="str">
        <f t="array" ref="B94">IFERROR(INDEX('Bank Schedule'!B:B, SMALL(IF('Bank Schedule'!$K$2:$K$825="Vacant", ROW('Bank Schedule'!$K$2:$K$825)), ROW(91:91))), "")</f>
        <v/>
      </c>
      <c r="C94" s="11" t="str">
        <f t="array" ref="C94">IFERROR(INDEX('Bank Schedule'!C:C, SMALL(IF('Bank Schedule'!$K$2:$K$825="Vacant", ROW('Bank Schedule'!$K$2:$K$825)), ROW(91:91))), "")</f>
        <v/>
      </c>
      <c r="D94" s="11" t="str">
        <f t="array" ref="D94">IFERROR(INDEX('Bank Schedule'!D:D, SMALL(IF('Bank Schedule'!$K$2:$K$825="Vacant", ROW('Bank Schedule'!$K$2:$K$825)), ROW(91:91))), "")</f>
        <v/>
      </c>
      <c r="E94" s="25" t="str">
        <f t="array" ref="E94">IFERROR(INDEX('Bank Schedule'!E:E, SMALL(IF('Bank Schedule'!$K$2:$K$825="Vacant", ROW('Bank Schedule'!$K$2:$K$825)), ROW(91:91))), "")</f>
        <v/>
      </c>
      <c r="F94" s="25" t="str">
        <f t="array" ref="F94">IFERROR(INDEX('Bank Schedule'!F:F, SMALL(IF('Bank Schedule'!$K$2:$K$825="Vacant", ROW('Bank Schedule'!$K$2:$K$825)), ROW(91:91))), "")</f>
        <v/>
      </c>
      <c r="G94" s="25" t="str">
        <f t="array" ref="G94">IFERROR(INDEX('Bank Schedule'!G:G, SMALL(IF('Bank Schedule'!$K$2:$K$825="Vacant", ROW('Bank Schedule'!$K$2:$K$825)), ROW(91:91))), "")</f>
        <v/>
      </c>
      <c r="H94" s="55" t="str">
        <f t="array" ref="H94">IFERROR(INDEX('Bank Schedule'!H:H, SMALL(IF('Bank Schedule'!$K$2:$K$825="Vacant", ROW('Bank Schedule'!$K$2:$K$825)), ROW(91:91))), "")</f>
        <v/>
      </c>
      <c r="I94" s="55" t="str">
        <f t="array" ref="I94">IFERROR(INDEX('Bank Schedule'!I:I, SMALL(IF('Bank Schedule'!$K$2:$K$825="Vacant", ROW('Bank Schedule'!$K$2:$K$825)), ROW(91:91))), "")</f>
        <v/>
      </c>
      <c r="J94" s="11" t="str">
        <f t="array" ref="J94">IFERROR(INDEX('Bank Schedule'!K:K, SMALL(IF('Bank Schedule'!$K$2:$K$825="Vacant", ROW('Bank Schedule'!$K$2:$K$825)), ROW(91:91))), "")</f>
        <v/>
      </c>
      <c r="K94" s="11" t="str">
        <f t="array" ref="K94">IFERROR(INDEX('Bank Schedule'!L:L, SMALL(IF('Bank Schedule'!$K$2:$K$825="Vacant", ROW('Bank Schedule'!$K$2:$K$825)), ROW(91:91))), "")</f>
        <v/>
      </c>
      <c r="L94" s="11" t="str">
        <f t="array" ref="L94">IFERROR(INDEX('Bank Schedule'!M:M, SMALL(IF('Bank Schedule'!$K$2:$K$825="Vacant", ROW('Bank Schedule'!$K$2:$K$825)), ROW(91:91))), "")</f>
        <v/>
      </c>
      <c r="M94" s="106" t="str">
        <f t="array" ref="M94">IFERROR(INDEX('Bank Schedule'!N:N, SMALL(IF('Bank Schedule'!$K$2:$K$825="Vacant", ROW('Bank Schedule'!$K$2:$K$825)), ROW(91:91))), "")</f>
        <v/>
      </c>
      <c r="N94" s="11" t="str">
        <f t="array" ref="N94">IFERROR(INDEX('Bank Schedule'!O:O, SMALL(IF('Bank Schedule'!$K$2:$K$825="Vacant", ROW('Bank Schedule'!$K$2:$K$825)), ROW(91:91))), "")</f>
        <v/>
      </c>
      <c r="O94" s="11" t="str">
        <f t="array" ref="O94">IFERROR(INDEX('Bank Schedule'!P:P, SMALL(IF('Bank Schedule'!$K$2:$K$825="Vacant", ROW('Bank Schedule'!$K$2:$K$825)), ROW(91:91))), "")</f>
        <v/>
      </c>
      <c r="P94" s="11" t="str">
        <f t="array" ref="P94">IFERROR(INDEX('Bank Schedule'!Q:Q, SMALL(IF('Bank Schedule'!$K$2:$K$825="Vacant", ROW('Bank Schedule'!$K$2:$K$825)), ROW(91:91))), "")</f>
        <v/>
      </c>
      <c r="Q94" s="11" t="str">
        <f t="array" ref="Q94">IFERROR(INDEX('Bank Schedule'!R:R, SMALL(IF('Bank Schedule'!$K$2:$K$825="Vacant", ROW('Bank Schedule'!$K$2:$K$825)), ROW(91:91))), "")</f>
        <v/>
      </c>
      <c r="R94" s="11" t="str">
        <f t="array" ref="R94">IFERROR(INDEX('Bank Schedule'!S:S, SMALL(IF('Bank Schedule'!$K$2:$K$825="Vacant", ROW('Bank Schedule'!$K$2:$K$825)), ROW(91:91))), "")</f>
        <v/>
      </c>
      <c r="S94" s="320" t="str">
        <f t="array" ref="S94">IFERROR(INDEX('Bank Schedule'!T:T, SMALL(IF('Bank Schedule'!$K$2:$K$825="Vacant", ROW('Bank Schedule'!$K$2:$K$825)), ROW(91:91))), "")</f>
        <v/>
      </c>
      <c r="T94" s="320" t="str">
        <f t="array" ref="T94">IFERROR(INDEX('Bank Schedule'!U:U, SMALL(IF('Bank Schedule'!$K$2:$K$825="Vacant", ROW('Bank Schedule'!$K$2:$K$825)), ROW(91:91))), "")</f>
        <v/>
      </c>
      <c r="U94" s="320" t="str">
        <f t="array" ref="U94">IFERROR(INDEX('Bank Schedule'!V:V, SMALL(IF('Bank Schedule'!$K$2:$K$825="Vacant", ROW('Bank Schedule'!$K$2:$K$825)), ROW(91:91))), "")</f>
        <v/>
      </c>
      <c r="V94" s="320" t="str">
        <f t="array" ref="V94">IFERROR(INDEX('Bank Schedule'!W:W, SMALL(IF('Bank Schedule'!$K$2:$K$825="Vacant", ROW('Bank Schedule'!$K$2:$K$825)), ROW(91:91))), "")</f>
        <v/>
      </c>
      <c r="W94" s="319" t="str">
        <f t="array" ref="W94">IFERROR(INDEX('Bank Schedule'!X:X, SMALL(IF('Bank Schedule'!$K$2:$K$825="Vacant", ROW('Bank Schedule'!$K$2:$K$825)), ROW(91:91))), "")</f>
        <v/>
      </c>
      <c r="X94" s="11" t="str">
        <f t="array" ref="X94">IFERROR(INDEX('Bank Schedule'!Y:Y, SMALL(IF('Bank Schedule'!$K$2:$K$825="Vacant", ROW('Bank Schedule'!$K$2:$K$825)), ROW(91:91))), "")</f>
        <v/>
      </c>
      <c r="Y94" s="11" t="str">
        <f t="array" ref="Y94">IFERROR(INDEX('Bank Schedule'!Z:Z, SMALL(IF('Bank Schedule'!$K$2:$K$825="Vacant", ROW('Bank Schedule'!$K$2:$K$825)), ROW(91:91))), "")</f>
        <v/>
      </c>
      <c r="Z94" s="11" t="str">
        <f t="array" ref="Z94">IFERROR(INDEX('Bank Schedule'!AA:AA, SMALL(IF('Bank Schedule'!$K$2:$K$825="Vacant", ROW('Bank Schedule'!$K$2:$K$825)), ROW(91:91))), "")</f>
        <v/>
      </c>
      <c r="AA94" s="11" t="str">
        <f t="array" ref="AA94">IFERROR(INDEX('Bank Schedule'!AB:AB, SMALL(IF('Bank Schedule'!$K$2:$K$825="Vacant", ROW('Bank Schedule'!$K$2:$K$825)), ROW(91:91))), "")</f>
        <v/>
      </c>
      <c r="AB94" s="25" t="str">
        <f t="array" ref="AB94">IFERROR(INDEX('Bank Schedule'!AC:AC, SMALL(IF('Bank Schedule'!$K$2:$K$825="Vacant", ROW('Bank Schedule'!$K$2:$K$825)), ROW(91:91))), "")</f>
        <v/>
      </c>
      <c r="AC94" s="299" t="str">
        <f t="array" ref="AC94">IFERROR(INDEX('Bank Schedule'!AD:AD, SMALL(IF('Bank Schedule'!$K$2:$K$825="Vacant", ROW('Bank Schedule'!$K$2:$K$825)), ROW(91:91))), "")</f>
        <v/>
      </c>
      <c r="AD94" s="11" t="str">
        <f t="array" ref="AD94">IFERROR(INDEX('Bank Schedule'!AE:AE, SMALL(IF('Bank Schedule'!$K$2:$K$825="Vacant", ROW('Bank Schedule'!$K$2:$K$825)), ROW(91:91))), "")</f>
        <v/>
      </c>
      <c r="AE94" s="11" t="str">
        <f t="array" ref="AE94">IFERROR(INDEX('Bank Schedule'!AF:AF, SMALL(IF('Bank Schedule'!$K$2:$K$825="Vacant", ROW('Bank Schedule'!$K$2:$K$825)), ROW(91:91))), "")</f>
        <v/>
      </c>
      <c r="AF94" s="11" t="str">
        <f t="array" ref="AF94">IFERROR(INDEX('Bank Schedule'!AG:AG, SMALL(IF('Bank Schedule'!$K$2:$K$825="Vacant", ROW('Bank Schedule'!$K$2:$K$825)), ROW(91:91))), "")</f>
        <v/>
      </c>
      <c r="AG94" s="4"/>
    </row>
    <row r="95" spans="1:33" ht="28.5" hidden="1" customHeight="1">
      <c r="A95" s="2" t="str">
        <f t="array" ref="A95">IFERROR(INDEX('Bank Schedule'!A:A, SMALL(IF('Bank Schedule'!$K$2:$K$825="Vacant", ROW('Bank Schedule'!$K$2:$K$825)), ROW(92:92))), "")</f>
        <v/>
      </c>
      <c r="B95" s="11" t="str">
        <f t="array" ref="B95">IFERROR(INDEX('Bank Schedule'!B:B, SMALL(IF('Bank Schedule'!$K$2:$K$825="Vacant", ROW('Bank Schedule'!$K$2:$K$825)), ROW(92:92))), "")</f>
        <v/>
      </c>
      <c r="C95" s="11" t="str">
        <f t="array" ref="C95">IFERROR(INDEX('Bank Schedule'!C:C, SMALL(IF('Bank Schedule'!$K$2:$K$825="Vacant", ROW('Bank Schedule'!$K$2:$K$825)), ROW(92:92))), "")</f>
        <v/>
      </c>
      <c r="D95" s="11" t="str">
        <f t="array" ref="D95">IFERROR(INDEX('Bank Schedule'!D:D, SMALL(IF('Bank Schedule'!$K$2:$K$825="Vacant", ROW('Bank Schedule'!$K$2:$K$825)), ROW(92:92))), "")</f>
        <v/>
      </c>
      <c r="E95" s="25" t="str">
        <f t="array" ref="E95">IFERROR(INDEX('Bank Schedule'!E:E, SMALL(IF('Bank Schedule'!$K$2:$K$825="Vacant", ROW('Bank Schedule'!$K$2:$K$825)), ROW(92:92))), "")</f>
        <v/>
      </c>
      <c r="F95" s="25" t="str">
        <f t="array" ref="F95">IFERROR(INDEX('Bank Schedule'!F:F, SMALL(IF('Bank Schedule'!$K$2:$K$825="Vacant", ROW('Bank Schedule'!$K$2:$K$825)), ROW(92:92))), "")</f>
        <v/>
      </c>
      <c r="G95" s="25" t="str">
        <f t="array" ref="G95">IFERROR(INDEX('Bank Schedule'!G:G, SMALL(IF('Bank Schedule'!$K$2:$K$825="Vacant", ROW('Bank Schedule'!$K$2:$K$825)), ROW(92:92))), "")</f>
        <v/>
      </c>
      <c r="H95" s="55" t="str">
        <f t="array" ref="H95">IFERROR(INDEX('Bank Schedule'!H:H, SMALL(IF('Bank Schedule'!$K$2:$K$825="Vacant", ROW('Bank Schedule'!$K$2:$K$825)), ROW(92:92))), "")</f>
        <v/>
      </c>
      <c r="I95" s="55" t="str">
        <f t="array" ref="I95">IFERROR(INDEX('Bank Schedule'!I:I, SMALL(IF('Bank Schedule'!$K$2:$K$825="Vacant", ROW('Bank Schedule'!$K$2:$K$825)), ROW(92:92))), "")</f>
        <v/>
      </c>
      <c r="J95" s="11" t="str">
        <f t="array" ref="J95">IFERROR(INDEX('Bank Schedule'!K:K, SMALL(IF('Bank Schedule'!$K$2:$K$825="Vacant", ROW('Bank Schedule'!$K$2:$K$825)), ROW(92:92))), "")</f>
        <v/>
      </c>
      <c r="K95" s="11" t="str">
        <f t="array" ref="K95">IFERROR(INDEX('Bank Schedule'!L:L, SMALL(IF('Bank Schedule'!$K$2:$K$825="Vacant", ROW('Bank Schedule'!$K$2:$K$825)), ROW(92:92))), "")</f>
        <v/>
      </c>
      <c r="L95" s="11" t="str">
        <f t="array" ref="L95">IFERROR(INDEX('Bank Schedule'!M:M, SMALL(IF('Bank Schedule'!$K$2:$K$825="Vacant", ROW('Bank Schedule'!$K$2:$K$825)), ROW(92:92))), "")</f>
        <v/>
      </c>
      <c r="M95" s="106" t="str">
        <f t="array" ref="M95">IFERROR(INDEX('Bank Schedule'!N:N, SMALL(IF('Bank Schedule'!$K$2:$K$825="Vacant", ROW('Bank Schedule'!$K$2:$K$825)), ROW(92:92))), "")</f>
        <v/>
      </c>
      <c r="N95" s="11" t="str">
        <f t="array" ref="N95">IFERROR(INDEX('Bank Schedule'!O:O, SMALL(IF('Bank Schedule'!$K$2:$K$825="Vacant", ROW('Bank Schedule'!$K$2:$K$825)), ROW(92:92))), "")</f>
        <v/>
      </c>
      <c r="O95" s="11" t="str">
        <f t="array" ref="O95">IFERROR(INDEX('Bank Schedule'!P:P, SMALL(IF('Bank Schedule'!$K$2:$K$825="Vacant", ROW('Bank Schedule'!$K$2:$K$825)), ROW(92:92))), "")</f>
        <v/>
      </c>
      <c r="P95" s="11" t="str">
        <f t="array" ref="P95">IFERROR(INDEX('Bank Schedule'!Q:Q, SMALL(IF('Bank Schedule'!$K$2:$K$825="Vacant", ROW('Bank Schedule'!$K$2:$K$825)), ROW(92:92))), "")</f>
        <v/>
      </c>
      <c r="Q95" s="11" t="str">
        <f t="array" ref="Q95">IFERROR(INDEX('Bank Schedule'!R:R, SMALL(IF('Bank Schedule'!$K$2:$K$825="Vacant", ROW('Bank Schedule'!$K$2:$K$825)), ROW(92:92))), "")</f>
        <v/>
      </c>
      <c r="R95" s="11" t="str">
        <f t="array" ref="R95">IFERROR(INDEX('Bank Schedule'!S:S, SMALL(IF('Bank Schedule'!$K$2:$K$825="Vacant", ROW('Bank Schedule'!$K$2:$K$825)), ROW(92:92))), "")</f>
        <v/>
      </c>
      <c r="S95" s="320" t="str">
        <f t="array" ref="S95">IFERROR(INDEX('Bank Schedule'!T:T, SMALL(IF('Bank Schedule'!$K$2:$K$825="Vacant", ROW('Bank Schedule'!$K$2:$K$825)), ROW(92:92))), "")</f>
        <v/>
      </c>
      <c r="T95" s="320" t="str">
        <f t="array" ref="T95">IFERROR(INDEX('Bank Schedule'!U:U, SMALL(IF('Bank Schedule'!$K$2:$K$825="Vacant", ROW('Bank Schedule'!$K$2:$K$825)), ROW(92:92))), "")</f>
        <v/>
      </c>
      <c r="U95" s="320" t="str">
        <f t="array" ref="U95">IFERROR(INDEX('Bank Schedule'!V:V, SMALL(IF('Bank Schedule'!$K$2:$K$825="Vacant", ROW('Bank Schedule'!$K$2:$K$825)), ROW(92:92))), "")</f>
        <v/>
      </c>
      <c r="V95" s="320" t="str">
        <f t="array" ref="V95">IFERROR(INDEX('Bank Schedule'!W:W, SMALL(IF('Bank Schedule'!$K$2:$K$825="Vacant", ROW('Bank Schedule'!$K$2:$K$825)), ROW(92:92))), "")</f>
        <v/>
      </c>
      <c r="W95" s="319" t="str">
        <f t="array" ref="W95">IFERROR(INDEX('Bank Schedule'!X:X, SMALL(IF('Bank Schedule'!$K$2:$K$825="Vacant", ROW('Bank Schedule'!$K$2:$K$825)), ROW(92:92))), "")</f>
        <v/>
      </c>
      <c r="X95" s="11" t="str">
        <f t="array" ref="X95">IFERROR(INDEX('Bank Schedule'!Y:Y, SMALL(IF('Bank Schedule'!$K$2:$K$825="Vacant", ROW('Bank Schedule'!$K$2:$K$825)), ROW(92:92))), "")</f>
        <v/>
      </c>
      <c r="Y95" s="11" t="str">
        <f t="array" ref="Y95">IFERROR(INDEX('Bank Schedule'!Z:Z, SMALL(IF('Bank Schedule'!$K$2:$K$825="Vacant", ROW('Bank Schedule'!$K$2:$K$825)), ROW(92:92))), "")</f>
        <v/>
      </c>
      <c r="Z95" s="11" t="str">
        <f t="array" ref="Z95">IFERROR(INDEX('Bank Schedule'!AA:AA, SMALL(IF('Bank Schedule'!$K$2:$K$825="Vacant", ROW('Bank Schedule'!$K$2:$K$825)), ROW(92:92))), "")</f>
        <v/>
      </c>
      <c r="AA95" s="11" t="str">
        <f t="array" ref="AA95">IFERROR(INDEX('Bank Schedule'!AB:AB, SMALL(IF('Bank Schedule'!$K$2:$K$825="Vacant", ROW('Bank Schedule'!$K$2:$K$825)), ROW(92:92))), "")</f>
        <v/>
      </c>
      <c r="AB95" s="25" t="str">
        <f t="array" ref="AB95">IFERROR(INDEX('Bank Schedule'!AC:AC, SMALL(IF('Bank Schedule'!$K$2:$K$825="Vacant", ROW('Bank Schedule'!$K$2:$K$825)), ROW(92:92))), "")</f>
        <v/>
      </c>
      <c r="AC95" s="299" t="str">
        <f t="array" ref="AC95">IFERROR(INDEX('Bank Schedule'!AD:AD, SMALL(IF('Bank Schedule'!$K$2:$K$825="Vacant", ROW('Bank Schedule'!$K$2:$K$825)), ROW(92:92))), "")</f>
        <v/>
      </c>
      <c r="AD95" s="11" t="str">
        <f t="array" ref="AD95">IFERROR(INDEX('Bank Schedule'!AE:AE, SMALL(IF('Bank Schedule'!$K$2:$K$825="Vacant", ROW('Bank Schedule'!$K$2:$K$825)), ROW(92:92))), "")</f>
        <v/>
      </c>
      <c r="AE95" s="11" t="str">
        <f t="array" ref="AE95">IFERROR(INDEX('Bank Schedule'!AF:AF, SMALL(IF('Bank Schedule'!$K$2:$K$825="Vacant", ROW('Bank Schedule'!$K$2:$K$825)), ROW(92:92))), "")</f>
        <v/>
      </c>
      <c r="AF95" s="11" t="str">
        <f t="array" ref="AF95">IFERROR(INDEX('Bank Schedule'!AG:AG, SMALL(IF('Bank Schedule'!$K$2:$K$825="Vacant", ROW('Bank Schedule'!$K$2:$K$825)), ROW(92:92))), "")</f>
        <v/>
      </c>
      <c r="AG95" s="4"/>
    </row>
    <row r="96" spans="1:33" ht="28.5" hidden="1" customHeight="1">
      <c r="A96" s="2" t="str">
        <f t="array" ref="A96">IFERROR(INDEX('Bank Schedule'!A:A, SMALL(IF('Bank Schedule'!$K$2:$K$825="Vacant", ROW('Bank Schedule'!$K$2:$K$825)), ROW(93:93))), "")</f>
        <v/>
      </c>
      <c r="B96" s="11" t="str">
        <f t="array" ref="B96">IFERROR(INDEX('Bank Schedule'!B:B, SMALL(IF('Bank Schedule'!$K$2:$K$825="Vacant", ROW('Bank Schedule'!$K$2:$K$825)), ROW(93:93))), "")</f>
        <v/>
      </c>
      <c r="C96" s="11" t="str">
        <f t="array" ref="C96">IFERROR(INDEX('Bank Schedule'!C:C, SMALL(IF('Bank Schedule'!$K$2:$K$825="Vacant", ROW('Bank Schedule'!$K$2:$K$825)), ROW(93:93))), "")</f>
        <v/>
      </c>
      <c r="D96" s="11" t="str">
        <f t="array" ref="D96">IFERROR(INDEX('Bank Schedule'!D:D, SMALL(IF('Bank Schedule'!$K$2:$K$825="Vacant", ROW('Bank Schedule'!$K$2:$K$825)), ROW(93:93))), "")</f>
        <v/>
      </c>
      <c r="E96" s="25" t="str">
        <f t="array" ref="E96">IFERROR(INDEX('Bank Schedule'!E:E, SMALL(IF('Bank Schedule'!$K$2:$K$825="Vacant", ROW('Bank Schedule'!$K$2:$K$825)), ROW(93:93))), "")</f>
        <v/>
      </c>
      <c r="F96" s="25" t="str">
        <f t="array" ref="F96">IFERROR(INDEX('Bank Schedule'!F:F, SMALL(IF('Bank Schedule'!$K$2:$K$825="Vacant", ROW('Bank Schedule'!$K$2:$K$825)), ROW(93:93))), "")</f>
        <v/>
      </c>
      <c r="G96" s="25" t="str">
        <f t="array" ref="G96">IFERROR(INDEX('Bank Schedule'!G:G, SMALL(IF('Bank Schedule'!$K$2:$K$825="Vacant", ROW('Bank Schedule'!$K$2:$K$825)), ROW(93:93))), "")</f>
        <v/>
      </c>
      <c r="H96" s="55" t="str">
        <f t="array" ref="H96">IFERROR(INDEX('Bank Schedule'!H:H, SMALL(IF('Bank Schedule'!$K$2:$K$825="Vacant", ROW('Bank Schedule'!$K$2:$K$825)), ROW(93:93))), "")</f>
        <v/>
      </c>
      <c r="I96" s="55" t="str">
        <f t="array" ref="I96">IFERROR(INDEX('Bank Schedule'!I:I, SMALL(IF('Bank Schedule'!$K$2:$K$825="Vacant", ROW('Bank Schedule'!$K$2:$K$825)), ROW(93:93))), "")</f>
        <v/>
      </c>
      <c r="J96" s="11" t="str">
        <f t="array" ref="J96">IFERROR(INDEX('Bank Schedule'!K:K, SMALL(IF('Bank Schedule'!$K$2:$K$825="Vacant", ROW('Bank Schedule'!$K$2:$K$825)), ROW(93:93))), "")</f>
        <v/>
      </c>
      <c r="K96" s="11" t="str">
        <f t="array" ref="K96">IFERROR(INDEX('Bank Schedule'!L:L, SMALL(IF('Bank Schedule'!$K$2:$K$825="Vacant", ROW('Bank Schedule'!$K$2:$K$825)), ROW(93:93))), "")</f>
        <v/>
      </c>
      <c r="L96" s="11" t="str">
        <f t="array" ref="L96">IFERROR(INDEX('Bank Schedule'!M:M, SMALL(IF('Bank Schedule'!$K$2:$K$825="Vacant", ROW('Bank Schedule'!$K$2:$K$825)), ROW(93:93))), "")</f>
        <v/>
      </c>
      <c r="M96" s="106" t="str">
        <f t="array" ref="M96">IFERROR(INDEX('Bank Schedule'!N:N, SMALL(IF('Bank Schedule'!$K$2:$K$825="Vacant", ROW('Bank Schedule'!$K$2:$K$825)), ROW(93:93))), "")</f>
        <v/>
      </c>
      <c r="N96" s="11" t="str">
        <f t="array" ref="N96">IFERROR(INDEX('Bank Schedule'!O:O, SMALL(IF('Bank Schedule'!$K$2:$K$825="Vacant", ROW('Bank Schedule'!$K$2:$K$825)), ROW(93:93))), "")</f>
        <v/>
      </c>
      <c r="O96" s="11" t="str">
        <f t="array" ref="O96">IFERROR(INDEX('Bank Schedule'!P:P, SMALL(IF('Bank Schedule'!$K$2:$K$825="Vacant", ROW('Bank Schedule'!$K$2:$K$825)), ROW(93:93))), "")</f>
        <v/>
      </c>
      <c r="P96" s="11" t="str">
        <f t="array" ref="P96">IFERROR(INDEX('Bank Schedule'!Q:Q, SMALL(IF('Bank Schedule'!$K$2:$K$825="Vacant", ROW('Bank Schedule'!$K$2:$K$825)), ROW(93:93))), "")</f>
        <v/>
      </c>
      <c r="Q96" s="11" t="str">
        <f t="array" ref="Q96">IFERROR(INDEX('Bank Schedule'!R:R, SMALL(IF('Bank Schedule'!$K$2:$K$825="Vacant", ROW('Bank Schedule'!$K$2:$K$825)), ROW(93:93))), "")</f>
        <v/>
      </c>
      <c r="R96" s="11" t="str">
        <f t="array" ref="R96">IFERROR(INDEX('Bank Schedule'!S:S, SMALL(IF('Bank Schedule'!$K$2:$K$825="Vacant", ROW('Bank Schedule'!$K$2:$K$825)), ROW(93:93))), "")</f>
        <v/>
      </c>
      <c r="S96" s="320" t="str">
        <f t="array" ref="S96">IFERROR(INDEX('Bank Schedule'!T:T, SMALL(IF('Bank Schedule'!$K$2:$K$825="Vacant", ROW('Bank Schedule'!$K$2:$K$825)), ROW(93:93))), "")</f>
        <v/>
      </c>
      <c r="T96" s="320" t="str">
        <f t="array" ref="T96">IFERROR(INDEX('Bank Schedule'!U:U, SMALL(IF('Bank Schedule'!$K$2:$K$825="Vacant", ROW('Bank Schedule'!$K$2:$K$825)), ROW(93:93))), "")</f>
        <v/>
      </c>
      <c r="U96" s="320" t="str">
        <f t="array" ref="U96">IFERROR(INDEX('Bank Schedule'!V:V, SMALL(IF('Bank Schedule'!$K$2:$K$825="Vacant", ROW('Bank Schedule'!$K$2:$K$825)), ROW(93:93))), "")</f>
        <v/>
      </c>
      <c r="V96" s="320" t="str">
        <f t="array" ref="V96">IFERROR(INDEX('Bank Schedule'!W:W, SMALL(IF('Bank Schedule'!$K$2:$K$825="Vacant", ROW('Bank Schedule'!$K$2:$K$825)), ROW(93:93))), "")</f>
        <v/>
      </c>
      <c r="W96" s="319" t="str">
        <f t="array" ref="W96">IFERROR(INDEX('Bank Schedule'!X:X, SMALL(IF('Bank Schedule'!$K$2:$K$825="Vacant", ROW('Bank Schedule'!$K$2:$K$825)), ROW(93:93))), "")</f>
        <v/>
      </c>
      <c r="X96" s="11" t="str">
        <f t="array" ref="X96">IFERROR(INDEX('Bank Schedule'!Y:Y, SMALL(IF('Bank Schedule'!$K$2:$K$825="Vacant", ROW('Bank Schedule'!$K$2:$K$825)), ROW(93:93))), "")</f>
        <v/>
      </c>
      <c r="Y96" s="11" t="str">
        <f t="array" ref="Y96">IFERROR(INDEX('Bank Schedule'!Z:Z, SMALL(IF('Bank Schedule'!$K$2:$K$825="Vacant", ROW('Bank Schedule'!$K$2:$K$825)), ROW(93:93))), "")</f>
        <v/>
      </c>
      <c r="Z96" s="11" t="str">
        <f t="array" ref="Z96">IFERROR(INDEX('Bank Schedule'!AA:AA, SMALL(IF('Bank Schedule'!$K$2:$K$825="Vacant", ROW('Bank Schedule'!$K$2:$K$825)), ROW(93:93))), "")</f>
        <v/>
      </c>
      <c r="AA96" s="11" t="str">
        <f t="array" ref="AA96">IFERROR(INDEX('Bank Schedule'!AB:AB, SMALL(IF('Bank Schedule'!$K$2:$K$825="Vacant", ROW('Bank Schedule'!$K$2:$K$825)), ROW(93:93))), "")</f>
        <v/>
      </c>
      <c r="AB96" s="25" t="str">
        <f t="array" ref="AB96">IFERROR(INDEX('Bank Schedule'!AC:AC, SMALL(IF('Bank Schedule'!$K$2:$K$825="Vacant", ROW('Bank Schedule'!$K$2:$K$825)), ROW(93:93))), "")</f>
        <v/>
      </c>
      <c r="AC96" s="299" t="str">
        <f t="array" ref="AC96">IFERROR(INDEX('Bank Schedule'!AD:AD, SMALL(IF('Bank Schedule'!$K$2:$K$825="Vacant", ROW('Bank Schedule'!$K$2:$K$825)), ROW(93:93))), "")</f>
        <v/>
      </c>
      <c r="AD96" s="11" t="str">
        <f t="array" ref="AD96">IFERROR(INDEX('Bank Schedule'!AE:AE, SMALL(IF('Bank Schedule'!$K$2:$K$825="Vacant", ROW('Bank Schedule'!$K$2:$K$825)), ROW(93:93))), "")</f>
        <v/>
      </c>
      <c r="AE96" s="11" t="str">
        <f t="array" ref="AE96">IFERROR(INDEX('Bank Schedule'!AF:AF, SMALL(IF('Bank Schedule'!$K$2:$K$825="Vacant", ROW('Bank Schedule'!$K$2:$K$825)), ROW(93:93))), "")</f>
        <v/>
      </c>
      <c r="AF96" s="11" t="str">
        <f t="array" ref="AF96">IFERROR(INDEX('Bank Schedule'!AG:AG, SMALL(IF('Bank Schedule'!$K$2:$K$825="Vacant", ROW('Bank Schedule'!$K$2:$K$825)), ROW(93:93))), "")</f>
        <v/>
      </c>
      <c r="AG96" s="4"/>
    </row>
    <row r="97" spans="1:33" ht="28.5" hidden="1" customHeight="1">
      <c r="A97" s="2" t="str">
        <f t="array" ref="A97">IFERROR(INDEX('Bank Schedule'!A:A, SMALL(IF('Bank Schedule'!$K$2:$K$825="Vacant", ROW('Bank Schedule'!$K$2:$K$825)), ROW(94:94))), "")</f>
        <v/>
      </c>
      <c r="B97" s="11" t="str">
        <f t="array" ref="B97">IFERROR(INDEX('Bank Schedule'!B:B, SMALL(IF('Bank Schedule'!$K$2:$K$825="Vacant", ROW('Bank Schedule'!$K$2:$K$825)), ROW(94:94))), "")</f>
        <v/>
      </c>
      <c r="C97" s="11" t="str">
        <f t="array" ref="C97">IFERROR(INDEX('Bank Schedule'!C:C, SMALL(IF('Bank Schedule'!$K$2:$K$825="Vacant", ROW('Bank Schedule'!$K$2:$K$825)), ROW(94:94))), "")</f>
        <v/>
      </c>
      <c r="D97" s="11" t="str">
        <f t="array" ref="D97">IFERROR(INDEX('Bank Schedule'!D:D, SMALL(IF('Bank Schedule'!$K$2:$K$825="Vacant", ROW('Bank Schedule'!$K$2:$K$825)), ROW(94:94))), "")</f>
        <v/>
      </c>
      <c r="E97" s="25" t="str">
        <f t="array" ref="E97">IFERROR(INDEX('Bank Schedule'!E:E, SMALL(IF('Bank Schedule'!$K$2:$K$825="Vacant", ROW('Bank Schedule'!$K$2:$K$825)), ROW(94:94))), "")</f>
        <v/>
      </c>
      <c r="F97" s="25" t="str">
        <f t="array" ref="F97">IFERROR(INDEX('Bank Schedule'!F:F, SMALL(IF('Bank Schedule'!$K$2:$K$825="Vacant", ROW('Bank Schedule'!$K$2:$K$825)), ROW(94:94))), "")</f>
        <v/>
      </c>
      <c r="G97" s="25" t="str">
        <f t="array" ref="G97">IFERROR(INDEX('Bank Schedule'!G:G, SMALL(IF('Bank Schedule'!$K$2:$K$825="Vacant", ROW('Bank Schedule'!$K$2:$K$825)), ROW(94:94))), "")</f>
        <v/>
      </c>
      <c r="H97" s="55" t="str">
        <f t="array" ref="H97">IFERROR(INDEX('Bank Schedule'!H:H, SMALL(IF('Bank Schedule'!$K$2:$K$825="Vacant", ROW('Bank Schedule'!$K$2:$K$825)), ROW(94:94))), "")</f>
        <v/>
      </c>
      <c r="I97" s="55" t="str">
        <f t="array" ref="I97">IFERROR(INDEX('Bank Schedule'!I:I, SMALL(IF('Bank Schedule'!$K$2:$K$825="Vacant", ROW('Bank Schedule'!$K$2:$K$825)), ROW(94:94))), "")</f>
        <v/>
      </c>
      <c r="J97" s="11" t="str">
        <f t="array" ref="J97">IFERROR(INDEX('Bank Schedule'!K:K, SMALL(IF('Bank Schedule'!$K$2:$K$825="Vacant", ROW('Bank Schedule'!$K$2:$K$825)), ROW(94:94))), "")</f>
        <v/>
      </c>
      <c r="K97" s="11" t="str">
        <f t="array" ref="K97">IFERROR(INDEX('Bank Schedule'!L:L, SMALL(IF('Bank Schedule'!$K$2:$K$825="Vacant", ROW('Bank Schedule'!$K$2:$K$825)), ROW(94:94))), "")</f>
        <v/>
      </c>
      <c r="L97" s="11" t="str">
        <f t="array" ref="L97">IFERROR(INDEX('Bank Schedule'!M:M, SMALL(IF('Bank Schedule'!$K$2:$K$825="Vacant", ROW('Bank Schedule'!$K$2:$K$825)), ROW(94:94))), "")</f>
        <v/>
      </c>
      <c r="M97" s="106" t="str">
        <f t="array" ref="M97">IFERROR(INDEX('Bank Schedule'!N:N, SMALL(IF('Bank Schedule'!$K$2:$K$825="Vacant", ROW('Bank Schedule'!$K$2:$K$825)), ROW(94:94))), "")</f>
        <v/>
      </c>
      <c r="N97" s="11" t="str">
        <f t="array" ref="N97">IFERROR(INDEX('Bank Schedule'!O:O, SMALL(IF('Bank Schedule'!$K$2:$K$825="Vacant", ROW('Bank Schedule'!$K$2:$K$825)), ROW(94:94))), "")</f>
        <v/>
      </c>
      <c r="O97" s="11" t="str">
        <f t="array" ref="O97">IFERROR(INDEX('Bank Schedule'!P:P, SMALL(IF('Bank Schedule'!$K$2:$K$825="Vacant", ROW('Bank Schedule'!$K$2:$K$825)), ROW(94:94))), "")</f>
        <v/>
      </c>
      <c r="P97" s="11" t="str">
        <f t="array" ref="P97">IFERROR(INDEX('Bank Schedule'!Q:Q, SMALL(IF('Bank Schedule'!$K$2:$K$825="Vacant", ROW('Bank Schedule'!$K$2:$K$825)), ROW(94:94))), "")</f>
        <v/>
      </c>
      <c r="Q97" s="11" t="str">
        <f t="array" ref="Q97">IFERROR(INDEX('Bank Schedule'!R:R, SMALL(IF('Bank Schedule'!$K$2:$K$825="Vacant", ROW('Bank Schedule'!$K$2:$K$825)), ROW(94:94))), "")</f>
        <v/>
      </c>
      <c r="R97" s="11" t="str">
        <f t="array" ref="R97">IFERROR(INDEX('Bank Schedule'!S:S, SMALL(IF('Bank Schedule'!$K$2:$K$825="Vacant", ROW('Bank Schedule'!$K$2:$K$825)), ROW(94:94))), "")</f>
        <v/>
      </c>
      <c r="S97" s="320" t="str">
        <f t="array" ref="S97">IFERROR(INDEX('Bank Schedule'!T:T, SMALL(IF('Bank Schedule'!$K$2:$K$825="Vacant", ROW('Bank Schedule'!$K$2:$K$825)), ROW(94:94))), "")</f>
        <v/>
      </c>
      <c r="T97" s="320" t="str">
        <f t="array" ref="T97">IFERROR(INDEX('Bank Schedule'!U:U, SMALL(IF('Bank Schedule'!$K$2:$K$825="Vacant", ROW('Bank Schedule'!$K$2:$K$825)), ROW(94:94))), "")</f>
        <v/>
      </c>
      <c r="U97" s="320" t="str">
        <f t="array" ref="U97">IFERROR(INDEX('Bank Schedule'!V:V, SMALL(IF('Bank Schedule'!$K$2:$K$825="Vacant", ROW('Bank Schedule'!$K$2:$K$825)), ROW(94:94))), "")</f>
        <v/>
      </c>
      <c r="V97" s="320" t="str">
        <f t="array" ref="V97">IFERROR(INDEX('Bank Schedule'!W:W, SMALL(IF('Bank Schedule'!$K$2:$K$825="Vacant", ROW('Bank Schedule'!$K$2:$K$825)), ROW(94:94))), "")</f>
        <v/>
      </c>
      <c r="W97" s="319" t="str">
        <f t="array" ref="W97">IFERROR(INDEX('Bank Schedule'!X:X, SMALL(IF('Bank Schedule'!$K$2:$K$825="Vacant", ROW('Bank Schedule'!$K$2:$K$825)), ROW(94:94))), "")</f>
        <v/>
      </c>
      <c r="X97" s="11" t="str">
        <f t="array" ref="X97">IFERROR(INDEX('Bank Schedule'!Y:Y, SMALL(IF('Bank Schedule'!$K$2:$K$825="Vacant", ROW('Bank Schedule'!$K$2:$K$825)), ROW(94:94))), "")</f>
        <v/>
      </c>
      <c r="Y97" s="11" t="str">
        <f t="array" ref="Y97">IFERROR(INDEX('Bank Schedule'!Z:Z, SMALL(IF('Bank Schedule'!$K$2:$K$825="Vacant", ROW('Bank Schedule'!$K$2:$K$825)), ROW(94:94))), "")</f>
        <v/>
      </c>
      <c r="Z97" s="11" t="str">
        <f t="array" ref="Z97">IFERROR(INDEX('Bank Schedule'!AA:AA, SMALL(IF('Bank Schedule'!$K$2:$K$825="Vacant", ROW('Bank Schedule'!$K$2:$K$825)), ROW(94:94))), "")</f>
        <v/>
      </c>
      <c r="AA97" s="11" t="str">
        <f t="array" ref="AA97">IFERROR(INDEX('Bank Schedule'!AB:AB, SMALL(IF('Bank Schedule'!$K$2:$K$825="Vacant", ROW('Bank Schedule'!$K$2:$K$825)), ROW(94:94))), "")</f>
        <v/>
      </c>
      <c r="AB97" s="25" t="str">
        <f t="array" ref="AB97">IFERROR(INDEX('Bank Schedule'!AC:AC, SMALL(IF('Bank Schedule'!$K$2:$K$825="Vacant", ROW('Bank Schedule'!$K$2:$K$825)), ROW(94:94))), "")</f>
        <v/>
      </c>
      <c r="AC97" s="299" t="str">
        <f t="array" ref="AC97">IFERROR(INDEX('Bank Schedule'!AD:AD, SMALL(IF('Bank Schedule'!$K$2:$K$825="Vacant", ROW('Bank Schedule'!$K$2:$K$825)), ROW(94:94))), "")</f>
        <v/>
      </c>
      <c r="AD97" s="11" t="str">
        <f t="array" ref="AD97">IFERROR(INDEX('Bank Schedule'!AE:AE, SMALL(IF('Bank Schedule'!$K$2:$K$825="Vacant", ROW('Bank Schedule'!$K$2:$K$825)), ROW(94:94))), "")</f>
        <v/>
      </c>
      <c r="AE97" s="11" t="str">
        <f t="array" ref="AE97">IFERROR(INDEX('Bank Schedule'!AF:AF, SMALL(IF('Bank Schedule'!$K$2:$K$825="Vacant", ROW('Bank Schedule'!$K$2:$K$825)), ROW(94:94))), "")</f>
        <v/>
      </c>
      <c r="AF97" s="11" t="str">
        <f t="array" ref="AF97">IFERROR(INDEX('Bank Schedule'!AG:AG, SMALL(IF('Bank Schedule'!$K$2:$K$825="Vacant", ROW('Bank Schedule'!$K$2:$K$825)), ROW(94:94))), "")</f>
        <v/>
      </c>
      <c r="AG97" s="4"/>
    </row>
    <row r="98" spans="1:33" ht="28.5" hidden="1" customHeight="1">
      <c r="A98" s="2" t="str">
        <f t="array" ref="A98">IFERROR(INDEX('Bank Schedule'!A:A, SMALL(IF('Bank Schedule'!$K$2:$K$825="Vacant", ROW('Bank Schedule'!$K$2:$K$825)), ROW(95:95))), "")</f>
        <v/>
      </c>
      <c r="B98" s="11" t="str">
        <f t="array" ref="B98">IFERROR(INDEX('Bank Schedule'!B:B, SMALL(IF('Bank Schedule'!$K$2:$K$825="Vacant", ROW('Bank Schedule'!$K$2:$K$825)), ROW(95:95))), "")</f>
        <v/>
      </c>
      <c r="C98" s="11" t="str">
        <f t="array" ref="C98">IFERROR(INDEX('Bank Schedule'!C:C, SMALL(IF('Bank Schedule'!$K$2:$K$825="Vacant", ROW('Bank Schedule'!$K$2:$K$825)), ROW(95:95))), "")</f>
        <v/>
      </c>
      <c r="D98" s="11" t="str">
        <f t="array" ref="D98">IFERROR(INDEX('Bank Schedule'!D:D, SMALL(IF('Bank Schedule'!$K$2:$K$825="Vacant", ROW('Bank Schedule'!$K$2:$K$825)), ROW(95:95))), "")</f>
        <v/>
      </c>
      <c r="E98" s="25" t="str">
        <f t="array" ref="E98">IFERROR(INDEX('Bank Schedule'!E:E, SMALL(IF('Bank Schedule'!$K$2:$K$825="Vacant", ROW('Bank Schedule'!$K$2:$K$825)), ROW(95:95))), "")</f>
        <v/>
      </c>
      <c r="F98" s="25" t="str">
        <f t="array" ref="F98">IFERROR(INDEX('Bank Schedule'!F:F, SMALL(IF('Bank Schedule'!$K$2:$K$825="Vacant", ROW('Bank Schedule'!$K$2:$K$825)), ROW(95:95))), "")</f>
        <v/>
      </c>
      <c r="G98" s="25" t="str">
        <f t="array" ref="G98">IFERROR(INDEX('Bank Schedule'!G:G, SMALL(IF('Bank Schedule'!$K$2:$K$825="Vacant", ROW('Bank Schedule'!$K$2:$K$825)), ROW(95:95))), "")</f>
        <v/>
      </c>
      <c r="H98" s="55" t="str">
        <f t="array" ref="H98">IFERROR(INDEX('Bank Schedule'!H:H, SMALL(IF('Bank Schedule'!$K$2:$K$825="Vacant", ROW('Bank Schedule'!$K$2:$K$825)), ROW(95:95))), "")</f>
        <v/>
      </c>
      <c r="I98" s="55" t="str">
        <f t="array" ref="I98">IFERROR(INDEX('Bank Schedule'!I:I, SMALL(IF('Bank Schedule'!$K$2:$K$825="Vacant", ROW('Bank Schedule'!$K$2:$K$825)), ROW(95:95))), "")</f>
        <v/>
      </c>
      <c r="J98" s="11" t="str">
        <f t="array" ref="J98">IFERROR(INDEX('Bank Schedule'!K:K, SMALL(IF('Bank Schedule'!$K$2:$K$825="Vacant", ROW('Bank Schedule'!$K$2:$K$825)), ROW(95:95))), "")</f>
        <v/>
      </c>
      <c r="K98" s="11" t="str">
        <f t="array" ref="K98">IFERROR(INDEX('Bank Schedule'!L:L, SMALL(IF('Bank Schedule'!$K$2:$K$825="Vacant", ROW('Bank Schedule'!$K$2:$K$825)), ROW(95:95))), "")</f>
        <v/>
      </c>
      <c r="L98" s="11" t="str">
        <f t="array" ref="L98">IFERROR(INDEX('Bank Schedule'!M:M, SMALL(IF('Bank Schedule'!$K$2:$K$825="Vacant", ROW('Bank Schedule'!$K$2:$K$825)), ROW(95:95))), "")</f>
        <v/>
      </c>
      <c r="M98" s="106" t="str">
        <f t="array" ref="M98">IFERROR(INDEX('Bank Schedule'!N:N, SMALL(IF('Bank Schedule'!$K$2:$K$825="Vacant", ROW('Bank Schedule'!$K$2:$K$825)), ROW(95:95))), "")</f>
        <v/>
      </c>
      <c r="N98" s="11" t="str">
        <f t="array" ref="N98">IFERROR(INDEX('Bank Schedule'!O:O, SMALL(IF('Bank Schedule'!$K$2:$K$825="Vacant", ROW('Bank Schedule'!$K$2:$K$825)), ROW(95:95))), "")</f>
        <v/>
      </c>
      <c r="O98" s="11" t="str">
        <f t="array" ref="O98">IFERROR(INDEX('Bank Schedule'!P:P, SMALL(IF('Bank Schedule'!$K$2:$K$825="Vacant", ROW('Bank Schedule'!$K$2:$K$825)), ROW(95:95))), "")</f>
        <v/>
      </c>
      <c r="P98" s="11" t="str">
        <f t="array" ref="P98">IFERROR(INDEX('Bank Schedule'!Q:Q, SMALL(IF('Bank Schedule'!$K$2:$K$825="Vacant", ROW('Bank Schedule'!$K$2:$K$825)), ROW(95:95))), "")</f>
        <v/>
      </c>
      <c r="Q98" s="11" t="str">
        <f t="array" ref="Q98">IFERROR(INDEX('Bank Schedule'!R:R, SMALL(IF('Bank Schedule'!$K$2:$K$825="Vacant", ROW('Bank Schedule'!$K$2:$K$825)), ROW(95:95))), "")</f>
        <v/>
      </c>
      <c r="R98" s="11" t="str">
        <f t="array" ref="R98">IFERROR(INDEX('Bank Schedule'!S:S, SMALL(IF('Bank Schedule'!$K$2:$K$825="Vacant", ROW('Bank Schedule'!$K$2:$K$825)), ROW(95:95))), "")</f>
        <v/>
      </c>
      <c r="S98" s="320" t="str">
        <f t="array" ref="S98">IFERROR(INDEX('Bank Schedule'!T:T, SMALL(IF('Bank Schedule'!$K$2:$K$825="Vacant", ROW('Bank Schedule'!$K$2:$K$825)), ROW(95:95))), "")</f>
        <v/>
      </c>
      <c r="T98" s="320" t="str">
        <f t="array" ref="T98">IFERROR(INDEX('Bank Schedule'!U:U, SMALL(IF('Bank Schedule'!$K$2:$K$825="Vacant", ROW('Bank Schedule'!$K$2:$K$825)), ROW(95:95))), "")</f>
        <v/>
      </c>
      <c r="U98" s="320" t="str">
        <f t="array" ref="U98">IFERROR(INDEX('Bank Schedule'!V:V, SMALL(IF('Bank Schedule'!$K$2:$K$825="Vacant", ROW('Bank Schedule'!$K$2:$K$825)), ROW(95:95))), "")</f>
        <v/>
      </c>
      <c r="V98" s="320" t="str">
        <f t="array" ref="V98">IFERROR(INDEX('Bank Schedule'!W:W, SMALL(IF('Bank Schedule'!$K$2:$K$825="Vacant", ROW('Bank Schedule'!$K$2:$K$825)), ROW(95:95))), "")</f>
        <v/>
      </c>
      <c r="W98" s="319" t="str">
        <f t="array" ref="W98">IFERROR(INDEX('Bank Schedule'!X:X, SMALL(IF('Bank Schedule'!$K$2:$K$825="Vacant", ROW('Bank Schedule'!$K$2:$K$825)), ROW(95:95))), "")</f>
        <v/>
      </c>
      <c r="X98" s="11" t="str">
        <f t="array" ref="X98">IFERROR(INDEX('Bank Schedule'!Y:Y, SMALL(IF('Bank Schedule'!$K$2:$K$825="Vacant", ROW('Bank Schedule'!$K$2:$K$825)), ROW(95:95))), "")</f>
        <v/>
      </c>
      <c r="Y98" s="11" t="str">
        <f t="array" ref="Y98">IFERROR(INDEX('Bank Schedule'!Z:Z, SMALL(IF('Bank Schedule'!$K$2:$K$825="Vacant", ROW('Bank Schedule'!$K$2:$K$825)), ROW(95:95))), "")</f>
        <v/>
      </c>
      <c r="Z98" s="11" t="str">
        <f t="array" ref="Z98">IFERROR(INDEX('Bank Schedule'!AA:AA, SMALL(IF('Bank Schedule'!$K$2:$K$825="Vacant", ROW('Bank Schedule'!$K$2:$K$825)), ROW(95:95))), "")</f>
        <v/>
      </c>
      <c r="AA98" s="11" t="str">
        <f t="array" ref="AA98">IFERROR(INDEX('Bank Schedule'!AB:AB, SMALL(IF('Bank Schedule'!$K$2:$K$825="Vacant", ROW('Bank Schedule'!$K$2:$K$825)), ROW(95:95))), "")</f>
        <v/>
      </c>
      <c r="AB98" s="25" t="str">
        <f t="array" ref="AB98">IFERROR(INDEX('Bank Schedule'!AC:AC, SMALL(IF('Bank Schedule'!$K$2:$K$825="Vacant", ROW('Bank Schedule'!$K$2:$K$825)), ROW(95:95))), "")</f>
        <v/>
      </c>
      <c r="AC98" s="299" t="str">
        <f t="array" ref="AC98">IFERROR(INDEX('Bank Schedule'!AD:AD, SMALL(IF('Bank Schedule'!$K$2:$K$825="Vacant", ROW('Bank Schedule'!$K$2:$K$825)), ROW(95:95))), "")</f>
        <v/>
      </c>
      <c r="AD98" s="11" t="str">
        <f t="array" ref="AD98">IFERROR(INDEX('Bank Schedule'!AE:AE, SMALL(IF('Bank Schedule'!$K$2:$K$825="Vacant", ROW('Bank Schedule'!$K$2:$K$825)), ROW(95:95))), "")</f>
        <v/>
      </c>
      <c r="AE98" s="11" t="str">
        <f t="array" ref="AE98">IFERROR(INDEX('Bank Schedule'!AF:AF, SMALL(IF('Bank Schedule'!$K$2:$K$825="Vacant", ROW('Bank Schedule'!$K$2:$K$825)), ROW(95:95))), "")</f>
        <v/>
      </c>
      <c r="AF98" s="11" t="str">
        <f t="array" ref="AF98">IFERROR(INDEX('Bank Schedule'!AG:AG, SMALL(IF('Bank Schedule'!$K$2:$K$825="Vacant", ROW('Bank Schedule'!$K$2:$K$825)), ROW(95:95))), "")</f>
        <v/>
      </c>
      <c r="AG98" s="4"/>
    </row>
    <row r="99" spans="1:33" ht="28.5" hidden="1" customHeight="1">
      <c r="A99" s="2" t="str">
        <f t="array" ref="A99">IFERROR(INDEX('Bank Schedule'!A:A, SMALL(IF('Bank Schedule'!$K$2:$K$825="Vacant", ROW('Bank Schedule'!$K$2:$K$825)), ROW(96:96))), "")</f>
        <v/>
      </c>
      <c r="B99" s="11" t="str">
        <f t="array" ref="B99">IFERROR(INDEX('Bank Schedule'!B:B, SMALL(IF('Bank Schedule'!$K$2:$K$825="Vacant", ROW('Bank Schedule'!$K$2:$K$825)), ROW(96:96))), "")</f>
        <v/>
      </c>
      <c r="C99" s="11" t="str">
        <f t="array" ref="C99">IFERROR(INDEX('Bank Schedule'!C:C, SMALL(IF('Bank Schedule'!$K$2:$K$825="Vacant", ROW('Bank Schedule'!$K$2:$K$825)), ROW(96:96))), "")</f>
        <v/>
      </c>
      <c r="D99" s="11" t="str">
        <f t="array" ref="D99">IFERROR(INDEX('Bank Schedule'!D:D, SMALL(IF('Bank Schedule'!$K$2:$K$825="Vacant", ROW('Bank Schedule'!$K$2:$K$825)), ROW(96:96))), "")</f>
        <v/>
      </c>
      <c r="E99" s="25" t="str">
        <f t="array" ref="E99">IFERROR(INDEX('Bank Schedule'!E:E, SMALL(IF('Bank Schedule'!$K$2:$K$825="Vacant", ROW('Bank Schedule'!$K$2:$K$825)), ROW(96:96))), "")</f>
        <v/>
      </c>
      <c r="F99" s="25" t="str">
        <f t="array" ref="F99">IFERROR(INDEX('Bank Schedule'!F:F, SMALL(IF('Bank Schedule'!$K$2:$K$825="Vacant", ROW('Bank Schedule'!$K$2:$K$825)), ROW(96:96))), "")</f>
        <v/>
      </c>
      <c r="G99" s="25" t="str">
        <f t="array" ref="G99">IFERROR(INDEX('Bank Schedule'!G:G, SMALL(IF('Bank Schedule'!$K$2:$K$825="Vacant", ROW('Bank Schedule'!$K$2:$K$825)), ROW(96:96))), "")</f>
        <v/>
      </c>
      <c r="H99" s="55" t="str">
        <f t="array" ref="H99">IFERROR(INDEX('Bank Schedule'!H:H, SMALL(IF('Bank Schedule'!$K$2:$K$825="Vacant", ROW('Bank Schedule'!$K$2:$K$825)), ROW(96:96))), "")</f>
        <v/>
      </c>
      <c r="I99" s="55" t="str">
        <f t="array" ref="I99">IFERROR(INDEX('Bank Schedule'!I:I, SMALL(IF('Bank Schedule'!$K$2:$K$825="Vacant", ROW('Bank Schedule'!$K$2:$K$825)), ROW(96:96))), "")</f>
        <v/>
      </c>
      <c r="J99" s="11" t="str">
        <f t="array" ref="J99">IFERROR(INDEX('Bank Schedule'!K:K, SMALL(IF('Bank Schedule'!$K$2:$K$825="Vacant", ROW('Bank Schedule'!$K$2:$K$825)), ROW(96:96))), "")</f>
        <v/>
      </c>
      <c r="K99" s="11" t="str">
        <f t="array" ref="K99">IFERROR(INDEX('Bank Schedule'!L:L, SMALL(IF('Bank Schedule'!$K$2:$K$825="Vacant", ROW('Bank Schedule'!$K$2:$K$825)), ROW(96:96))), "")</f>
        <v/>
      </c>
      <c r="L99" s="11" t="str">
        <f t="array" ref="L99">IFERROR(INDEX('Bank Schedule'!M:M, SMALL(IF('Bank Schedule'!$K$2:$K$825="Vacant", ROW('Bank Schedule'!$K$2:$K$825)), ROW(96:96))), "")</f>
        <v/>
      </c>
      <c r="M99" s="106" t="str">
        <f t="array" ref="M99">IFERROR(INDEX('Bank Schedule'!N:N, SMALL(IF('Bank Schedule'!$K$2:$K$825="Vacant", ROW('Bank Schedule'!$K$2:$K$825)), ROW(96:96))), "")</f>
        <v/>
      </c>
      <c r="N99" s="11" t="str">
        <f t="array" ref="N99">IFERROR(INDEX('Bank Schedule'!O:O, SMALL(IF('Bank Schedule'!$K$2:$K$825="Vacant", ROW('Bank Schedule'!$K$2:$K$825)), ROW(96:96))), "")</f>
        <v/>
      </c>
      <c r="O99" s="11" t="str">
        <f t="array" ref="O99">IFERROR(INDEX('Bank Schedule'!P:P, SMALL(IF('Bank Schedule'!$K$2:$K$825="Vacant", ROW('Bank Schedule'!$K$2:$K$825)), ROW(96:96))), "")</f>
        <v/>
      </c>
      <c r="P99" s="11" t="str">
        <f t="array" ref="P99">IFERROR(INDEX('Bank Schedule'!Q:Q, SMALL(IF('Bank Schedule'!$K$2:$K$825="Vacant", ROW('Bank Schedule'!$K$2:$K$825)), ROW(96:96))), "")</f>
        <v/>
      </c>
      <c r="Q99" s="11" t="str">
        <f t="array" ref="Q99">IFERROR(INDEX('Bank Schedule'!R:R, SMALL(IF('Bank Schedule'!$K$2:$K$825="Vacant", ROW('Bank Schedule'!$K$2:$K$825)), ROW(96:96))), "")</f>
        <v/>
      </c>
      <c r="R99" s="11" t="str">
        <f t="array" ref="R99">IFERROR(INDEX('Bank Schedule'!S:S, SMALL(IF('Bank Schedule'!$K$2:$K$825="Vacant", ROW('Bank Schedule'!$K$2:$K$825)), ROW(96:96))), "")</f>
        <v/>
      </c>
      <c r="S99" s="320" t="str">
        <f t="array" ref="S99">IFERROR(INDEX('Bank Schedule'!T:T, SMALL(IF('Bank Schedule'!$K$2:$K$825="Vacant", ROW('Bank Schedule'!$K$2:$K$825)), ROW(96:96))), "")</f>
        <v/>
      </c>
      <c r="T99" s="320" t="str">
        <f t="array" ref="T99">IFERROR(INDEX('Bank Schedule'!U:U, SMALL(IF('Bank Schedule'!$K$2:$K$825="Vacant", ROW('Bank Schedule'!$K$2:$K$825)), ROW(96:96))), "")</f>
        <v/>
      </c>
      <c r="U99" s="320" t="str">
        <f t="array" ref="U99">IFERROR(INDEX('Bank Schedule'!V:V, SMALL(IF('Bank Schedule'!$K$2:$K$825="Vacant", ROW('Bank Schedule'!$K$2:$K$825)), ROW(96:96))), "")</f>
        <v/>
      </c>
      <c r="V99" s="320" t="str">
        <f t="array" ref="V99">IFERROR(INDEX('Bank Schedule'!W:W, SMALL(IF('Bank Schedule'!$K$2:$K$825="Vacant", ROW('Bank Schedule'!$K$2:$K$825)), ROW(96:96))), "")</f>
        <v/>
      </c>
      <c r="W99" s="319" t="str">
        <f t="array" ref="W99">IFERROR(INDEX('Bank Schedule'!X:X, SMALL(IF('Bank Schedule'!$K$2:$K$825="Vacant", ROW('Bank Schedule'!$K$2:$K$825)), ROW(96:96))), "")</f>
        <v/>
      </c>
      <c r="X99" s="11" t="str">
        <f t="array" ref="X99">IFERROR(INDEX('Bank Schedule'!Y:Y, SMALL(IF('Bank Schedule'!$K$2:$K$825="Vacant", ROW('Bank Schedule'!$K$2:$K$825)), ROW(96:96))), "")</f>
        <v/>
      </c>
      <c r="Y99" s="11" t="str">
        <f t="array" ref="Y99">IFERROR(INDEX('Bank Schedule'!Z:Z, SMALL(IF('Bank Schedule'!$K$2:$K$825="Vacant", ROW('Bank Schedule'!$K$2:$K$825)), ROW(96:96))), "")</f>
        <v/>
      </c>
      <c r="Z99" s="11" t="str">
        <f t="array" ref="Z99">IFERROR(INDEX('Bank Schedule'!AA:AA, SMALL(IF('Bank Schedule'!$K$2:$K$825="Vacant", ROW('Bank Schedule'!$K$2:$K$825)), ROW(96:96))), "")</f>
        <v/>
      </c>
      <c r="AA99" s="11" t="str">
        <f t="array" ref="AA99">IFERROR(INDEX('Bank Schedule'!AB:AB, SMALL(IF('Bank Schedule'!$K$2:$K$825="Vacant", ROW('Bank Schedule'!$K$2:$K$825)), ROW(96:96))), "")</f>
        <v/>
      </c>
      <c r="AB99" s="25" t="str">
        <f t="array" ref="AB99">IFERROR(INDEX('Bank Schedule'!AC:AC, SMALL(IF('Bank Schedule'!$K$2:$K$825="Vacant", ROW('Bank Schedule'!$K$2:$K$825)), ROW(96:96))), "")</f>
        <v/>
      </c>
      <c r="AC99" s="299" t="str">
        <f t="array" ref="AC99">IFERROR(INDEX('Bank Schedule'!AD:AD, SMALL(IF('Bank Schedule'!$K$2:$K$825="Vacant", ROW('Bank Schedule'!$K$2:$K$825)), ROW(96:96))), "")</f>
        <v/>
      </c>
      <c r="AD99" s="11" t="str">
        <f t="array" ref="AD99">IFERROR(INDEX('Bank Schedule'!AE:AE, SMALL(IF('Bank Schedule'!$K$2:$K$825="Vacant", ROW('Bank Schedule'!$K$2:$K$825)), ROW(96:96))), "")</f>
        <v/>
      </c>
      <c r="AE99" s="11" t="str">
        <f t="array" ref="AE99">IFERROR(INDEX('Bank Schedule'!AF:AF, SMALL(IF('Bank Schedule'!$K$2:$K$825="Vacant", ROW('Bank Schedule'!$K$2:$K$825)), ROW(96:96))), "")</f>
        <v/>
      </c>
      <c r="AF99" s="11" t="str">
        <f t="array" ref="AF99">IFERROR(INDEX('Bank Schedule'!AG:AG, SMALL(IF('Bank Schedule'!$K$2:$K$825="Vacant", ROW('Bank Schedule'!$K$2:$K$825)), ROW(96:96))), "")</f>
        <v/>
      </c>
      <c r="AG99" s="4"/>
    </row>
    <row r="100" spans="1:33" ht="28.5" customHeight="1">
      <c r="A100" s="2" t="str">
        <f t="array" ref="A100">IFERROR(INDEX('Bank Schedule'!A:A, SMALL(IF('Bank Schedule'!$K$2:$K$825="Vacant", ROW('Bank Schedule'!$K$2:$K$825)), ROW(97:97))), "")</f>
        <v/>
      </c>
      <c r="B100" s="11" t="str">
        <f t="array" ref="B100">IFERROR(INDEX('Bank Schedule'!B:B, SMALL(IF('Bank Schedule'!$K$2:$K$825="Vacant", ROW('Bank Schedule'!$K$2:$K$825)), ROW(97:97))), "")</f>
        <v/>
      </c>
      <c r="C100" s="11" t="str">
        <f t="array" ref="C100">IFERROR(INDEX('Bank Schedule'!C:C, SMALL(IF('Bank Schedule'!$K$2:$K$825="Vacant", ROW('Bank Schedule'!$K$2:$K$825)), ROW(97:97))), "")</f>
        <v/>
      </c>
      <c r="D100" s="11" t="str">
        <f t="array" ref="D100">IFERROR(INDEX('Bank Schedule'!D:D, SMALL(IF('Bank Schedule'!$K$2:$K$825="Vacant", ROW('Bank Schedule'!$K$2:$K$825)), ROW(97:97))), "")</f>
        <v/>
      </c>
      <c r="E100" s="25" t="str">
        <f t="array" ref="E100">IFERROR(INDEX('Bank Schedule'!E:E, SMALL(IF('Bank Schedule'!$K$2:$K$825="Vacant", ROW('Bank Schedule'!$K$2:$K$825)), ROW(97:97))), "")</f>
        <v/>
      </c>
      <c r="F100" s="25" t="str">
        <f t="array" ref="F100">IFERROR(INDEX('Bank Schedule'!F:F, SMALL(IF('Bank Schedule'!$K$2:$K$825="Vacant", ROW('Bank Schedule'!$K$2:$K$825)), ROW(97:97))), "")</f>
        <v/>
      </c>
      <c r="G100" s="25" t="str">
        <f t="array" ref="G100">IFERROR(INDEX('Bank Schedule'!G:G, SMALL(IF('Bank Schedule'!$K$2:$K$825="Vacant", ROW('Bank Schedule'!$K$2:$K$825)), ROW(97:97))), "")</f>
        <v/>
      </c>
      <c r="H100" s="55" t="str">
        <f t="array" ref="H100">IFERROR(INDEX('Bank Schedule'!H:H, SMALL(IF('Bank Schedule'!$K$2:$K$825="Vacant", ROW('Bank Schedule'!$K$2:$K$825)), ROW(97:97))), "")</f>
        <v/>
      </c>
      <c r="I100" s="55" t="str">
        <f t="array" ref="I100">IFERROR(INDEX('Bank Schedule'!I:I, SMALL(IF('Bank Schedule'!$K$2:$K$825="Vacant", ROW('Bank Schedule'!$K$2:$K$825)), ROW(97:97))), "")</f>
        <v/>
      </c>
      <c r="J100" s="11" t="str">
        <f t="array" ref="J100">IFERROR(INDEX('Bank Schedule'!K:K, SMALL(IF('Bank Schedule'!$K$2:$K$825="Vacant", ROW('Bank Schedule'!$K$2:$K$825)), ROW(97:97))), "")</f>
        <v/>
      </c>
      <c r="K100" s="11" t="str">
        <f t="array" ref="K100">IFERROR(INDEX('Bank Schedule'!L:L, SMALL(IF('Bank Schedule'!$K$2:$K$825="Vacant", ROW('Bank Schedule'!$K$2:$K$825)), ROW(97:97))), "")</f>
        <v/>
      </c>
      <c r="L100" s="11" t="str">
        <f t="array" ref="L100">IFERROR(INDEX('Bank Schedule'!M:M, SMALL(IF('Bank Schedule'!$K$2:$K$825="Vacant", ROW('Bank Schedule'!$K$2:$K$825)), ROW(97:97))), "")</f>
        <v/>
      </c>
      <c r="M100" s="106" t="str">
        <f t="array" ref="M100">IFERROR(INDEX('Bank Schedule'!N:N, SMALL(IF('Bank Schedule'!$K$2:$K$825="Vacant", ROW('Bank Schedule'!$K$2:$K$825)), ROW(97:97))), "")</f>
        <v/>
      </c>
      <c r="N100" s="11" t="str">
        <f t="array" ref="N100">IFERROR(INDEX('Bank Schedule'!O:O, SMALL(IF('Bank Schedule'!$K$2:$K$825="Vacant", ROW('Bank Schedule'!$K$2:$K$825)), ROW(97:97))), "")</f>
        <v/>
      </c>
      <c r="O100" s="11" t="str">
        <f t="array" ref="O100">IFERROR(INDEX('Bank Schedule'!P:P, SMALL(IF('Bank Schedule'!$K$2:$K$825="Vacant", ROW('Bank Schedule'!$K$2:$K$825)), ROW(97:97))), "")</f>
        <v/>
      </c>
      <c r="P100" s="11" t="str">
        <f t="array" ref="P100">IFERROR(INDEX('Bank Schedule'!Q:Q, SMALL(IF('Bank Schedule'!$K$2:$K$825="Vacant", ROW('Bank Schedule'!$K$2:$K$825)), ROW(97:97))), "")</f>
        <v/>
      </c>
      <c r="Q100" s="11" t="str">
        <f t="array" ref="Q100">IFERROR(INDEX('Bank Schedule'!R:R, SMALL(IF('Bank Schedule'!$K$2:$K$825="Vacant", ROW('Bank Schedule'!$K$2:$K$825)), ROW(97:97))), "")</f>
        <v/>
      </c>
      <c r="R100" s="11" t="str">
        <f t="array" ref="R100">IFERROR(INDEX('Bank Schedule'!S:S, SMALL(IF('Bank Schedule'!$K$2:$K$825="Vacant", ROW('Bank Schedule'!$K$2:$K$825)), ROW(97:97))), "")</f>
        <v/>
      </c>
      <c r="S100" s="320" t="str">
        <f t="array" ref="S100">IFERROR(INDEX('Bank Schedule'!T:T, SMALL(IF('Bank Schedule'!$K$2:$K$825="Vacant", ROW('Bank Schedule'!$K$2:$K$825)), ROW(97:97))), "")</f>
        <v/>
      </c>
      <c r="T100" s="320" t="str">
        <f t="array" ref="T100">IFERROR(INDEX('Bank Schedule'!U:U, SMALL(IF('Bank Schedule'!$K$2:$K$825="Vacant", ROW('Bank Schedule'!$K$2:$K$825)), ROW(97:97))), "")</f>
        <v/>
      </c>
      <c r="U100" s="320" t="str">
        <f t="array" ref="U100">IFERROR(INDEX('Bank Schedule'!V:V, SMALL(IF('Bank Schedule'!$K$2:$K$825="Vacant", ROW('Bank Schedule'!$K$2:$K$825)), ROW(97:97))), "")</f>
        <v/>
      </c>
      <c r="V100" s="320" t="str">
        <f t="array" ref="V100">IFERROR(INDEX('Bank Schedule'!W:W, SMALL(IF('Bank Schedule'!$K$2:$K$825="Vacant", ROW('Bank Schedule'!$K$2:$K$825)), ROW(97:97))), "")</f>
        <v/>
      </c>
      <c r="W100" s="319" t="str">
        <f t="array" ref="W100">IFERROR(INDEX('Bank Schedule'!X:X, SMALL(IF('Bank Schedule'!$K$2:$K$825="Vacant", ROW('Bank Schedule'!$K$2:$K$825)), ROW(97:97))), "")</f>
        <v/>
      </c>
      <c r="X100" s="11" t="str">
        <f t="array" ref="X100">IFERROR(INDEX('Bank Schedule'!Y:Y, SMALL(IF('Bank Schedule'!$K$2:$K$825="Vacant", ROW('Bank Schedule'!$K$2:$K$825)), ROW(97:97))), "")</f>
        <v/>
      </c>
      <c r="Y100" s="11" t="str">
        <f t="array" ref="Y100">IFERROR(INDEX('Bank Schedule'!Z:Z, SMALL(IF('Bank Schedule'!$K$2:$K$825="Vacant", ROW('Bank Schedule'!$K$2:$K$825)), ROW(97:97))), "")</f>
        <v/>
      </c>
      <c r="Z100" s="11" t="str">
        <f t="array" ref="Z100">IFERROR(INDEX('Bank Schedule'!AA:AA, SMALL(IF('Bank Schedule'!$K$2:$K$825="Vacant", ROW('Bank Schedule'!$K$2:$K$825)), ROW(97:97))), "")</f>
        <v/>
      </c>
      <c r="AA100" s="11" t="str">
        <f t="array" ref="AA100">IFERROR(INDEX('Bank Schedule'!AB:AB, SMALL(IF('Bank Schedule'!$K$2:$K$825="Vacant", ROW('Bank Schedule'!$K$2:$K$825)), ROW(97:97))), "")</f>
        <v/>
      </c>
      <c r="AB100" s="25" t="str">
        <f t="array" ref="AB100">IFERROR(INDEX('Bank Schedule'!AC:AC, SMALL(IF('Bank Schedule'!$K$2:$K$825="Vacant", ROW('Bank Schedule'!$K$2:$K$825)), ROW(97:97))), "")</f>
        <v/>
      </c>
      <c r="AC100" s="299" t="str">
        <f t="array" ref="AC100">IFERROR(INDEX('Bank Schedule'!AD:AD, SMALL(IF('Bank Schedule'!$K$2:$K$825="Vacant", ROW('Bank Schedule'!$K$2:$K$825)), ROW(97:97))), "")</f>
        <v/>
      </c>
      <c r="AD100" s="11" t="str">
        <f t="array" ref="AD100">IFERROR(INDEX('Bank Schedule'!AE:AE, SMALL(IF('Bank Schedule'!$K$2:$K$825="Vacant", ROW('Bank Schedule'!$K$2:$K$825)), ROW(97:97))), "")</f>
        <v/>
      </c>
      <c r="AE100" s="11" t="str">
        <f t="array" ref="AE100">IFERROR(INDEX('Bank Schedule'!AF:AF, SMALL(IF('Bank Schedule'!$K$2:$K$825="Vacant", ROW('Bank Schedule'!$K$2:$K$825)), ROW(97:97))), "")</f>
        <v/>
      </c>
      <c r="AF100" s="11" t="str">
        <f t="array" ref="AF100">IFERROR(INDEX('Bank Schedule'!AG:AG, SMALL(IF('Bank Schedule'!$K$2:$K$825="Vacant", ROW('Bank Schedule'!$K$2:$K$825)), ROW(97:97))), "")</f>
        <v/>
      </c>
      <c r="AG100" s="4"/>
    </row>
    <row r="101" spans="1:33" ht="28.5" customHeight="1">
      <c r="A101" s="2" t="str">
        <f t="array" ref="A101">IFERROR(INDEX('Bank Schedule'!A:A, SMALL(IF('Bank Schedule'!$K$2:$K$825="Vacant", ROW('Bank Schedule'!$K$2:$K$825)), ROW(98:98))), "")</f>
        <v/>
      </c>
      <c r="B101" s="11" t="str">
        <f t="array" ref="B101">IFERROR(INDEX('Bank Schedule'!B:B, SMALL(IF('Bank Schedule'!$K$2:$K$825="Vacant", ROW('Bank Schedule'!$K$2:$K$825)), ROW(98:98))), "")</f>
        <v/>
      </c>
      <c r="C101" s="11" t="str">
        <f t="array" ref="C101">IFERROR(INDEX('Bank Schedule'!C:C, SMALL(IF('Bank Schedule'!$K$2:$K$825="Vacant", ROW('Bank Schedule'!$K$2:$K$825)), ROW(98:98))), "")</f>
        <v/>
      </c>
      <c r="D101" s="11" t="str">
        <f t="array" ref="D101">IFERROR(INDEX('Bank Schedule'!D:D, SMALL(IF('Bank Schedule'!$K$2:$K$825="Vacant", ROW('Bank Schedule'!$K$2:$K$825)), ROW(98:98))), "")</f>
        <v/>
      </c>
      <c r="E101" s="25" t="str">
        <f t="array" ref="E101">IFERROR(INDEX('Bank Schedule'!E:E, SMALL(IF('Bank Schedule'!$K$2:$K$825="Vacant", ROW('Bank Schedule'!$K$2:$K$825)), ROW(98:98))), "")</f>
        <v/>
      </c>
      <c r="F101" s="25" t="str">
        <f t="array" ref="F101">IFERROR(INDEX('Bank Schedule'!F:F, SMALL(IF('Bank Schedule'!$K$2:$K$825="Vacant", ROW('Bank Schedule'!$K$2:$K$825)), ROW(98:98))), "")</f>
        <v/>
      </c>
      <c r="G101" s="25" t="str">
        <f t="array" ref="G101">IFERROR(INDEX('Bank Schedule'!G:G, SMALL(IF('Bank Schedule'!$K$2:$K$825="Vacant", ROW('Bank Schedule'!$K$2:$K$825)), ROW(98:98))), "")</f>
        <v/>
      </c>
      <c r="H101" s="55" t="str">
        <f t="array" ref="H101">IFERROR(INDEX('Bank Schedule'!H:H, SMALL(IF('Bank Schedule'!$K$2:$K$825="Vacant", ROW('Bank Schedule'!$K$2:$K$825)), ROW(98:98))), "")</f>
        <v/>
      </c>
      <c r="I101" s="55" t="str">
        <f t="array" ref="I101">IFERROR(INDEX('Bank Schedule'!I:I, SMALL(IF('Bank Schedule'!$K$2:$K$825="Vacant", ROW('Bank Schedule'!$K$2:$K$825)), ROW(98:98))), "")</f>
        <v/>
      </c>
      <c r="J101" s="11" t="str">
        <f t="array" ref="J101">IFERROR(INDEX('Bank Schedule'!K:K, SMALL(IF('Bank Schedule'!$K$2:$K$825="Vacant", ROW('Bank Schedule'!$K$2:$K$825)), ROW(98:98))), "")</f>
        <v/>
      </c>
      <c r="K101" s="11" t="str">
        <f t="array" ref="K101">IFERROR(INDEX('Bank Schedule'!L:L, SMALL(IF('Bank Schedule'!$K$2:$K$825="Vacant", ROW('Bank Schedule'!$K$2:$K$825)), ROW(98:98))), "")</f>
        <v/>
      </c>
      <c r="L101" s="11" t="str">
        <f t="array" ref="L101">IFERROR(INDEX('Bank Schedule'!M:M, SMALL(IF('Bank Schedule'!$K$2:$K$825="Vacant", ROW('Bank Schedule'!$K$2:$K$825)), ROW(98:98))), "")</f>
        <v/>
      </c>
      <c r="M101" s="106" t="str">
        <f t="array" ref="M101">IFERROR(INDEX('Bank Schedule'!N:N, SMALL(IF('Bank Schedule'!$K$2:$K$825="Vacant", ROW('Bank Schedule'!$K$2:$K$825)), ROW(98:98))), "")</f>
        <v/>
      </c>
      <c r="N101" s="11" t="str">
        <f t="array" ref="N101">IFERROR(INDEX('Bank Schedule'!O:O, SMALL(IF('Bank Schedule'!$K$2:$K$825="Vacant", ROW('Bank Schedule'!$K$2:$K$825)), ROW(98:98))), "")</f>
        <v/>
      </c>
      <c r="O101" s="11" t="str">
        <f t="array" ref="O101">IFERROR(INDEX('Bank Schedule'!P:P, SMALL(IF('Bank Schedule'!$K$2:$K$825="Vacant", ROW('Bank Schedule'!$K$2:$K$825)), ROW(98:98))), "")</f>
        <v/>
      </c>
      <c r="P101" s="11" t="str">
        <f t="array" ref="P101">IFERROR(INDEX('Bank Schedule'!Q:Q, SMALL(IF('Bank Schedule'!$K$2:$K$825="Vacant", ROW('Bank Schedule'!$K$2:$K$825)), ROW(98:98))), "")</f>
        <v/>
      </c>
      <c r="Q101" s="11" t="str">
        <f t="array" ref="Q101">IFERROR(INDEX('Bank Schedule'!R:R, SMALL(IF('Bank Schedule'!$K$2:$K$825="Vacant", ROW('Bank Schedule'!$K$2:$K$825)), ROW(98:98))), "")</f>
        <v/>
      </c>
      <c r="R101" s="11" t="str">
        <f t="array" ref="R101">IFERROR(INDEX('Bank Schedule'!S:S, SMALL(IF('Bank Schedule'!$K$2:$K$825="Vacant", ROW('Bank Schedule'!$K$2:$K$825)), ROW(98:98))), "")</f>
        <v/>
      </c>
      <c r="S101" s="320" t="str">
        <f t="array" ref="S101">IFERROR(INDEX('Bank Schedule'!T:T, SMALL(IF('Bank Schedule'!$K$2:$K$825="Vacant", ROW('Bank Schedule'!$K$2:$K$825)), ROW(98:98))), "")</f>
        <v/>
      </c>
      <c r="T101" s="320" t="str">
        <f t="array" ref="T101">IFERROR(INDEX('Bank Schedule'!U:U, SMALL(IF('Bank Schedule'!$K$2:$K$825="Vacant", ROW('Bank Schedule'!$K$2:$K$825)), ROW(98:98))), "")</f>
        <v/>
      </c>
      <c r="U101" s="320" t="str">
        <f t="array" ref="U101">IFERROR(INDEX('Bank Schedule'!V:V, SMALL(IF('Bank Schedule'!$K$2:$K$825="Vacant", ROW('Bank Schedule'!$K$2:$K$825)), ROW(98:98))), "")</f>
        <v/>
      </c>
      <c r="V101" s="320" t="str">
        <f t="array" ref="V101">IFERROR(INDEX('Bank Schedule'!W:W, SMALL(IF('Bank Schedule'!$K$2:$K$825="Vacant", ROW('Bank Schedule'!$K$2:$K$825)), ROW(98:98))), "")</f>
        <v/>
      </c>
      <c r="W101" s="319" t="str">
        <f t="array" ref="W101">IFERROR(INDEX('Bank Schedule'!X:X, SMALL(IF('Bank Schedule'!$K$2:$K$825="Vacant", ROW('Bank Schedule'!$K$2:$K$825)), ROW(98:98))), "")</f>
        <v/>
      </c>
      <c r="X101" s="11" t="str">
        <f t="array" ref="X101">IFERROR(INDEX('Bank Schedule'!Y:Y, SMALL(IF('Bank Schedule'!$K$2:$K$825="Vacant", ROW('Bank Schedule'!$K$2:$K$825)), ROW(98:98))), "")</f>
        <v/>
      </c>
      <c r="Y101" s="11" t="str">
        <f t="array" ref="Y101">IFERROR(INDEX('Bank Schedule'!Z:Z, SMALL(IF('Bank Schedule'!$K$2:$K$825="Vacant", ROW('Bank Schedule'!$K$2:$K$825)), ROW(98:98))), "")</f>
        <v/>
      </c>
      <c r="Z101" s="11" t="str">
        <f t="array" ref="Z101">IFERROR(INDEX('Bank Schedule'!AA:AA, SMALL(IF('Bank Schedule'!$K$2:$K$825="Vacant", ROW('Bank Schedule'!$K$2:$K$825)), ROW(98:98))), "")</f>
        <v/>
      </c>
      <c r="AA101" s="11" t="str">
        <f t="array" ref="AA101">IFERROR(INDEX('Bank Schedule'!AB:AB, SMALL(IF('Bank Schedule'!$K$2:$K$825="Vacant", ROW('Bank Schedule'!$K$2:$K$825)), ROW(98:98))), "")</f>
        <v/>
      </c>
      <c r="AB101" s="25" t="str">
        <f t="array" ref="AB101">IFERROR(INDEX('Bank Schedule'!AC:AC, SMALL(IF('Bank Schedule'!$K$2:$K$825="Vacant", ROW('Bank Schedule'!$K$2:$K$825)), ROW(98:98))), "")</f>
        <v/>
      </c>
      <c r="AC101" s="299" t="str">
        <f t="array" ref="AC101">IFERROR(INDEX('Bank Schedule'!AD:AD, SMALL(IF('Bank Schedule'!$K$2:$K$825="Vacant", ROW('Bank Schedule'!$K$2:$K$825)), ROW(98:98))), "")</f>
        <v/>
      </c>
      <c r="AD101" s="11" t="str">
        <f t="array" ref="AD101">IFERROR(INDEX('Bank Schedule'!AE:AE, SMALL(IF('Bank Schedule'!$K$2:$K$825="Vacant", ROW('Bank Schedule'!$K$2:$K$825)), ROW(98:98))), "")</f>
        <v/>
      </c>
      <c r="AE101" s="11" t="str">
        <f t="array" ref="AE101">IFERROR(INDEX('Bank Schedule'!AF:AF, SMALL(IF('Bank Schedule'!$K$2:$K$825="Vacant", ROW('Bank Schedule'!$K$2:$K$825)), ROW(98:98))), "")</f>
        <v/>
      </c>
      <c r="AF101" s="11" t="str">
        <f t="array" ref="AF101">IFERROR(INDEX('Bank Schedule'!AG:AG, SMALL(IF('Bank Schedule'!$K$2:$K$825="Vacant", ROW('Bank Schedule'!$K$2:$K$825)), ROW(98:98))), "")</f>
        <v/>
      </c>
      <c r="AG101" s="4"/>
    </row>
    <row r="102" spans="1:33" ht="28.5" customHeight="1">
      <c r="A102" s="2" t="str">
        <f t="array" ref="A102">IFERROR(INDEX('Bank Schedule'!A:A, SMALL(IF('Bank Schedule'!$K$2:$K$825="Vacant", ROW('Bank Schedule'!$K$2:$K$825)), ROW(99:99))), "")</f>
        <v/>
      </c>
      <c r="B102" s="11" t="str">
        <f t="array" ref="B102">IFERROR(INDEX('Bank Schedule'!B:B, SMALL(IF('Bank Schedule'!$K$2:$K$825="Vacant", ROW('Bank Schedule'!$K$2:$K$825)), ROW(99:99))), "")</f>
        <v/>
      </c>
      <c r="C102" s="11" t="str">
        <f t="array" ref="C102">IFERROR(INDEX('Bank Schedule'!C:C, SMALL(IF('Bank Schedule'!$K$2:$K$825="Vacant", ROW('Bank Schedule'!$K$2:$K$825)), ROW(99:99))), "")</f>
        <v/>
      </c>
      <c r="D102" s="11" t="str">
        <f t="array" ref="D102">IFERROR(INDEX('Bank Schedule'!D:D, SMALL(IF('Bank Schedule'!$K$2:$K$825="Vacant", ROW('Bank Schedule'!$K$2:$K$825)), ROW(99:99))), "")</f>
        <v/>
      </c>
      <c r="E102" s="25" t="str">
        <f t="array" ref="E102">IFERROR(INDEX('Bank Schedule'!E:E, SMALL(IF('Bank Schedule'!$K$2:$K$825="Vacant", ROW('Bank Schedule'!$K$2:$K$825)), ROW(99:99))), "")</f>
        <v/>
      </c>
      <c r="F102" s="25" t="str">
        <f t="array" ref="F102">IFERROR(INDEX('Bank Schedule'!F:F, SMALL(IF('Bank Schedule'!$K$2:$K$825="Vacant", ROW('Bank Schedule'!$K$2:$K$825)), ROW(99:99))), "")</f>
        <v/>
      </c>
      <c r="G102" s="25" t="str">
        <f t="array" ref="G102">IFERROR(INDEX('Bank Schedule'!G:G, SMALL(IF('Bank Schedule'!$K$2:$K$825="Vacant", ROW('Bank Schedule'!$K$2:$K$825)), ROW(99:99))), "")</f>
        <v/>
      </c>
      <c r="H102" s="55" t="str">
        <f t="array" ref="H102">IFERROR(INDEX('Bank Schedule'!H:H, SMALL(IF('Bank Schedule'!$K$2:$K$825="Vacant", ROW('Bank Schedule'!$K$2:$K$825)), ROW(99:99))), "")</f>
        <v/>
      </c>
      <c r="I102" s="55" t="str">
        <f t="array" ref="I102">IFERROR(INDEX('Bank Schedule'!I:I, SMALL(IF('Bank Schedule'!$K$2:$K$825="Vacant", ROW('Bank Schedule'!$K$2:$K$825)), ROW(99:99))), "")</f>
        <v/>
      </c>
      <c r="J102" s="11" t="str">
        <f t="array" ref="J102">IFERROR(INDEX('Bank Schedule'!K:K, SMALL(IF('Bank Schedule'!$K$2:$K$825="Vacant", ROW('Bank Schedule'!$K$2:$K$825)), ROW(99:99))), "")</f>
        <v/>
      </c>
      <c r="K102" s="11" t="str">
        <f t="array" ref="K102">IFERROR(INDEX('Bank Schedule'!L:L, SMALL(IF('Bank Schedule'!$K$2:$K$825="Vacant", ROW('Bank Schedule'!$K$2:$K$825)), ROW(99:99))), "")</f>
        <v/>
      </c>
      <c r="L102" s="11" t="str">
        <f t="array" ref="L102">IFERROR(INDEX('Bank Schedule'!M:M, SMALL(IF('Bank Schedule'!$K$2:$K$825="Vacant", ROW('Bank Schedule'!$K$2:$K$825)), ROW(99:99))), "")</f>
        <v/>
      </c>
      <c r="M102" s="106" t="str">
        <f t="array" ref="M102">IFERROR(INDEX('Bank Schedule'!N:N, SMALL(IF('Bank Schedule'!$K$2:$K$825="Vacant", ROW('Bank Schedule'!$K$2:$K$825)), ROW(99:99))), "")</f>
        <v/>
      </c>
      <c r="N102" s="11" t="str">
        <f t="array" ref="N102">IFERROR(INDEX('Bank Schedule'!O:O, SMALL(IF('Bank Schedule'!$K$2:$K$825="Vacant", ROW('Bank Schedule'!$K$2:$K$825)), ROW(99:99))), "")</f>
        <v/>
      </c>
      <c r="O102" s="11" t="str">
        <f t="array" ref="O102">IFERROR(INDEX('Bank Schedule'!P:P, SMALL(IF('Bank Schedule'!$K$2:$K$825="Vacant", ROW('Bank Schedule'!$K$2:$K$825)), ROW(99:99))), "")</f>
        <v/>
      </c>
      <c r="P102" s="11" t="str">
        <f t="array" ref="P102">IFERROR(INDEX('Bank Schedule'!Q:Q, SMALL(IF('Bank Schedule'!$K$2:$K$825="Vacant", ROW('Bank Schedule'!$K$2:$K$825)), ROW(99:99))), "")</f>
        <v/>
      </c>
      <c r="Q102" s="11" t="str">
        <f t="array" ref="Q102">IFERROR(INDEX('Bank Schedule'!R:R, SMALL(IF('Bank Schedule'!$K$2:$K$825="Vacant", ROW('Bank Schedule'!$K$2:$K$825)), ROW(99:99))), "")</f>
        <v/>
      </c>
      <c r="R102" s="11" t="str">
        <f t="array" ref="R102">IFERROR(INDEX('Bank Schedule'!S:S, SMALL(IF('Bank Schedule'!$K$2:$K$825="Vacant", ROW('Bank Schedule'!$K$2:$K$825)), ROW(99:99))), "")</f>
        <v/>
      </c>
      <c r="S102" s="320" t="str">
        <f t="array" ref="S102">IFERROR(INDEX('Bank Schedule'!T:T, SMALL(IF('Bank Schedule'!$K$2:$K$825="Vacant", ROW('Bank Schedule'!$K$2:$K$825)), ROW(99:99))), "")</f>
        <v/>
      </c>
      <c r="T102" s="320" t="str">
        <f t="array" ref="T102">IFERROR(INDEX('Bank Schedule'!U:U, SMALL(IF('Bank Schedule'!$K$2:$K$825="Vacant", ROW('Bank Schedule'!$K$2:$K$825)), ROW(99:99))), "")</f>
        <v/>
      </c>
      <c r="U102" s="320" t="str">
        <f t="array" ref="U102">IFERROR(INDEX('Bank Schedule'!V:V, SMALL(IF('Bank Schedule'!$K$2:$K$825="Vacant", ROW('Bank Schedule'!$K$2:$K$825)), ROW(99:99))), "")</f>
        <v/>
      </c>
      <c r="V102" s="320" t="str">
        <f t="array" ref="V102">IFERROR(INDEX('Bank Schedule'!W:W, SMALL(IF('Bank Schedule'!$K$2:$K$825="Vacant", ROW('Bank Schedule'!$K$2:$K$825)), ROW(99:99))), "")</f>
        <v/>
      </c>
      <c r="W102" s="319" t="str">
        <f t="array" ref="W102">IFERROR(INDEX('Bank Schedule'!X:X, SMALL(IF('Bank Schedule'!$K$2:$K$825="Vacant", ROW('Bank Schedule'!$K$2:$K$825)), ROW(99:99))), "")</f>
        <v/>
      </c>
      <c r="X102" s="11" t="str">
        <f t="array" ref="X102">IFERROR(INDEX('Bank Schedule'!Y:Y, SMALL(IF('Bank Schedule'!$K$2:$K$825="Vacant", ROW('Bank Schedule'!$K$2:$K$825)), ROW(99:99))), "")</f>
        <v/>
      </c>
      <c r="Y102" s="11" t="str">
        <f t="array" ref="Y102">IFERROR(INDEX('Bank Schedule'!Z:Z, SMALL(IF('Bank Schedule'!$K$2:$K$825="Vacant", ROW('Bank Schedule'!$K$2:$K$825)), ROW(99:99))), "")</f>
        <v/>
      </c>
      <c r="Z102" s="11" t="str">
        <f t="array" ref="Z102">IFERROR(INDEX('Bank Schedule'!AA:AA, SMALL(IF('Bank Schedule'!$K$2:$K$825="Vacant", ROW('Bank Schedule'!$K$2:$K$825)), ROW(99:99))), "")</f>
        <v/>
      </c>
      <c r="AA102" s="11" t="str">
        <f t="array" ref="AA102">IFERROR(INDEX('Bank Schedule'!AB:AB, SMALL(IF('Bank Schedule'!$K$2:$K$825="Vacant", ROW('Bank Schedule'!$K$2:$K$825)), ROW(99:99))), "")</f>
        <v/>
      </c>
      <c r="AB102" s="25" t="str">
        <f t="array" ref="AB102">IFERROR(INDEX('Bank Schedule'!AC:AC, SMALL(IF('Bank Schedule'!$K$2:$K$825="Vacant", ROW('Bank Schedule'!$K$2:$K$825)), ROW(99:99))), "")</f>
        <v/>
      </c>
      <c r="AC102" s="299" t="str">
        <f t="array" ref="AC102">IFERROR(INDEX('Bank Schedule'!AD:AD, SMALL(IF('Bank Schedule'!$K$2:$K$825="Vacant", ROW('Bank Schedule'!$K$2:$K$825)), ROW(99:99))), "")</f>
        <v/>
      </c>
      <c r="AD102" s="11" t="str">
        <f t="array" ref="AD102">IFERROR(INDEX('Bank Schedule'!AE:AE, SMALL(IF('Bank Schedule'!$K$2:$K$825="Vacant", ROW('Bank Schedule'!$K$2:$K$825)), ROW(99:99))), "")</f>
        <v/>
      </c>
      <c r="AE102" s="11" t="str">
        <f t="array" ref="AE102">IFERROR(INDEX('Bank Schedule'!AF:AF, SMALL(IF('Bank Schedule'!$K$2:$K$825="Vacant", ROW('Bank Schedule'!$K$2:$K$825)), ROW(99:99))), "")</f>
        <v/>
      </c>
      <c r="AF102" s="11" t="str">
        <f t="array" ref="AF102">IFERROR(INDEX('Bank Schedule'!AG:AG, SMALL(IF('Bank Schedule'!$K$2:$K$825="Vacant", ROW('Bank Schedule'!$K$2:$K$825)), ROW(99:99))), "")</f>
        <v/>
      </c>
      <c r="AG102" s="4"/>
    </row>
    <row r="103" spans="1:33" ht="28.5" customHeight="1">
      <c r="A103" s="2" t="str">
        <f t="array" ref="A103">IFERROR(INDEX('Bank Schedule'!A:A, SMALL(IF('Bank Schedule'!$K$2:$K$825="Vacant", ROW('Bank Schedule'!$K$2:$K$825)), ROW(100:100))), "")</f>
        <v/>
      </c>
      <c r="B103" s="11" t="str">
        <f t="array" ref="B103">IFERROR(INDEX('Bank Schedule'!B:B, SMALL(IF('Bank Schedule'!$K$2:$K$825="Vacant", ROW('Bank Schedule'!$K$2:$K$825)), ROW(100:100))), "")</f>
        <v/>
      </c>
      <c r="C103" s="11" t="str">
        <f t="array" ref="C103">IFERROR(INDEX('Bank Schedule'!C:C, SMALL(IF('Bank Schedule'!$K$2:$K$825="Vacant", ROW('Bank Schedule'!$K$2:$K$825)), ROW(100:100))), "")</f>
        <v/>
      </c>
      <c r="D103" s="11" t="str">
        <f t="array" ref="D103">IFERROR(INDEX('Bank Schedule'!D:D, SMALL(IF('Bank Schedule'!$K$2:$K$825="Vacant", ROW('Bank Schedule'!$K$2:$K$825)), ROW(100:100))), "")</f>
        <v/>
      </c>
      <c r="E103" s="25" t="str">
        <f t="array" ref="E103">IFERROR(INDEX('Bank Schedule'!E:E, SMALL(IF('Bank Schedule'!$K$2:$K$825="Vacant", ROW('Bank Schedule'!$K$2:$K$825)), ROW(100:100))), "")</f>
        <v/>
      </c>
      <c r="F103" s="25" t="str">
        <f t="array" ref="F103">IFERROR(INDEX('Bank Schedule'!F:F, SMALL(IF('Bank Schedule'!$K$2:$K$825="Vacant", ROW('Bank Schedule'!$K$2:$K$825)), ROW(100:100))), "")</f>
        <v/>
      </c>
      <c r="G103" s="25" t="str">
        <f t="array" ref="G103">IFERROR(INDEX('Bank Schedule'!G:G, SMALL(IF('Bank Schedule'!$K$2:$K$825="Vacant", ROW('Bank Schedule'!$K$2:$K$825)), ROW(100:100))), "")</f>
        <v/>
      </c>
      <c r="H103" s="55" t="str">
        <f t="array" ref="H103">IFERROR(INDEX('Bank Schedule'!H:H, SMALL(IF('Bank Schedule'!$K$2:$K$825="Vacant", ROW('Bank Schedule'!$K$2:$K$825)), ROW(100:100))), "")</f>
        <v/>
      </c>
      <c r="I103" s="55" t="str">
        <f t="array" ref="I103">IFERROR(INDEX('Bank Schedule'!I:I, SMALL(IF('Bank Schedule'!$K$2:$K$825="Vacant", ROW('Bank Schedule'!$K$2:$K$825)), ROW(100:100))), "")</f>
        <v/>
      </c>
      <c r="J103" s="11" t="str">
        <f t="array" ref="J103">IFERROR(INDEX('Bank Schedule'!K:K, SMALL(IF('Bank Schedule'!$K$2:$K$825="Vacant", ROW('Bank Schedule'!$K$2:$K$825)), ROW(100:100))), "")</f>
        <v/>
      </c>
      <c r="K103" s="11" t="str">
        <f t="array" ref="K103">IFERROR(INDEX('Bank Schedule'!L:L, SMALL(IF('Bank Schedule'!$K$2:$K$825="Vacant", ROW('Bank Schedule'!$K$2:$K$825)), ROW(100:100))), "")</f>
        <v/>
      </c>
      <c r="L103" s="11" t="str">
        <f t="array" ref="L103">IFERROR(INDEX('Bank Schedule'!M:M, SMALL(IF('Bank Schedule'!$K$2:$K$825="Vacant", ROW('Bank Schedule'!$K$2:$K$825)), ROW(100:100))), "")</f>
        <v/>
      </c>
      <c r="M103" s="106" t="str">
        <f t="array" ref="M103">IFERROR(INDEX('Bank Schedule'!N:N, SMALL(IF('Bank Schedule'!$K$2:$K$825="Vacant", ROW('Bank Schedule'!$K$2:$K$825)), ROW(100:100))), "")</f>
        <v/>
      </c>
      <c r="N103" s="11" t="str">
        <f t="array" ref="N103">IFERROR(INDEX('Bank Schedule'!O:O, SMALL(IF('Bank Schedule'!$K$2:$K$825="Vacant", ROW('Bank Schedule'!$K$2:$K$825)), ROW(100:100))), "")</f>
        <v/>
      </c>
      <c r="O103" s="11" t="str">
        <f t="array" ref="O103">IFERROR(INDEX('Bank Schedule'!P:P, SMALL(IF('Bank Schedule'!$K$2:$K$825="Vacant", ROW('Bank Schedule'!$K$2:$K$825)), ROW(100:100))), "")</f>
        <v/>
      </c>
      <c r="P103" s="11" t="str">
        <f t="array" ref="P103">IFERROR(INDEX('Bank Schedule'!Q:Q, SMALL(IF('Bank Schedule'!$K$2:$K$825="Vacant", ROW('Bank Schedule'!$K$2:$K$825)), ROW(100:100))), "")</f>
        <v/>
      </c>
      <c r="Q103" s="11" t="str">
        <f t="array" ref="Q103">IFERROR(INDEX('Bank Schedule'!R:R, SMALL(IF('Bank Schedule'!$K$2:$K$825="Vacant", ROW('Bank Schedule'!$K$2:$K$825)), ROW(100:100))), "")</f>
        <v/>
      </c>
      <c r="R103" s="11" t="str">
        <f t="array" ref="R103">IFERROR(INDEX('Bank Schedule'!S:S, SMALL(IF('Bank Schedule'!$K$2:$K$825="Vacant", ROW('Bank Schedule'!$K$2:$K$825)), ROW(100:100))), "")</f>
        <v/>
      </c>
      <c r="S103" s="320" t="str">
        <f t="array" ref="S103">IFERROR(INDEX('Bank Schedule'!T:T, SMALL(IF('Bank Schedule'!$K$2:$K$825="Vacant", ROW('Bank Schedule'!$K$2:$K$825)), ROW(100:100))), "")</f>
        <v/>
      </c>
      <c r="T103" s="320" t="str">
        <f t="array" ref="T103">IFERROR(INDEX('Bank Schedule'!U:U, SMALL(IF('Bank Schedule'!$K$2:$K$825="Vacant", ROW('Bank Schedule'!$K$2:$K$825)), ROW(100:100))), "")</f>
        <v/>
      </c>
      <c r="U103" s="320" t="str">
        <f t="array" ref="U103">IFERROR(INDEX('Bank Schedule'!V:V, SMALL(IF('Bank Schedule'!$K$2:$K$825="Vacant", ROW('Bank Schedule'!$K$2:$K$825)), ROW(100:100))), "")</f>
        <v/>
      </c>
      <c r="V103" s="320" t="str">
        <f t="array" ref="V103">IFERROR(INDEX('Bank Schedule'!W:W, SMALL(IF('Bank Schedule'!$K$2:$K$825="Vacant", ROW('Bank Schedule'!$K$2:$K$825)), ROW(100:100))), "")</f>
        <v/>
      </c>
      <c r="W103" s="319" t="str">
        <f t="array" ref="W103">IFERROR(INDEX('Bank Schedule'!X:X, SMALL(IF('Bank Schedule'!$K$2:$K$825="Vacant", ROW('Bank Schedule'!$K$2:$K$825)), ROW(100:100))), "")</f>
        <v/>
      </c>
      <c r="X103" s="11" t="str">
        <f t="array" ref="X103">IFERROR(INDEX('Bank Schedule'!Y:Y, SMALL(IF('Bank Schedule'!$K$2:$K$825="Vacant", ROW('Bank Schedule'!$K$2:$K$825)), ROW(100:100))), "")</f>
        <v/>
      </c>
      <c r="Y103" s="11" t="str">
        <f t="array" ref="Y103">IFERROR(INDEX('Bank Schedule'!Z:Z, SMALL(IF('Bank Schedule'!$K$2:$K$825="Vacant", ROW('Bank Schedule'!$K$2:$K$825)), ROW(100:100))), "")</f>
        <v/>
      </c>
      <c r="Z103" s="11" t="str">
        <f t="array" ref="Z103">IFERROR(INDEX('Bank Schedule'!AA:AA, SMALL(IF('Bank Schedule'!$K$2:$K$825="Vacant", ROW('Bank Schedule'!$K$2:$K$825)), ROW(100:100))), "")</f>
        <v/>
      </c>
      <c r="AA103" s="11" t="str">
        <f t="array" ref="AA103">IFERROR(INDEX('Bank Schedule'!AB:AB, SMALL(IF('Bank Schedule'!$K$2:$K$825="Vacant", ROW('Bank Schedule'!$K$2:$K$825)), ROW(100:100))), "")</f>
        <v/>
      </c>
      <c r="AB103" s="25" t="str">
        <f t="array" ref="AB103">IFERROR(INDEX('Bank Schedule'!AC:AC, SMALL(IF('Bank Schedule'!$K$2:$K$825="Vacant", ROW('Bank Schedule'!$K$2:$K$825)), ROW(100:100))), "")</f>
        <v/>
      </c>
      <c r="AC103" s="299" t="str">
        <f t="array" ref="AC103">IFERROR(INDEX('Bank Schedule'!AD:AD, SMALL(IF('Bank Schedule'!$K$2:$K$825="Vacant", ROW('Bank Schedule'!$K$2:$K$825)), ROW(100:100))), "")</f>
        <v/>
      </c>
      <c r="AD103" s="11" t="str">
        <f t="array" ref="AD103">IFERROR(INDEX('Bank Schedule'!AE:AE, SMALL(IF('Bank Schedule'!$K$2:$K$825="Vacant", ROW('Bank Schedule'!$K$2:$K$825)), ROW(100:100))), "")</f>
        <v/>
      </c>
      <c r="AE103" s="11" t="str">
        <f t="array" ref="AE103">IFERROR(INDEX('Bank Schedule'!AF:AF, SMALL(IF('Bank Schedule'!$K$2:$K$825="Vacant", ROW('Bank Schedule'!$K$2:$K$825)), ROW(100:100))), "")</f>
        <v/>
      </c>
      <c r="AF103" s="11" t="str">
        <f t="array" ref="AF103">IFERROR(INDEX('Bank Schedule'!AG:AG, SMALL(IF('Bank Schedule'!$K$2:$K$825="Vacant", ROW('Bank Schedule'!$K$2:$K$825)), ROW(100:100))), "")</f>
        <v/>
      </c>
      <c r="AG103" s="4"/>
    </row>
    <row r="104" spans="1:33" ht="28.5" customHeight="1">
      <c r="A104" s="2" t="str">
        <f t="array" ref="A104">IFERROR(INDEX('Bank Schedule'!A:A, SMALL(IF('Bank Schedule'!$K$2:$K$825="Vacant", ROW('Bank Schedule'!$K$2:$K$825)), ROW(101:101))), "")</f>
        <v/>
      </c>
      <c r="B104" s="11" t="str">
        <f t="array" ref="B104">IFERROR(INDEX('Bank Schedule'!B:B, SMALL(IF('Bank Schedule'!$K$2:$K$825="Vacant", ROW('Bank Schedule'!$K$2:$K$825)), ROW(101:101))), "")</f>
        <v/>
      </c>
      <c r="C104" s="11" t="str">
        <f t="array" ref="C104">IFERROR(INDEX('Bank Schedule'!C:C, SMALL(IF('Bank Schedule'!$K$2:$K$825="Vacant", ROW('Bank Schedule'!$K$2:$K$825)), ROW(101:101))), "")</f>
        <v/>
      </c>
      <c r="D104" s="11" t="str">
        <f t="array" ref="D104">IFERROR(INDEX('Bank Schedule'!D:D, SMALL(IF('Bank Schedule'!$K$2:$K$825="Vacant", ROW('Bank Schedule'!$K$2:$K$825)), ROW(101:101))), "")</f>
        <v/>
      </c>
      <c r="E104" s="25" t="str">
        <f t="array" ref="E104">IFERROR(INDEX('Bank Schedule'!E:E, SMALL(IF('Bank Schedule'!$K$2:$K$825="Vacant", ROW('Bank Schedule'!$K$2:$K$825)), ROW(101:101))), "")</f>
        <v/>
      </c>
      <c r="F104" s="25" t="str">
        <f t="array" ref="F104">IFERROR(INDEX('Bank Schedule'!F:F, SMALL(IF('Bank Schedule'!$K$2:$K$825="Vacant", ROW('Bank Schedule'!$K$2:$K$825)), ROW(101:101))), "")</f>
        <v/>
      </c>
      <c r="G104" s="25" t="str">
        <f t="array" ref="G104">IFERROR(INDEX('Bank Schedule'!G:G, SMALL(IF('Bank Schedule'!$K$2:$K$825="Vacant", ROW('Bank Schedule'!$K$2:$K$825)), ROW(101:101))), "")</f>
        <v/>
      </c>
      <c r="H104" s="55" t="str">
        <f t="array" ref="H104">IFERROR(INDEX('Bank Schedule'!H:H, SMALL(IF('Bank Schedule'!$K$2:$K$825="Vacant", ROW('Bank Schedule'!$K$2:$K$825)), ROW(101:101))), "")</f>
        <v/>
      </c>
      <c r="I104" s="55" t="str">
        <f t="array" ref="I104">IFERROR(INDEX('Bank Schedule'!I:I, SMALL(IF('Bank Schedule'!$K$2:$K$825="Vacant", ROW('Bank Schedule'!$K$2:$K$825)), ROW(101:101))), "")</f>
        <v/>
      </c>
      <c r="J104" s="11" t="str">
        <f t="array" ref="J104">IFERROR(INDEX('Bank Schedule'!K:K, SMALL(IF('Bank Schedule'!$K$2:$K$825="Vacant", ROW('Bank Schedule'!$K$2:$K$825)), ROW(101:101))), "")</f>
        <v/>
      </c>
      <c r="K104" s="11" t="str">
        <f t="array" ref="K104">IFERROR(INDEX('Bank Schedule'!L:L, SMALL(IF('Bank Schedule'!$K$2:$K$825="Vacant", ROW('Bank Schedule'!$K$2:$K$825)), ROW(101:101))), "")</f>
        <v/>
      </c>
      <c r="L104" s="11" t="str">
        <f t="array" ref="L104">IFERROR(INDEX('Bank Schedule'!M:M, SMALL(IF('Bank Schedule'!$K$2:$K$825="Vacant", ROW('Bank Schedule'!$K$2:$K$825)), ROW(101:101))), "")</f>
        <v/>
      </c>
      <c r="M104" s="106" t="str">
        <f t="array" ref="M104">IFERROR(INDEX('Bank Schedule'!N:N, SMALL(IF('Bank Schedule'!$K$2:$K$825="Vacant", ROW('Bank Schedule'!$K$2:$K$825)), ROW(101:101))), "")</f>
        <v/>
      </c>
      <c r="N104" s="11" t="str">
        <f t="array" ref="N104">IFERROR(INDEX('Bank Schedule'!O:O, SMALL(IF('Bank Schedule'!$K$2:$K$825="Vacant", ROW('Bank Schedule'!$K$2:$K$825)), ROW(101:101))), "")</f>
        <v/>
      </c>
      <c r="O104" s="11" t="str">
        <f t="array" ref="O104">IFERROR(INDEX('Bank Schedule'!P:P, SMALL(IF('Bank Schedule'!$K$2:$K$825="Vacant", ROW('Bank Schedule'!$K$2:$K$825)), ROW(101:101))), "")</f>
        <v/>
      </c>
      <c r="P104" s="11" t="str">
        <f t="array" ref="P104">IFERROR(INDEX('Bank Schedule'!Q:Q, SMALL(IF('Bank Schedule'!$K$2:$K$825="Vacant", ROW('Bank Schedule'!$K$2:$K$825)), ROW(101:101))), "")</f>
        <v/>
      </c>
      <c r="Q104" s="11" t="str">
        <f t="array" ref="Q104">IFERROR(INDEX('Bank Schedule'!R:R, SMALL(IF('Bank Schedule'!$K$2:$K$825="Vacant", ROW('Bank Schedule'!$K$2:$K$825)), ROW(101:101))), "")</f>
        <v/>
      </c>
      <c r="R104" s="11" t="str">
        <f t="array" ref="R104">IFERROR(INDEX('Bank Schedule'!S:S, SMALL(IF('Bank Schedule'!$K$2:$K$825="Vacant", ROW('Bank Schedule'!$K$2:$K$825)), ROW(101:101))), "")</f>
        <v/>
      </c>
      <c r="S104" s="320" t="str">
        <f t="array" ref="S104">IFERROR(INDEX('Bank Schedule'!T:T, SMALL(IF('Bank Schedule'!$K$2:$K$825="Vacant", ROW('Bank Schedule'!$K$2:$K$825)), ROW(101:101))), "")</f>
        <v/>
      </c>
      <c r="T104" s="320" t="str">
        <f t="array" ref="T104">IFERROR(INDEX('Bank Schedule'!U:U, SMALL(IF('Bank Schedule'!$K$2:$K$825="Vacant", ROW('Bank Schedule'!$K$2:$K$825)), ROW(101:101))), "")</f>
        <v/>
      </c>
      <c r="U104" s="320" t="str">
        <f t="array" ref="U104">IFERROR(INDEX('Bank Schedule'!V:V, SMALL(IF('Bank Schedule'!$K$2:$K$825="Vacant", ROW('Bank Schedule'!$K$2:$K$825)), ROW(101:101))), "")</f>
        <v/>
      </c>
      <c r="V104" s="320" t="str">
        <f t="array" ref="V104">IFERROR(INDEX('Bank Schedule'!W:W, SMALL(IF('Bank Schedule'!$K$2:$K$825="Vacant", ROW('Bank Schedule'!$K$2:$K$825)), ROW(101:101))), "")</f>
        <v/>
      </c>
      <c r="W104" s="319" t="str">
        <f t="array" ref="W104">IFERROR(INDEX('Bank Schedule'!X:X, SMALL(IF('Bank Schedule'!$K$2:$K$825="Vacant", ROW('Bank Schedule'!$K$2:$K$825)), ROW(101:101))), "")</f>
        <v/>
      </c>
      <c r="X104" s="11" t="str">
        <f t="array" ref="X104">IFERROR(INDEX('Bank Schedule'!Y:Y, SMALL(IF('Bank Schedule'!$K$2:$K$825="Vacant", ROW('Bank Schedule'!$K$2:$K$825)), ROW(101:101))), "")</f>
        <v/>
      </c>
      <c r="Y104" s="11" t="str">
        <f t="array" ref="Y104">IFERROR(INDEX('Bank Schedule'!Z:Z, SMALL(IF('Bank Schedule'!$K$2:$K$825="Vacant", ROW('Bank Schedule'!$K$2:$K$825)), ROW(101:101))), "")</f>
        <v/>
      </c>
      <c r="Z104" s="11" t="str">
        <f t="array" ref="Z104">IFERROR(INDEX('Bank Schedule'!AA:AA, SMALL(IF('Bank Schedule'!$K$2:$K$825="Vacant", ROW('Bank Schedule'!$K$2:$K$825)), ROW(101:101))), "")</f>
        <v/>
      </c>
      <c r="AA104" s="11" t="str">
        <f t="array" ref="AA104">IFERROR(INDEX('Bank Schedule'!AB:AB, SMALL(IF('Bank Schedule'!$K$2:$K$825="Vacant", ROW('Bank Schedule'!$K$2:$K$825)), ROW(101:101))), "")</f>
        <v/>
      </c>
      <c r="AB104" s="25" t="str">
        <f t="array" ref="AB104">IFERROR(INDEX('Bank Schedule'!AC:AC, SMALL(IF('Bank Schedule'!$K$2:$K$825="Vacant", ROW('Bank Schedule'!$K$2:$K$825)), ROW(101:101))), "")</f>
        <v/>
      </c>
      <c r="AC104" s="299" t="str">
        <f t="array" ref="AC104">IFERROR(INDEX('Bank Schedule'!AD:AD, SMALL(IF('Bank Schedule'!$K$2:$K$825="Vacant", ROW('Bank Schedule'!$K$2:$K$825)), ROW(101:101))), "")</f>
        <v/>
      </c>
      <c r="AD104" s="11" t="str">
        <f t="array" ref="AD104">IFERROR(INDEX('Bank Schedule'!AE:AE, SMALL(IF('Bank Schedule'!$K$2:$K$825="Vacant", ROW('Bank Schedule'!$K$2:$K$825)), ROW(101:101))), "")</f>
        <v/>
      </c>
      <c r="AE104" s="11" t="str">
        <f t="array" ref="AE104">IFERROR(INDEX('Bank Schedule'!AF:AF, SMALL(IF('Bank Schedule'!$K$2:$K$825="Vacant", ROW('Bank Schedule'!$K$2:$K$825)), ROW(101:101))), "")</f>
        <v/>
      </c>
      <c r="AF104" s="11" t="str">
        <f t="array" ref="AF104">IFERROR(INDEX('Bank Schedule'!AG:AG, SMALL(IF('Bank Schedule'!$K$2:$K$825="Vacant", ROW('Bank Schedule'!$K$2:$K$825)), ROW(101:101))), "")</f>
        <v/>
      </c>
      <c r="AG104" s="4"/>
    </row>
    <row r="105" spans="1:33" ht="28.5" hidden="1" customHeight="1">
      <c r="A105" s="2" t="str">
        <f t="array" ref="A105">IFERROR(INDEX('Bank Schedule'!A:A, SMALL(IF('Bank Schedule'!$K$2:$K$825="Vacant", ROW('Bank Schedule'!$K$2:$K$825)), ROW(102:102))), "")</f>
        <v/>
      </c>
      <c r="B105" s="11" t="str">
        <f t="array" ref="B105">IFERROR(INDEX('Bank Schedule'!B:B, SMALL(IF('Bank Schedule'!$K$2:$K$825="Vacant", ROW('Bank Schedule'!$K$2:$K$825)), ROW(102:102))), "")</f>
        <v/>
      </c>
      <c r="C105" s="11" t="str">
        <f t="array" ref="C105">IFERROR(INDEX('Bank Schedule'!C:C, SMALL(IF('Bank Schedule'!$K$2:$K$825="Vacant", ROW('Bank Schedule'!$K$2:$K$825)), ROW(102:102))), "")</f>
        <v/>
      </c>
      <c r="D105" s="11" t="str">
        <f t="array" ref="D105">IFERROR(INDEX('Bank Schedule'!D:D, SMALL(IF('Bank Schedule'!$K$2:$K$825="Vacant", ROW('Bank Schedule'!$K$2:$K$825)), ROW(102:102))), "")</f>
        <v/>
      </c>
      <c r="E105" s="25" t="str">
        <f t="array" ref="E105">IFERROR(INDEX('Bank Schedule'!E:E, SMALL(IF('Bank Schedule'!$K$2:$K$825="Vacant", ROW('Bank Schedule'!$K$2:$K$825)), ROW(102:102))), "")</f>
        <v/>
      </c>
      <c r="F105" s="25" t="str">
        <f t="array" ref="F105">IFERROR(INDEX('Bank Schedule'!F:F, SMALL(IF('Bank Schedule'!$K$2:$K$825="Vacant", ROW('Bank Schedule'!$K$2:$K$825)), ROW(102:102))), "")</f>
        <v/>
      </c>
      <c r="G105" s="25" t="str">
        <f t="array" ref="G105">IFERROR(INDEX('Bank Schedule'!G:G, SMALL(IF('Bank Schedule'!$K$2:$K$825="Vacant", ROW('Bank Schedule'!$K$2:$K$825)), ROW(102:102))), "")</f>
        <v/>
      </c>
      <c r="H105" s="55" t="str">
        <f t="array" ref="H105">IFERROR(INDEX('Bank Schedule'!H:H, SMALL(IF('Bank Schedule'!$K$2:$K$825="Vacant", ROW('Bank Schedule'!$K$2:$K$825)), ROW(102:102))), "")</f>
        <v/>
      </c>
      <c r="I105" s="55" t="str">
        <f t="array" ref="I105">IFERROR(INDEX('Bank Schedule'!I:I, SMALL(IF('Bank Schedule'!$K$2:$K$825="Vacant", ROW('Bank Schedule'!$K$2:$K$825)), ROW(102:102))), "")</f>
        <v/>
      </c>
      <c r="J105" s="11" t="str">
        <f t="array" ref="J105">IFERROR(INDEX('Bank Schedule'!K:K, SMALL(IF('Bank Schedule'!$K$2:$K$825="Vacant", ROW('Bank Schedule'!$K$2:$K$825)), ROW(102:102))), "")</f>
        <v/>
      </c>
      <c r="K105" s="11" t="str">
        <f t="array" ref="K105">IFERROR(INDEX('Bank Schedule'!L:L, SMALL(IF('Bank Schedule'!$K$2:$K$825="Vacant", ROW('Bank Schedule'!$K$2:$K$825)), ROW(102:102))), "")</f>
        <v/>
      </c>
      <c r="L105" s="11" t="str">
        <f t="array" ref="L105">IFERROR(INDEX('Bank Schedule'!M:M, SMALL(IF('Bank Schedule'!$K$2:$K$825="Vacant", ROW('Bank Schedule'!$K$2:$K$825)), ROW(102:102))), "")</f>
        <v/>
      </c>
      <c r="M105" s="106" t="str">
        <f t="array" ref="M105">IFERROR(INDEX('Bank Schedule'!N:N, SMALL(IF('Bank Schedule'!$K$2:$K$825="Vacant", ROW('Bank Schedule'!$K$2:$K$825)), ROW(102:102))), "")</f>
        <v/>
      </c>
      <c r="N105" s="11" t="str">
        <f t="array" ref="N105">IFERROR(INDEX('Bank Schedule'!O:O, SMALL(IF('Bank Schedule'!$K$2:$K$825="Vacant", ROW('Bank Schedule'!$K$2:$K$825)), ROW(102:102))), "")</f>
        <v/>
      </c>
      <c r="O105" s="11" t="str">
        <f t="array" ref="O105">IFERROR(INDEX('Bank Schedule'!P:P, SMALL(IF('Bank Schedule'!$K$2:$K$825="Vacant", ROW('Bank Schedule'!$K$2:$K$825)), ROW(102:102))), "")</f>
        <v/>
      </c>
      <c r="P105" s="11" t="str">
        <f t="array" ref="P105">IFERROR(INDEX('Bank Schedule'!Q:Q, SMALL(IF('Bank Schedule'!$K$2:$K$825="Vacant", ROW('Bank Schedule'!$K$2:$K$825)), ROW(102:102))), "")</f>
        <v/>
      </c>
      <c r="Q105" s="11" t="str">
        <f t="array" ref="Q105">IFERROR(INDEX('Bank Schedule'!R:R, SMALL(IF('Bank Schedule'!$K$2:$K$825="Vacant", ROW('Bank Schedule'!$K$2:$K$825)), ROW(102:102))), "")</f>
        <v/>
      </c>
      <c r="R105" s="11" t="str">
        <f t="array" ref="R105">IFERROR(INDEX('Bank Schedule'!S:S, SMALL(IF('Bank Schedule'!$K$2:$K$825="Vacant", ROW('Bank Schedule'!$K$2:$K$825)), ROW(102:102))), "")</f>
        <v/>
      </c>
      <c r="S105" s="320" t="str">
        <f t="array" ref="S105">IFERROR(INDEX('Bank Schedule'!T:T, SMALL(IF('Bank Schedule'!$K$2:$K$825="Vacant", ROW('Bank Schedule'!$K$2:$K$825)), ROW(102:102))), "")</f>
        <v/>
      </c>
      <c r="T105" s="320" t="str">
        <f t="array" ref="T105">IFERROR(INDEX('Bank Schedule'!U:U, SMALL(IF('Bank Schedule'!$K$2:$K$825="Vacant", ROW('Bank Schedule'!$K$2:$K$825)), ROW(102:102))), "")</f>
        <v/>
      </c>
      <c r="U105" s="320" t="str">
        <f t="array" ref="U105">IFERROR(INDEX('Bank Schedule'!V:V, SMALL(IF('Bank Schedule'!$K$2:$K$825="Vacant", ROW('Bank Schedule'!$K$2:$K$825)), ROW(102:102))), "")</f>
        <v/>
      </c>
      <c r="V105" s="320" t="str">
        <f t="array" ref="V105">IFERROR(INDEX('Bank Schedule'!W:W, SMALL(IF('Bank Schedule'!$K$2:$K$825="Vacant", ROW('Bank Schedule'!$K$2:$K$825)), ROW(102:102))), "")</f>
        <v/>
      </c>
      <c r="W105" s="319" t="str">
        <f t="array" ref="W105">IFERROR(INDEX('Bank Schedule'!X:X, SMALL(IF('Bank Schedule'!$K$2:$K$825="Vacant", ROW('Bank Schedule'!$K$2:$K$825)), ROW(102:102))), "")</f>
        <v/>
      </c>
      <c r="X105" s="11" t="str">
        <f t="array" ref="X105">IFERROR(INDEX('Bank Schedule'!Y:Y, SMALL(IF('Bank Schedule'!$K$2:$K$825="Vacant", ROW('Bank Schedule'!$K$2:$K$825)), ROW(102:102))), "")</f>
        <v/>
      </c>
      <c r="Y105" s="11" t="str">
        <f t="array" ref="Y105">IFERROR(INDEX('Bank Schedule'!Z:Z, SMALL(IF('Bank Schedule'!$K$2:$K$825="Vacant", ROW('Bank Schedule'!$K$2:$K$825)), ROW(102:102))), "")</f>
        <v/>
      </c>
      <c r="Z105" s="11" t="str">
        <f t="array" ref="Z105">IFERROR(INDEX('Bank Schedule'!AA:AA, SMALL(IF('Bank Schedule'!$K$2:$K$825="Vacant", ROW('Bank Schedule'!$K$2:$K$825)), ROW(102:102))), "")</f>
        <v/>
      </c>
      <c r="AA105" s="11" t="str">
        <f t="array" ref="AA105">IFERROR(INDEX('Bank Schedule'!AB:AB, SMALL(IF('Bank Schedule'!$K$2:$K$825="Vacant", ROW('Bank Schedule'!$K$2:$K$825)), ROW(102:102))), "")</f>
        <v/>
      </c>
      <c r="AB105" s="25" t="str">
        <f t="array" ref="AB105">IFERROR(INDEX('Bank Schedule'!AC:AC, SMALL(IF('Bank Schedule'!$K$2:$K$825="Vacant", ROW('Bank Schedule'!$K$2:$K$825)), ROW(102:102))), "")</f>
        <v/>
      </c>
      <c r="AC105" s="299" t="str">
        <f t="array" ref="AC105">IFERROR(INDEX('Bank Schedule'!AD:AD, SMALL(IF('Bank Schedule'!$K$2:$K$825="Vacant", ROW('Bank Schedule'!$K$2:$K$825)), ROW(102:102))), "")</f>
        <v/>
      </c>
      <c r="AD105" s="11" t="str">
        <f t="array" ref="AD105">IFERROR(INDEX('Bank Schedule'!AE:AE, SMALL(IF('Bank Schedule'!$K$2:$K$825="Vacant", ROW('Bank Schedule'!$K$2:$K$825)), ROW(102:102))), "")</f>
        <v/>
      </c>
      <c r="AE105" s="11" t="str">
        <f t="array" ref="AE105">IFERROR(INDEX('Bank Schedule'!AF:AF, SMALL(IF('Bank Schedule'!$K$2:$K$825="Vacant", ROW('Bank Schedule'!$K$2:$K$825)), ROW(102:102))), "")</f>
        <v/>
      </c>
      <c r="AF105" s="11" t="str">
        <f t="array" ref="AF105">IFERROR(INDEX('Bank Schedule'!AG:AG, SMALL(IF('Bank Schedule'!$K$2:$K$825="Vacant", ROW('Bank Schedule'!$K$2:$K$825)), ROW(102:102))), "")</f>
        <v/>
      </c>
      <c r="AG105" s="4"/>
    </row>
    <row r="106" spans="1:33" ht="28.5" customHeight="1">
      <c r="A106" s="2" t="str">
        <f t="array" ref="A106">IFERROR(INDEX('Bank Schedule'!A:A, SMALL(IF('Bank Schedule'!$K$2:$K$825="Vacant", ROW('Bank Schedule'!$K$2:$K$825)), ROW(103:103))), "")</f>
        <v/>
      </c>
      <c r="B106" s="11" t="str">
        <f t="array" ref="B106">IFERROR(INDEX('Bank Schedule'!B:B, SMALL(IF('Bank Schedule'!$K$2:$K$825="Vacant", ROW('Bank Schedule'!$K$2:$K$825)), ROW(103:103))), "")</f>
        <v/>
      </c>
      <c r="C106" s="11" t="str">
        <f t="array" ref="C106">IFERROR(INDEX('Bank Schedule'!C:C, SMALL(IF('Bank Schedule'!$K$2:$K$825="Vacant", ROW('Bank Schedule'!$K$2:$K$825)), ROW(103:103))), "")</f>
        <v/>
      </c>
      <c r="D106" s="11" t="str">
        <f t="array" ref="D106">IFERROR(INDEX('Bank Schedule'!D:D, SMALL(IF('Bank Schedule'!$K$2:$K$825="Vacant", ROW('Bank Schedule'!$K$2:$K$825)), ROW(103:103))), "")</f>
        <v/>
      </c>
      <c r="E106" s="25" t="str">
        <f t="array" ref="E106">IFERROR(INDEX('Bank Schedule'!E:E, SMALL(IF('Bank Schedule'!$K$2:$K$825="Vacant", ROW('Bank Schedule'!$K$2:$K$825)), ROW(103:103))), "")</f>
        <v/>
      </c>
      <c r="F106" s="25" t="str">
        <f t="array" ref="F106">IFERROR(INDEX('Bank Schedule'!F:F, SMALL(IF('Bank Schedule'!$K$2:$K$825="Vacant", ROW('Bank Schedule'!$K$2:$K$825)), ROW(103:103))), "")</f>
        <v/>
      </c>
      <c r="G106" s="25" t="str">
        <f t="array" ref="G106">IFERROR(INDEX('Bank Schedule'!G:G, SMALL(IF('Bank Schedule'!$K$2:$K$825="Vacant", ROW('Bank Schedule'!$K$2:$K$825)), ROW(103:103))), "")</f>
        <v/>
      </c>
      <c r="H106" s="55" t="str">
        <f t="array" ref="H106">IFERROR(INDEX('Bank Schedule'!H:H, SMALL(IF('Bank Schedule'!$K$2:$K$825="Vacant", ROW('Bank Schedule'!$K$2:$K$825)), ROW(103:103))), "")</f>
        <v/>
      </c>
      <c r="I106" s="55" t="str">
        <f t="array" ref="I106">IFERROR(INDEX('Bank Schedule'!I:I, SMALL(IF('Bank Schedule'!$K$2:$K$825="Vacant", ROW('Bank Schedule'!$K$2:$K$825)), ROW(103:103))), "")</f>
        <v/>
      </c>
      <c r="J106" s="11" t="str">
        <f t="array" ref="J106">IFERROR(INDEX('Bank Schedule'!K:K, SMALL(IF('Bank Schedule'!$K$2:$K$825="Vacant", ROW('Bank Schedule'!$K$2:$K$825)), ROW(103:103))), "")</f>
        <v/>
      </c>
      <c r="K106" s="11" t="str">
        <f t="array" ref="K106">IFERROR(INDEX('Bank Schedule'!L:L, SMALL(IF('Bank Schedule'!$K$2:$K$825="Vacant", ROW('Bank Schedule'!$K$2:$K$825)), ROW(103:103))), "")</f>
        <v/>
      </c>
      <c r="L106" s="11" t="str">
        <f t="array" ref="L106">IFERROR(INDEX('Bank Schedule'!M:M, SMALL(IF('Bank Schedule'!$K$2:$K$825="Vacant", ROW('Bank Schedule'!$K$2:$K$825)), ROW(103:103))), "")</f>
        <v/>
      </c>
      <c r="M106" s="106" t="str">
        <f t="array" ref="M106">IFERROR(INDEX('Bank Schedule'!N:N, SMALL(IF('Bank Schedule'!$K$2:$K$825="Vacant", ROW('Bank Schedule'!$K$2:$K$825)), ROW(103:103))), "")</f>
        <v/>
      </c>
      <c r="N106" s="11" t="str">
        <f t="array" ref="N106">IFERROR(INDEX('Bank Schedule'!O:O, SMALL(IF('Bank Schedule'!$K$2:$K$825="Vacant", ROW('Bank Schedule'!$K$2:$K$825)), ROW(103:103))), "")</f>
        <v/>
      </c>
      <c r="O106" s="11" t="str">
        <f t="array" ref="O106">IFERROR(INDEX('Bank Schedule'!P:P, SMALL(IF('Bank Schedule'!$K$2:$K$825="Vacant", ROW('Bank Schedule'!$K$2:$K$825)), ROW(103:103))), "")</f>
        <v/>
      </c>
      <c r="P106" s="11" t="str">
        <f t="array" ref="P106">IFERROR(INDEX('Bank Schedule'!Q:Q, SMALL(IF('Bank Schedule'!$K$2:$K$825="Vacant", ROW('Bank Schedule'!$K$2:$K$825)), ROW(103:103))), "")</f>
        <v/>
      </c>
      <c r="Q106" s="11" t="str">
        <f t="array" ref="Q106">IFERROR(INDEX('Bank Schedule'!R:R, SMALL(IF('Bank Schedule'!$K$2:$K$825="Vacant", ROW('Bank Schedule'!$K$2:$K$825)), ROW(103:103))), "")</f>
        <v/>
      </c>
      <c r="R106" s="11" t="str">
        <f t="array" ref="R106">IFERROR(INDEX('Bank Schedule'!S:S, SMALL(IF('Bank Schedule'!$K$2:$K$825="Vacant", ROW('Bank Schedule'!$K$2:$K$825)), ROW(103:103))), "")</f>
        <v/>
      </c>
      <c r="S106" s="320" t="str">
        <f t="array" ref="S106">IFERROR(INDEX('Bank Schedule'!T:T, SMALL(IF('Bank Schedule'!$K$2:$K$825="Vacant", ROW('Bank Schedule'!$K$2:$K$825)), ROW(103:103))), "")</f>
        <v/>
      </c>
      <c r="T106" s="320" t="str">
        <f t="array" ref="T106">IFERROR(INDEX('Bank Schedule'!U:U, SMALL(IF('Bank Schedule'!$K$2:$K$825="Vacant", ROW('Bank Schedule'!$K$2:$K$825)), ROW(103:103))), "")</f>
        <v/>
      </c>
      <c r="U106" s="320" t="str">
        <f t="array" ref="U106">IFERROR(INDEX('Bank Schedule'!V:V, SMALL(IF('Bank Schedule'!$K$2:$K$825="Vacant", ROW('Bank Schedule'!$K$2:$K$825)), ROW(103:103))), "")</f>
        <v/>
      </c>
      <c r="V106" s="320" t="str">
        <f t="array" ref="V106">IFERROR(INDEX('Bank Schedule'!W:W, SMALL(IF('Bank Schedule'!$K$2:$K$825="Vacant", ROW('Bank Schedule'!$K$2:$K$825)), ROW(103:103))), "")</f>
        <v/>
      </c>
      <c r="W106" s="319" t="str">
        <f t="array" ref="W106">IFERROR(INDEX('Bank Schedule'!X:X, SMALL(IF('Bank Schedule'!$K$2:$K$825="Vacant", ROW('Bank Schedule'!$K$2:$K$825)), ROW(103:103))), "")</f>
        <v/>
      </c>
      <c r="X106" s="11" t="str">
        <f t="array" ref="X106">IFERROR(INDEX('Bank Schedule'!Y:Y, SMALL(IF('Bank Schedule'!$K$2:$K$825="Vacant", ROW('Bank Schedule'!$K$2:$K$825)), ROW(103:103))), "")</f>
        <v/>
      </c>
      <c r="Y106" s="11" t="str">
        <f t="array" ref="Y106">IFERROR(INDEX('Bank Schedule'!Z:Z, SMALL(IF('Bank Schedule'!$K$2:$K$825="Vacant", ROW('Bank Schedule'!$K$2:$K$825)), ROW(103:103))), "")</f>
        <v/>
      </c>
      <c r="Z106" s="11" t="str">
        <f t="array" ref="Z106">IFERROR(INDEX('Bank Schedule'!AA:AA, SMALL(IF('Bank Schedule'!$K$2:$K$825="Vacant", ROW('Bank Schedule'!$K$2:$K$825)), ROW(103:103))), "")</f>
        <v/>
      </c>
      <c r="AA106" s="11" t="str">
        <f t="array" ref="AA106">IFERROR(INDEX('Bank Schedule'!AB:AB, SMALL(IF('Bank Schedule'!$K$2:$K$825="Vacant", ROW('Bank Schedule'!$K$2:$K$825)), ROW(103:103))), "")</f>
        <v/>
      </c>
      <c r="AB106" s="25" t="str">
        <f t="array" ref="AB106">IFERROR(INDEX('Bank Schedule'!AC:AC, SMALL(IF('Bank Schedule'!$K$2:$K$825="Vacant", ROW('Bank Schedule'!$K$2:$K$825)), ROW(103:103))), "")</f>
        <v/>
      </c>
      <c r="AC106" s="299" t="str">
        <f t="array" ref="AC106">IFERROR(INDEX('Bank Schedule'!AD:AD, SMALL(IF('Bank Schedule'!$K$2:$K$825="Vacant", ROW('Bank Schedule'!$K$2:$K$825)), ROW(103:103))), "")</f>
        <v/>
      </c>
      <c r="AD106" s="11" t="str">
        <f t="array" ref="AD106">IFERROR(INDEX('Bank Schedule'!AE:AE, SMALL(IF('Bank Schedule'!$K$2:$K$825="Vacant", ROW('Bank Schedule'!$K$2:$K$825)), ROW(103:103))), "")</f>
        <v/>
      </c>
      <c r="AE106" s="11" t="str">
        <f t="array" ref="AE106">IFERROR(INDEX('Bank Schedule'!AF:AF, SMALL(IF('Bank Schedule'!$K$2:$K$825="Vacant", ROW('Bank Schedule'!$K$2:$K$825)), ROW(103:103))), "")</f>
        <v/>
      </c>
      <c r="AF106" s="11" t="str">
        <f t="array" ref="AF106">IFERROR(INDEX('Bank Schedule'!AG:AG, SMALL(IF('Bank Schedule'!$K$2:$K$825="Vacant", ROW('Bank Schedule'!$K$2:$K$825)), ROW(103:103))), "")</f>
        <v/>
      </c>
      <c r="AG106" s="4"/>
    </row>
    <row r="107" spans="1:33" ht="28.5" hidden="1" customHeight="1">
      <c r="A107" s="2" t="str">
        <f t="array" ref="A107">IFERROR(INDEX('Bank Schedule'!A:A, SMALL(IF('Bank Schedule'!$K$2:$K$825="Vacant", ROW('Bank Schedule'!$K$2:$K$825)), ROW(104:104))), "")</f>
        <v/>
      </c>
      <c r="B107" s="11" t="str">
        <f t="array" ref="B107">IFERROR(INDEX('Bank Schedule'!B:B, SMALL(IF('Bank Schedule'!$K$2:$K$825="Vacant", ROW('Bank Schedule'!$K$2:$K$825)), ROW(104:104))), "")</f>
        <v/>
      </c>
      <c r="C107" s="11" t="str">
        <f t="array" ref="C107">IFERROR(INDEX('Bank Schedule'!C:C, SMALL(IF('Bank Schedule'!$K$2:$K$825="Vacant", ROW('Bank Schedule'!$K$2:$K$825)), ROW(104:104))), "")</f>
        <v/>
      </c>
      <c r="D107" s="11" t="str">
        <f t="array" ref="D107">IFERROR(INDEX('Bank Schedule'!D:D, SMALL(IF('Bank Schedule'!$K$2:$K$825="Vacant", ROW('Bank Schedule'!$K$2:$K$825)), ROW(104:104))), "")</f>
        <v/>
      </c>
      <c r="E107" s="25" t="str">
        <f t="array" ref="E107">IFERROR(INDEX('Bank Schedule'!E:E, SMALL(IF('Bank Schedule'!$K$2:$K$825="Vacant", ROW('Bank Schedule'!$K$2:$K$825)), ROW(104:104))), "")</f>
        <v/>
      </c>
      <c r="F107" s="25" t="str">
        <f t="array" ref="F107">IFERROR(INDEX('Bank Schedule'!F:F, SMALL(IF('Bank Schedule'!$K$2:$K$825="Vacant", ROW('Bank Schedule'!$K$2:$K$825)), ROW(104:104))), "")</f>
        <v/>
      </c>
      <c r="G107" s="25" t="str">
        <f t="array" ref="G107">IFERROR(INDEX('Bank Schedule'!G:G, SMALL(IF('Bank Schedule'!$K$2:$K$825="Vacant", ROW('Bank Schedule'!$K$2:$K$825)), ROW(104:104))), "")</f>
        <v/>
      </c>
      <c r="H107" s="55" t="str">
        <f t="array" ref="H107">IFERROR(INDEX('Bank Schedule'!H:H, SMALL(IF('Bank Schedule'!$K$2:$K$825="Vacant", ROW('Bank Schedule'!$K$2:$K$825)), ROW(104:104))), "")</f>
        <v/>
      </c>
      <c r="I107" s="55" t="str">
        <f t="array" ref="I107">IFERROR(INDEX('Bank Schedule'!I:I, SMALL(IF('Bank Schedule'!$K$2:$K$825="Vacant", ROW('Bank Schedule'!$K$2:$K$825)), ROW(104:104))), "")</f>
        <v/>
      </c>
      <c r="J107" s="11" t="str">
        <f t="array" ref="J107">IFERROR(INDEX('Bank Schedule'!K:K, SMALL(IF('Bank Schedule'!$K$2:$K$825="Vacant", ROW('Bank Schedule'!$K$2:$K$825)), ROW(104:104))), "")</f>
        <v/>
      </c>
      <c r="K107" s="11" t="str">
        <f t="array" ref="K107">IFERROR(INDEX('Bank Schedule'!L:L, SMALL(IF('Bank Schedule'!$K$2:$K$825="Vacant", ROW('Bank Schedule'!$K$2:$K$825)), ROW(104:104))), "")</f>
        <v/>
      </c>
      <c r="L107" s="11" t="str">
        <f t="array" ref="L107">IFERROR(INDEX('Bank Schedule'!M:M, SMALL(IF('Bank Schedule'!$K$2:$K$825="Vacant", ROW('Bank Schedule'!$K$2:$K$825)), ROW(104:104))), "")</f>
        <v/>
      </c>
      <c r="M107" s="106" t="str">
        <f t="array" ref="M107">IFERROR(INDEX('Bank Schedule'!N:N, SMALL(IF('Bank Schedule'!$K$2:$K$825="Vacant", ROW('Bank Schedule'!$K$2:$K$825)), ROW(104:104))), "")</f>
        <v/>
      </c>
      <c r="N107" s="11" t="str">
        <f t="array" ref="N107">IFERROR(INDEX('Bank Schedule'!O:O, SMALL(IF('Bank Schedule'!$K$2:$K$825="Vacant", ROW('Bank Schedule'!$K$2:$K$825)), ROW(104:104))), "")</f>
        <v/>
      </c>
      <c r="O107" s="11" t="str">
        <f t="array" ref="O107">IFERROR(INDEX('Bank Schedule'!P:P, SMALL(IF('Bank Schedule'!$K$2:$K$825="Vacant", ROW('Bank Schedule'!$K$2:$K$825)), ROW(104:104))), "")</f>
        <v/>
      </c>
      <c r="P107" s="11" t="str">
        <f t="array" ref="P107">IFERROR(INDEX('Bank Schedule'!Q:Q, SMALL(IF('Bank Schedule'!$K$2:$K$825="Vacant", ROW('Bank Schedule'!$K$2:$K$825)), ROW(104:104))), "")</f>
        <v/>
      </c>
      <c r="Q107" s="11" t="str">
        <f t="array" ref="Q107">IFERROR(INDEX('Bank Schedule'!R:R, SMALL(IF('Bank Schedule'!$K$2:$K$825="Vacant", ROW('Bank Schedule'!$K$2:$K$825)), ROW(104:104))), "")</f>
        <v/>
      </c>
      <c r="R107" s="11" t="str">
        <f t="array" ref="R107">IFERROR(INDEX('Bank Schedule'!S:S, SMALL(IF('Bank Schedule'!$K$2:$K$825="Vacant", ROW('Bank Schedule'!$K$2:$K$825)), ROW(104:104))), "")</f>
        <v/>
      </c>
      <c r="S107" s="320" t="str">
        <f t="array" ref="S107">IFERROR(INDEX('Bank Schedule'!T:T, SMALL(IF('Bank Schedule'!$K$2:$K$825="Vacant", ROW('Bank Schedule'!$K$2:$K$825)), ROW(104:104))), "")</f>
        <v/>
      </c>
      <c r="T107" s="320" t="str">
        <f t="array" ref="T107">IFERROR(INDEX('Bank Schedule'!U:U, SMALL(IF('Bank Schedule'!$K$2:$K$825="Vacant", ROW('Bank Schedule'!$K$2:$K$825)), ROW(104:104))), "")</f>
        <v/>
      </c>
      <c r="U107" s="320" t="str">
        <f t="array" ref="U107">IFERROR(INDEX('Bank Schedule'!V:V, SMALL(IF('Bank Schedule'!$K$2:$K$825="Vacant", ROW('Bank Schedule'!$K$2:$K$825)), ROW(104:104))), "")</f>
        <v/>
      </c>
      <c r="V107" s="320" t="str">
        <f t="array" ref="V107">IFERROR(INDEX('Bank Schedule'!W:W, SMALL(IF('Bank Schedule'!$K$2:$K$825="Vacant", ROW('Bank Schedule'!$K$2:$K$825)), ROW(104:104))), "")</f>
        <v/>
      </c>
      <c r="W107" s="319" t="str">
        <f t="array" ref="W107">IFERROR(INDEX('Bank Schedule'!X:X, SMALL(IF('Bank Schedule'!$K$2:$K$825="Vacant", ROW('Bank Schedule'!$K$2:$K$825)), ROW(104:104))), "")</f>
        <v/>
      </c>
      <c r="X107" s="11" t="str">
        <f t="array" ref="X107">IFERROR(INDEX('Bank Schedule'!Y:Y, SMALL(IF('Bank Schedule'!$K$2:$K$825="Vacant", ROW('Bank Schedule'!$K$2:$K$825)), ROW(104:104))), "")</f>
        <v/>
      </c>
      <c r="Y107" s="11" t="str">
        <f t="array" ref="Y107">IFERROR(INDEX('Bank Schedule'!Z:Z, SMALL(IF('Bank Schedule'!$K$2:$K$825="Vacant", ROW('Bank Schedule'!$K$2:$K$825)), ROW(104:104))), "")</f>
        <v/>
      </c>
      <c r="Z107" s="11" t="str">
        <f t="array" ref="Z107">IFERROR(INDEX('Bank Schedule'!AA:AA, SMALL(IF('Bank Schedule'!$K$2:$K$825="Vacant", ROW('Bank Schedule'!$K$2:$K$825)), ROW(104:104))), "")</f>
        <v/>
      </c>
      <c r="AA107" s="11" t="str">
        <f t="array" ref="AA107">IFERROR(INDEX('Bank Schedule'!AB:AB, SMALL(IF('Bank Schedule'!$K$2:$K$825="Vacant", ROW('Bank Schedule'!$K$2:$K$825)), ROW(104:104))), "")</f>
        <v/>
      </c>
      <c r="AB107" s="25" t="str">
        <f t="array" ref="AB107">IFERROR(INDEX('Bank Schedule'!AC:AC, SMALL(IF('Bank Schedule'!$K$2:$K$825="Vacant", ROW('Bank Schedule'!$K$2:$K$825)), ROW(104:104))), "")</f>
        <v/>
      </c>
      <c r="AC107" s="299" t="str">
        <f t="array" ref="AC107">IFERROR(INDEX('Bank Schedule'!AD:AD, SMALL(IF('Bank Schedule'!$K$2:$K$825="Vacant", ROW('Bank Schedule'!$K$2:$K$825)), ROW(104:104))), "")</f>
        <v/>
      </c>
      <c r="AD107" s="11" t="str">
        <f t="array" ref="AD107">IFERROR(INDEX('Bank Schedule'!AE:AE, SMALL(IF('Bank Schedule'!$K$2:$K$825="Vacant", ROW('Bank Schedule'!$K$2:$K$825)), ROW(104:104))), "")</f>
        <v/>
      </c>
      <c r="AE107" s="11" t="str">
        <f t="array" ref="AE107">IFERROR(INDEX('Bank Schedule'!AF:AF, SMALL(IF('Bank Schedule'!$K$2:$K$825="Vacant", ROW('Bank Schedule'!$K$2:$K$825)), ROW(104:104))), "")</f>
        <v/>
      </c>
      <c r="AF107" s="11" t="str">
        <f t="array" ref="AF107">IFERROR(INDEX('Bank Schedule'!AG:AG, SMALL(IF('Bank Schedule'!$K$2:$K$825="Vacant", ROW('Bank Schedule'!$K$2:$K$825)), ROW(104:104))), "")</f>
        <v/>
      </c>
      <c r="AG107" s="4"/>
    </row>
    <row r="108" spans="1:33" ht="28.5" hidden="1" customHeight="1">
      <c r="A108" s="2" t="str">
        <f t="array" ref="A108">IFERROR(INDEX('Bank Schedule'!A:A, SMALL(IF('Bank Schedule'!$K$2:$K$825="Vacant", ROW('Bank Schedule'!$K$2:$K$825)), ROW(105:105))), "")</f>
        <v/>
      </c>
      <c r="B108" s="11" t="str">
        <f t="array" ref="B108">IFERROR(INDEX('Bank Schedule'!B:B, SMALL(IF('Bank Schedule'!$K$2:$K$825="Vacant", ROW('Bank Schedule'!$K$2:$K$825)), ROW(105:105))), "")</f>
        <v/>
      </c>
      <c r="C108" s="11" t="str">
        <f t="array" ref="C108">IFERROR(INDEX('Bank Schedule'!C:C, SMALL(IF('Bank Schedule'!$K$2:$K$825="Vacant", ROW('Bank Schedule'!$K$2:$K$825)), ROW(105:105))), "")</f>
        <v/>
      </c>
      <c r="D108" s="11" t="str">
        <f t="array" ref="D108">IFERROR(INDEX('Bank Schedule'!D:D, SMALL(IF('Bank Schedule'!$K$2:$K$825="Vacant", ROW('Bank Schedule'!$K$2:$K$825)), ROW(105:105))), "")</f>
        <v/>
      </c>
      <c r="E108" s="25" t="str">
        <f t="array" ref="E108">IFERROR(INDEX('Bank Schedule'!E:E, SMALL(IF('Bank Schedule'!$K$2:$K$825="Vacant", ROW('Bank Schedule'!$K$2:$K$825)), ROW(105:105))), "")</f>
        <v/>
      </c>
      <c r="F108" s="25" t="str">
        <f t="array" ref="F108">IFERROR(INDEX('Bank Schedule'!F:F, SMALL(IF('Bank Schedule'!$K$2:$K$825="Vacant", ROW('Bank Schedule'!$K$2:$K$825)), ROW(105:105))), "")</f>
        <v/>
      </c>
      <c r="G108" s="25" t="str">
        <f t="array" ref="G108">IFERROR(INDEX('Bank Schedule'!G:G, SMALL(IF('Bank Schedule'!$K$2:$K$825="Vacant", ROW('Bank Schedule'!$K$2:$K$825)), ROW(105:105))), "")</f>
        <v/>
      </c>
      <c r="H108" s="55" t="str">
        <f t="array" ref="H108">IFERROR(INDEX('Bank Schedule'!H:H, SMALL(IF('Bank Schedule'!$K$2:$K$825="Vacant", ROW('Bank Schedule'!$K$2:$K$825)), ROW(105:105))), "")</f>
        <v/>
      </c>
      <c r="I108" s="55" t="str">
        <f t="array" ref="I108">IFERROR(INDEX('Bank Schedule'!I:I, SMALL(IF('Bank Schedule'!$K$2:$K$825="Vacant", ROW('Bank Schedule'!$K$2:$K$825)), ROW(105:105))), "")</f>
        <v/>
      </c>
      <c r="J108" s="11" t="str">
        <f t="array" ref="J108">IFERROR(INDEX('Bank Schedule'!K:K, SMALL(IF('Bank Schedule'!$K$2:$K$825="Vacant", ROW('Bank Schedule'!$K$2:$K$825)), ROW(105:105))), "")</f>
        <v/>
      </c>
      <c r="K108" s="11" t="str">
        <f t="array" ref="K108">IFERROR(INDEX('Bank Schedule'!L:L, SMALL(IF('Bank Schedule'!$K$2:$K$825="Vacant", ROW('Bank Schedule'!$K$2:$K$825)), ROW(105:105))), "")</f>
        <v/>
      </c>
      <c r="L108" s="11" t="str">
        <f t="array" ref="L108">IFERROR(INDEX('Bank Schedule'!M:M, SMALL(IF('Bank Schedule'!$K$2:$K$825="Vacant", ROW('Bank Schedule'!$K$2:$K$825)), ROW(105:105))), "")</f>
        <v/>
      </c>
      <c r="M108" s="106" t="str">
        <f t="array" ref="M108">IFERROR(INDEX('Bank Schedule'!N:N, SMALL(IF('Bank Schedule'!$K$2:$K$825="Vacant", ROW('Bank Schedule'!$K$2:$K$825)), ROW(105:105))), "")</f>
        <v/>
      </c>
      <c r="N108" s="11" t="str">
        <f t="array" ref="N108">IFERROR(INDEX('Bank Schedule'!O:O, SMALL(IF('Bank Schedule'!$K$2:$K$825="Vacant", ROW('Bank Schedule'!$K$2:$K$825)), ROW(105:105))), "")</f>
        <v/>
      </c>
      <c r="O108" s="11" t="str">
        <f t="array" ref="O108">IFERROR(INDEX('Bank Schedule'!P:P, SMALL(IF('Bank Schedule'!$K$2:$K$825="Vacant", ROW('Bank Schedule'!$K$2:$K$825)), ROW(105:105))), "")</f>
        <v/>
      </c>
      <c r="P108" s="11" t="str">
        <f t="array" ref="P108">IFERROR(INDEX('Bank Schedule'!Q:Q, SMALL(IF('Bank Schedule'!$K$2:$K$825="Vacant", ROW('Bank Schedule'!$K$2:$K$825)), ROW(105:105))), "")</f>
        <v/>
      </c>
      <c r="Q108" s="11" t="str">
        <f t="array" ref="Q108">IFERROR(INDEX('Bank Schedule'!R:R, SMALL(IF('Bank Schedule'!$K$2:$K$825="Vacant", ROW('Bank Schedule'!$K$2:$K$825)), ROW(105:105))), "")</f>
        <v/>
      </c>
      <c r="R108" s="11" t="str">
        <f t="array" ref="R108">IFERROR(INDEX('Bank Schedule'!S:S, SMALL(IF('Bank Schedule'!$K$2:$K$825="Vacant", ROW('Bank Schedule'!$K$2:$K$825)), ROW(105:105))), "")</f>
        <v/>
      </c>
      <c r="S108" s="320" t="str">
        <f t="array" ref="S108">IFERROR(INDEX('Bank Schedule'!T:T, SMALL(IF('Bank Schedule'!$K$2:$K$825="Vacant", ROW('Bank Schedule'!$K$2:$K$825)), ROW(105:105))), "")</f>
        <v/>
      </c>
      <c r="T108" s="320" t="str">
        <f t="array" ref="T108">IFERROR(INDEX('Bank Schedule'!U:U, SMALL(IF('Bank Schedule'!$K$2:$K$825="Vacant", ROW('Bank Schedule'!$K$2:$K$825)), ROW(105:105))), "")</f>
        <v/>
      </c>
      <c r="U108" s="320" t="str">
        <f t="array" ref="U108">IFERROR(INDEX('Bank Schedule'!V:V, SMALL(IF('Bank Schedule'!$K$2:$K$825="Vacant", ROW('Bank Schedule'!$K$2:$K$825)), ROW(105:105))), "")</f>
        <v/>
      </c>
      <c r="V108" s="320" t="str">
        <f t="array" ref="V108">IFERROR(INDEX('Bank Schedule'!W:W, SMALL(IF('Bank Schedule'!$K$2:$K$825="Vacant", ROW('Bank Schedule'!$K$2:$K$825)), ROW(105:105))), "")</f>
        <v/>
      </c>
      <c r="W108" s="319" t="str">
        <f t="array" ref="W108">IFERROR(INDEX('Bank Schedule'!X:X, SMALL(IF('Bank Schedule'!$K$2:$K$825="Vacant", ROW('Bank Schedule'!$K$2:$K$825)), ROW(105:105))), "")</f>
        <v/>
      </c>
      <c r="X108" s="11" t="str">
        <f t="array" ref="X108">IFERROR(INDEX('Bank Schedule'!Y:Y, SMALL(IF('Bank Schedule'!$K$2:$K$825="Vacant", ROW('Bank Schedule'!$K$2:$K$825)), ROW(105:105))), "")</f>
        <v/>
      </c>
      <c r="Y108" s="11" t="str">
        <f t="array" ref="Y108">IFERROR(INDEX('Bank Schedule'!Z:Z, SMALL(IF('Bank Schedule'!$K$2:$K$825="Vacant", ROW('Bank Schedule'!$K$2:$K$825)), ROW(105:105))), "")</f>
        <v/>
      </c>
      <c r="Z108" s="11" t="str">
        <f t="array" ref="Z108">IFERROR(INDEX('Bank Schedule'!AA:AA, SMALL(IF('Bank Schedule'!$K$2:$K$825="Vacant", ROW('Bank Schedule'!$K$2:$K$825)), ROW(105:105))), "")</f>
        <v/>
      </c>
      <c r="AA108" s="11" t="str">
        <f t="array" ref="AA108">IFERROR(INDEX('Bank Schedule'!AB:AB, SMALL(IF('Bank Schedule'!$K$2:$K$825="Vacant", ROW('Bank Schedule'!$K$2:$K$825)), ROW(105:105))), "")</f>
        <v/>
      </c>
      <c r="AB108" s="25" t="str">
        <f t="array" ref="AB108">IFERROR(INDEX('Bank Schedule'!AC:AC, SMALL(IF('Bank Schedule'!$K$2:$K$825="Vacant", ROW('Bank Schedule'!$K$2:$K$825)), ROW(105:105))), "")</f>
        <v/>
      </c>
      <c r="AC108" s="299" t="str">
        <f t="array" ref="AC108">IFERROR(INDEX('Bank Schedule'!AD:AD, SMALL(IF('Bank Schedule'!$K$2:$K$825="Vacant", ROW('Bank Schedule'!$K$2:$K$825)), ROW(105:105))), "")</f>
        <v/>
      </c>
      <c r="AD108" s="11" t="str">
        <f t="array" ref="AD108">IFERROR(INDEX('Bank Schedule'!AE:AE, SMALL(IF('Bank Schedule'!$K$2:$K$825="Vacant", ROW('Bank Schedule'!$K$2:$K$825)), ROW(105:105))), "")</f>
        <v/>
      </c>
      <c r="AE108" s="11" t="str">
        <f t="array" ref="AE108">IFERROR(INDEX('Bank Schedule'!AF:AF, SMALL(IF('Bank Schedule'!$K$2:$K$825="Vacant", ROW('Bank Schedule'!$K$2:$K$825)), ROW(105:105))), "")</f>
        <v/>
      </c>
      <c r="AF108" s="11" t="str">
        <f t="array" ref="AF108">IFERROR(INDEX('Bank Schedule'!AG:AG, SMALL(IF('Bank Schedule'!$K$2:$K$825="Vacant", ROW('Bank Schedule'!$K$2:$K$825)), ROW(105:105))), "")</f>
        <v/>
      </c>
      <c r="AG108" s="4"/>
    </row>
    <row r="109" spans="1:33" ht="28.5" hidden="1" customHeight="1">
      <c r="A109" s="2" t="str">
        <f t="array" ref="A109">IFERROR(INDEX('Bank Schedule'!A:A, SMALL(IF('Bank Schedule'!$K$2:$K$825="Vacant", ROW('Bank Schedule'!$K$2:$K$825)), ROW(106:106))), "")</f>
        <v/>
      </c>
      <c r="B109" s="11" t="str">
        <f t="array" ref="B109">IFERROR(INDEX('Bank Schedule'!B:B, SMALL(IF('Bank Schedule'!$K$2:$K$825="Vacant", ROW('Bank Schedule'!$K$2:$K$825)), ROW(106:106))), "")</f>
        <v/>
      </c>
      <c r="C109" s="11" t="str">
        <f t="array" ref="C109">IFERROR(INDEX('Bank Schedule'!C:C, SMALL(IF('Bank Schedule'!$K$2:$K$825="Vacant", ROW('Bank Schedule'!$K$2:$K$825)), ROW(106:106))), "")</f>
        <v/>
      </c>
      <c r="D109" s="11" t="str">
        <f t="array" ref="D109">IFERROR(INDEX('Bank Schedule'!D:D, SMALL(IF('Bank Schedule'!$K$2:$K$825="Vacant", ROW('Bank Schedule'!$K$2:$K$825)), ROW(106:106))), "")</f>
        <v/>
      </c>
      <c r="E109" s="25" t="str">
        <f t="array" ref="E109">IFERROR(INDEX('Bank Schedule'!E:E, SMALL(IF('Bank Schedule'!$K$2:$K$825="Vacant", ROW('Bank Schedule'!$K$2:$K$825)), ROW(106:106))), "")</f>
        <v/>
      </c>
      <c r="F109" s="25" t="str">
        <f t="array" ref="F109">IFERROR(INDEX('Bank Schedule'!F:F, SMALL(IF('Bank Schedule'!$K$2:$K$825="Vacant", ROW('Bank Schedule'!$K$2:$K$825)), ROW(106:106))), "")</f>
        <v/>
      </c>
      <c r="G109" s="25" t="str">
        <f t="array" ref="G109">IFERROR(INDEX('Bank Schedule'!G:G, SMALL(IF('Bank Schedule'!$K$2:$K$825="Vacant", ROW('Bank Schedule'!$K$2:$K$825)), ROW(106:106))), "")</f>
        <v/>
      </c>
      <c r="H109" s="55" t="str">
        <f t="array" ref="H109">IFERROR(INDEX('Bank Schedule'!H:H, SMALL(IF('Bank Schedule'!$K$2:$K$825="Vacant", ROW('Bank Schedule'!$K$2:$K$825)), ROW(106:106))), "")</f>
        <v/>
      </c>
      <c r="I109" s="55" t="str">
        <f t="array" ref="I109">IFERROR(INDEX('Bank Schedule'!I:I, SMALL(IF('Bank Schedule'!$K$2:$K$825="Vacant", ROW('Bank Schedule'!$K$2:$K$825)), ROW(106:106))), "")</f>
        <v/>
      </c>
      <c r="J109" s="11" t="str">
        <f t="array" ref="J109">IFERROR(INDEX('Bank Schedule'!K:K, SMALL(IF('Bank Schedule'!$K$2:$K$825="Vacant", ROW('Bank Schedule'!$K$2:$K$825)), ROW(106:106))), "")</f>
        <v/>
      </c>
      <c r="K109" s="11" t="str">
        <f t="array" ref="K109">IFERROR(INDEX('Bank Schedule'!L:L, SMALL(IF('Bank Schedule'!$K$2:$K$825="Vacant", ROW('Bank Schedule'!$K$2:$K$825)), ROW(106:106))), "")</f>
        <v/>
      </c>
      <c r="L109" s="11" t="str">
        <f t="array" ref="L109">IFERROR(INDEX('Bank Schedule'!M:M, SMALL(IF('Bank Schedule'!$K$2:$K$825="Vacant", ROW('Bank Schedule'!$K$2:$K$825)), ROW(106:106))), "")</f>
        <v/>
      </c>
      <c r="M109" s="106" t="str">
        <f t="array" ref="M109">IFERROR(INDEX('Bank Schedule'!N:N, SMALL(IF('Bank Schedule'!$K$2:$K$825="Vacant", ROW('Bank Schedule'!$K$2:$K$825)), ROW(106:106))), "")</f>
        <v/>
      </c>
      <c r="N109" s="11" t="str">
        <f t="array" ref="N109">IFERROR(INDEX('Bank Schedule'!O:O, SMALL(IF('Bank Schedule'!$K$2:$K$825="Vacant", ROW('Bank Schedule'!$K$2:$K$825)), ROW(106:106))), "")</f>
        <v/>
      </c>
      <c r="O109" s="11" t="str">
        <f t="array" ref="O109">IFERROR(INDEX('Bank Schedule'!P:P, SMALL(IF('Bank Schedule'!$K$2:$K$825="Vacant", ROW('Bank Schedule'!$K$2:$K$825)), ROW(106:106))), "")</f>
        <v/>
      </c>
      <c r="P109" s="11" t="str">
        <f t="array" ref="P109">IFERROR(INDEX('Bank Schedule'!Q:Q, SMALL(IF('Bank Schedule'!$K$2:$K$825="Vacant", ROW('Bank Schedule'!$K$2:$K$825)), ROW(106:106))), "")</f>
        <v/>
      </c>
      <c r="Q109" s="11" t="str">
        <f t="array" ref="Q109">IFERROR(INDEX('Bank Schedule'!R:R, SMALL(IF('Bank Schedule'!$K$2:$K$825="Vacant", ROW('Bank Schedule'!$K$2:$K$825)), ROW(106:106))), "")</f>
        <v/>
      </c>
      <c r="R109" s="11" t="str">
        <f t="array" ref="R109">IFERROR(INDEX('Bank Schedule'!S:S, SMALL(IF('Bank Schedule'!$K$2:$K$825="Vacant", ROW('Bank Schedule'!$K$2:$K$825)), ROW(106:106))), "")</f>
        <v/>
      </c>
      <c r="S109" s="320" t="str">
        <f t="array" ref="S109">IFERROR(INDEX('Bank Schedule'!T:T, SMALL(IF('Bank Schedule'!$K$2:$K$825="Vacant", ROW('Bank Schedule'!$K$2:$K$825)), ROW(106:106))), "")</f>
        <v/>
      </c>
      <c r="T109" s="320" t="str">
        <f t="array" ref="T109">IFERROR(INDEX('Bank Schedule'!U:U, SMALL(IF('Bank Schedule'!$K$2:$K$825="Vacant", ROW('Bank Schedule'!$K$2:$K$825)), ROW(106:106))), "")</f>
        <v/>
      </c>
      <c r="U109" s="320" t="str">
        <f t="array" ref="U109">IFERROR(INDEX('Bank Schedule'!V:V, SMALL(IF('Bank Schedule'!$K$2:$K$825="Vacant", ROW('Bank Schedule'!$K$2:$K$825)), ROW(106:106))), "")</f>
        <v/>
      </c>
      <c r="V109" s="320" t="str">
        <f t="array" ref="V109">IFERROR(INDEX('Bank Schedule'!W:W, SMALL(IF('Bank Schedule'!$K$2:$K$825="Vacant", ROW('Bank Schedule'!$K$2:$K$825)), ROW(106:106))), "")</f>
        <v/>
      </c>
      <c r="W109" s="319" t="str">
        <f t="array" ref="W109">IFERROR(INDEX('Bank Schedule'!X:X, SMALL(IF('Bank Schedule'!$K$2:$K$825="Vacant", ROW('Bank Schedule'!$K$2:$K$825)), ROW(106:106))), "")</f>
        <v/>
      </c>
      <c r="X109" s="11" t="str">
        <f t="array" ref="X109">IFERROR(INDEX('Bank Schedule'!Y:Y, SMALL(IF('Bank Schedule'!$K$2:$K$825="Vacant", ROW('Bank Schedule'!$K$2:$K$825)), ROW(106:106))), "")</f>
        <v/>
      </c>
      <c r="Y109" s="11" t="str">
        <f t="array" ref="Y109">IFERROR(INDEX('Bank Schedule'!Z:Z, SMALL(IF('Bank Schedule'!$K$2:$K$825="Vacant", ROW('Bank Schedule'!$K$2:$K$825)), ROW(106:106))), "")</f>
        <v/>
      </c>
      <c r="Z109" s="11" t="str">
        <f t="array" ref="Z109">IFERROR(INDEX('Bank Schedule'!AA:AA, SMALL(IF('Bank Schedule'!$K$2:$K$825="Vacant", ROW('Bank Schedule'!$K$2:$K$825)), ROW(106:106))), "")</f>
        <v/>
      </c>
      <c r="AA109" s="11" t="str">
        <f t="array" ref="AA109">IFERROR(INDEX('Bank Schedule'!AB:AB, SMALL(IF('Bank Schedule'!$K$2:$K$825="Vacant", ROW('Bank Schedule'!$K$2:$K$825)), ROW(106:106))), "")</f>
        <v/>
      </c>
      <c r="AB109" s="25" t="str">
        <f t="array" ref="AB109">IFERROR(INDEX('Bank Schedule'!AC:AC, SMALL(IF('Bank Schedule'!$K$2:$K$825="Vacant", ROW('Bank Schedule'!$K$2:$K$825)), ROW(106:106))), "")</f>
        <v/>
      </c>
      <c r="AC109" s="299" t="str">
        <f t="array" ref="AC109">IFERROR(INDEX('Bank Schedule'!AD:AD, SMALL(IF('Bank Schedule'!$K$2:$K$825="Vacant", ROW('Bank Schedule'!$K$2:$K$825)), ROW(106:106))), "")</f>
        <v/>
      </c>
      <c r="AD109" s="11" t="str">
        <f t="array" ref="AD109">IFERROR(INDEX('Bank Schedule'!AE:AE, SMALL(IF('Bank Schedule'!$K$2:$K$825="Vacant", ROW('Bank Schedule'!$K$2:$K$825)), ROW(106:106))), "")</f>
        <v/>
      </c>
      <c r="AE109" s="11" t="str">
        <f t="array" ref="AE109">IFERROR(INDEX('Bank Schedule'!AF:AF, SMALL(IF('Bank Schedule'!$K$2:$K$825="Vacant", ROW('Bank Schedule'!$K$2:$K$825)), ROW(106:106))), "")</f>
        <v/>
      </c>
      <c r="AF109" s="11" t="str">
        <f t="array" ref="AF109">IFERROR(INDEX('Bank Schedule'!AG:AG, SMALL(IF('Bank Schedule'!$K$2:$K$825="Vacant", ROW('Bank Schedule'!$K$2:$K$825)), ROW(106:106))), "")</f>
        <v/>
      </c>
      <c r="AG109" s="4"/>
    </row>
    <row r="110" spans="1:33" ht="28.5" hidden="1" customHeight="1">
      <c r="A110" s="2" t="str">
        <f t="array" ref="A110">IFERROR(INDEX('Bank Schedule'!A:A, SMALL(IF('Bank Schedule'!$K$2:$K$825="Vacant", ROW('Bank Schedule'!$K$2:$K$825)), ROW(107:107))), "")</f>
        <v/>
      </c>
      <c r="B110" s="11" t="str">
        <f t="array" ref="B110">IFERROR(INDEX('Bank Schedule'!B:B, SMALL(IF('Bank Schedule'!$K$2:$K$825="Vacant", ROW('Bank Schedule'!$K$2:$K$825)), ROW(107:107))), "")</f>
        <v/>
      </c>
      <c r="C110" s="11" t="str">
        <f t="array" ref="C110">IFERROR(INDEX('Bank Schedule'!C:C, SMALL(IF('Bank Schedule'!$K$2:$K$825="Vacant", ROW('Bank Schedule'!$K$2:$K$825)), ROW(107:107))), "")</f>
        <v/>
      </c>
      <c r="D110" s="11" t="str">
        <f t="array" ref="D110">IFERROR(INDEX('Bank Schedule'!D:D, SMALL(IF('Bank Schedule'!$K$2:$K$825="Vacant", ROW('Bank Schedule'!$K$2:$K$825)), ROW(107:107))), "")</f>
        <v/>
      </c>
      <c r="E110" s="25" t="str">
        <f t="array" ref="E110">IFERROR(INDEX('Bank Schedule'!E:E, SMALL(IF('Bank Schedule'!$K$2:$K$825="Vacant", ROW('Bank Schedule'!$K$2:$K$825)), ROW(107:107))), "")</f>
        <v/>
      </c>
      <c r="F110" s="25" t="str">
        <f t="array" ref="F110">IFERROR(INDEX('Bank Schedule'!F:F, SMALL(IF('Bank Schedule'!$K$2:$K$825="Vacant", ROW('Bank Schedule'!$K$2:$K$825)), ROW(107:107))), "")</f>
        <v/>
      </c>
      <c r="G110" s="25" t="str">
        <f t="array" ref="G110">IFERROR(INDEX('Bank Schedule'!G:G, SMALL(IF('Bank Schedule'!$K$2:$K$825="Vacant", ROW('Bank Schedule'!$K$2:$K$825)), ROW(107:107))), "")</f>
        <v/>
      </c>
      <c r="H110" s="55" t="str">
        <f t="array" ref="H110">IFERROR(INDEX('Bank Schedule'!H:H, SMALL(IF('Bank Schedule'!$K$2:$K$825="Vacant", ROW('Bank Schedule'!$K$2:$K$825)), ROW(107:107))), "")</f>
        <v/>
      </c>
      <c r="I110" s="55" t="str">
        <f t="array" ref="I110">IFERROR(INDEX('Bank Schedule'!I:I, SMALL(IF('Bank Schedule'!$K$2:$K$825="Vacant", ROW('Bank Schedule'!$K$2:$K$825)), ROW(107:107))), "")</f>
        <v/>
      </c>
      <c r="J110" s="11" t="str">
        <f t="array" ref="J110">IFERROR(INDEX('Bank Schedule'!K:K, SMALL(IF('Bank Schedule'!$K$2:$K$825="Vacant", ROW('Bank Schedule'!$K$2:$K$825)), ROW(107:107))), "")</f>
        <v/>
      </c>
      <c r="K110" s="11" t="str">
        <f t="array" ref="K110">IFERROR(INDEX('Bank Schedule'!L:L, SMALL(IF('Bank Schedule'!$K$2:$K$825="Vacant", ROW('Bank Schedule'!$K$2:$K$825)), ROW(107:107))), "")</f>
        <v/>
      </c>
      <c r="L110" s="11" t="str">
        <f t="array" ref="L110">IFERROR(INDEX('Bank Schedule'!M:M, SMALL(IF('Bank Schedule'!$K$2:$K$825="Vacant", ROW('Bank Schedule'!$K$2:$K$825)), ROW(107:107))), "")</f>
        <v/>
      </c>
      <c r="M110" s="106" t="str">
        <f t="array" ref="M110">IFERROR(INDEX('Bank Schedule'!N:N, SMALL(IF('Bank Schedule'!$K$2:$K$825="Vacant", ROW('Bank Schedule'!$K$2:$K$825)), ROW(107:107))), "")</f>
        <v/>
      </c>
      <c r="N110" s="11" t="str">
        <f t="array" ref="N110">IFERROR(INDEX('Bank Schedule'!O:O, SMALL(IF('Bank Schedule'!$K$2:$K$825="Vacant", ROW('Bank Schedule'!$K$2:$K$825)), ROW(107:107))), "")</f>
        <v/>
      </c>
      <c r="O110" s="11" t="str">
        <f t="array" ref="O110">IFERROR(INDEX('Bank Schedule'!P:P, SMALL(IF('Bank Schedule'!$K$2:$K$825="Vacant", ROW('Bank Schedule'!$K$2:$K$825)), ROW(107:107))), "")</f>
        <v/>
      </c>
      <c r="P110" s="11" t="str">
        <f t="array" ref="P110">IFERROR(INDEX('Bank Schedule'!Q:Q, SMALL(IF('Bank Schedule'!$K$2:$K$825="Vacant", ROW('Bank Schedule'!$K$2:$K$825)), ROW(107:107))), "")</f>
        <v/>
      </c>
      <c r="Q110" s="11" t="str">
        <f t="array" ref="Q110">IFERROR(INDEX('Bank Schedule'!R:R, SMALL(IF('Bank Schedule'!$K$2:$K$825="Vacant", ROW('Bank Schedule'!$K$2:$K$825)), ROW(107:107))), "")</f>
        <v/>
      </c>
      <c r="R110" s="11" t="str">
        <f t="array" ref="R110">IFERROR(INDEX('Bank Schedule'!S:S, SMALL(IF('Bank Schedule'!$K$2:$K$825="Vacant", ROW('Bank Schedule'!$K$2:$K$825)), ROW(107:107))), "")</f>
        <v/>
      </c>
      <c r="S110" s="320" t="str">
        <f t="array" ref="S110">IFERROR(INDEX('Bank Schedule'!T:T, SMALL(IF('Bank Schedule'!$K$2:$K$825="Vacant", ROW('Bank Schedule'!$K$2:$K$825)), ROW(107:107))), "")</f>
        <v/>
      </c>
      <c r="T110" s="320" t="str">
        <f t="array" ref="T110">IFERROR(INDEX('Bank Schedule'!U:U, SMALL(IF('Bank Schedule'!$K$2:$K$825="Vacant", ROW('Bank Schedule'!$K$2:$K$825)), ROW(107:107))), "")</f>
        <v/>
      </c>
      <c r="U110" s="320" t="str">
        <f t="array" ref="U110">IFERROR(INDEX('Bank Schedule'!V:V, SMALL(IF('Bank Schedule'!$K$2:$K$825="Vacant", ROW('Bank Schedule'!$K$2:$K$825)), ROW(107:107))), "")</f>
        <v/>
      </c>
      <c r="V110" s="320" t="str">
        <f t="array" ref="V110">IFERROR(INDEX('Bank Schedule'!W:W, SMALL(IF('Bank Schedule'!$K$2:$K$825="Vacant", ROW('Bank Schedule'!$K$2:$K$825)), ROW(107:107))), "")</f>
        <v/>
      </c>
      <c r="W110" s="319" t="str">
        <f t="array" ref="W110">IFERROR(INDEX('Bank Schedule'!X:X, SMALL(IF('Bank Schedule'!$K$2:$K$825="Vacant", ROW('Bank Schedule'!$K$2:$K$825)), ROW(107:107))), "")</f>
        <v/>
      </c>
      <c r="X110" s="11" t="str">
        <f t="array" ref="X110">IFERROR(INDEX('Bank Schedule'!Y:Y, SMALL(IF('Bank Schedule'!$K$2:$K$825="Vacant", ROW('Bank Schedule'!$K$2:$K$825)), ROW(107:107))), "")</f>
        <v/>
      </c>
      <c r="Y110" s="11" t="str">
        <f t="array" ref="Y110">IFERROR(INDEX('Bank Schedule'!Z:Z, SMALL(IF('Bank Schedule'!$K$2:$K$825="Vacant", ROW('Bank Schedule'!$K$2:$K$825)), ROW(107:107))), "")</f>
        <v/>
      </c>
      <c r="Z110" s="11" t="str">
        <f t="array" ref="Z110">IFERROR(INDEX('Bank Schedule'!AA:AA, SMALL(IF('Bank Schedule'!$K$2:$K$825="Vacant", ROW('Bank Schedule'!$K$2:$K$825)), ROW(107:107))), "")</f>
        <v/>
      </c>
      <c r="AA110" s="11" t="str">
        <f t="array" ref="AA110">IFERROR(INDEX('Bank Schedule'!AB:AB, SMALL(IF('Bank Schedule'!$K$2:$K$825="Vacant", ROW('Bank Schedule'!$K$2:$K$825)), ROW(107:107))), "")</f>
        <v/>
      </c>
      <c r="AB110" s="25" t="str">
        <f t="array" ref="AB110">IFERROR(INDEX('Bank Schedule'!AC:AC, SMALL(IF('Bank Schedule'!$K$2:$K$825="Vacant", ROW('Bank Schedule'!$K$2:$K$825)), ROW(107:107))), "")</f>
        <v/>
      </c>
      <c r="AC110" s="299" t="str">
        <f t="array" ref="AC110">IFERROR(INDEX('Bank Schedule'!AD:AD, SMALL(IF('Bank Schedule'!$K$2:$K$825="Vacant", ROW('Bank Schedule'!$K$2:$K$825)), ROW(107:107))), "")</f>
        <v/>
      </c>
      <c r="AD110" s="11" t="str">
        <f t="array" ref="AD110">IFERROR(INDEX('Bank Schedule'!AE:AE, SMALL(IF('Bank Schedule'!$K$2:$K$825="Vacant", ROW('Bank Schedule'!$K$2:$K$825)), ROW(107:107))), "")</f>
        <v/>
      </c>
      <c r="AE110" s="11" t="str">
        <f t="array" ref="AE110">IFERROR(INDEX('Bank Schedule'!AF:AF, SMALL(IF('Bank Schedule'!$K$2:$K$825="Vacant", ROW('Bank Schedule'!$K$2:$K$825)), ROW(107:107))), "")</f>
        <v/>
      </c>
      <c r="AF110" s="11" t="str">
        <f t="array" ref="AF110">IFERROR(INDEX('Bank Schedule'!AG:AG, SMALL(IF('Bank Schedule'!$K$2:$K$825="Vacant", ROW('Bank Schedule'!$K$2:$K$825)), ROW(107:107))), "")</f>
        <v/>
      </c>
      <c r="AG110" s="4"/>
    </row>
    <row r="111" spans="1:33" ht="28.5" hidden="1" customHeight="1">
      <c r="A111" s="2" t="str">
        <f t="array" ref="A111">IFERROR(INDEX('Bank Schedule'!A:A, SMALL(IF('Bank Schedule'!$K$2:$K$825="Vacant", ROW('Bank Schedule'!$K$2:$K$825)), ROW(108:108))), "")</f>
        <v/>
      </c>
      <c r="B111" s="11" t="str">
        <f t="array" ref="B111">IFERROR(INDEX('Bank Schedule'!B:B, SMALL(IF('Bank Schedule'!$K$2:$K$825="Vacant", ROW('Bank Schedule'!$K$2:$K$825)), ROW(108:108))), "")</f>
        <v/>
      </c>
      <c r="C111" s="11" t="str">
        <f t="array" ref="C111">IFERROR(INDEX('Bank Schedule'!C:C, SMALL(IF('Bank Schedule'!$K$2:$K$825="Vacant", ROW('Bank Schedule'!$K$2:$K$825)), ROW(108:108))), "")</f>
        <v/>
      </c>
      <c r="D111" s="11" t="str">
        <f t="array" ref="D111">IFERROR(INDEX('Bank Schedule'!D:D, SMALL(IF('Bank Schedule'!$K$2:$K$825="Vacant", ROW('Bank Schedule'!$K$2:$K$825)), ROW(108:108))), "")</f>
        <v/>
      </c>
      <c r="E111" s="25" t="str">
        <f t="array" ref="E111">IFERROR(INDEX('Bank Schedule'!E:E, SMALL(IF('Bank Schedule'!$K$2:$K$825="Vacant", ROW('Bank Schedule'!$K$2:$K$825)), ROW(108:108))), "")</f>
        <v/>
      </c>
      <c r="F111" s="25" t="str">
        <f t="array" ref="F111">IFERROR(INDEX('Bank Schedule'!F:F, SMALL(IF('Bank Schedule'!$K$2:$K$825="Vacant", ROW('Bank Schedule'!$K$2:$K$825)), ROW(108:108))), "")</f>
        <v/>
      </c>
      <c r="G111" s="25" t="str">
        <f t="array" ref="G111">IFERROR(INDEX('Bank Schedule'!G:G, SMALL(IF('Bank Schedule'!$K$2:$K$825="Vacant", ROW('Bank Schedule'!$K$2:$K$825)), ROW(108:108))), "")</f>
        <v/>
      </c>
      <c r="H111" s="55" t="str">
        <f t="array" ref="H111">IFERROR(INDEX('Bank Schedule'!H:H, SMALL(IF('Bank Schedule'!$K$2:$K$825="Vacant", ROW('Bank Schedule'!$K$2:$K$825)), ROW(108:108))), "")</f>
        <v/>
      </c>
      <c r="I111" s="55" t="str">
        <f t="array" ref="I111">IFERROR(INDEX('Bank Schedule'!I:I, SMALL(IF('Bank Schedule'!$K$2:$K$825="Vacant", ROW('Bank Schedule'!$K$2:$K$825)), ROW(108:108))), "")</f>
        <v/>
      </c>
      <c r="J111" s="11" t="str">
        <f t="array" ref="J111">IFERROR(INDEX('Bank Schedule'!K:K, SMALL(IF('Bank Schedule'!$K$2:$K$825="Vacant", ROW('Bank Schedule'!$K$2:$K$825)), ROW(108:108))), "")</f>
        <v/>
      </c>
      <c r="K111" s="11" t="str">
        <f t="array" ref="K111">IFERROR(INDEX('Bank Schedule'!L:L, SMALL(IF('Bank Schedule'!$K$2:$K$825="Vacant", ROW('Bank Schedule'!$K$2:$K$825)), ROW(108:108))), "")</f>
        <v/>
      </c>
      <c r="L111" s="11" t="str">
        <f t="array" ref="L111">IFERROR(INDEX('Bank Schedule'!M:M, SMALL(IF('Bank Schedule'!$K$2:$K$825="Vacant", ROW('Bank Schedule'!$K$2:$K$825)), ROW(108:108))), "")</f>
        <v/>
      </c>
      <c r="M111" s="106" t="str">
        <f t="array" ref="M111">IFERROR(INDEX('Bank Schedule'!N:N, SMALL(IF('Bank Schedule'!$K$2:$K$825="Vacant", ROW('Bank Schedule'!$K$2:$K$825)), ROW(108:108))), "")</f>
        <v/>
      </c>
      <c r="N111" s="11" t="str">
        <f t="array" ref="N111">IFERROR(INDEX('Bank Schedule'!O:O, SMALL(IF('Bank Schedule'!$K$2:$K$825="Vacant", ROW('Bank Schedule'!$K$2:$K$825)), ROW(108:108))), "")</f>
        <v/>
      </c>
      <c r="O111" s="11" t="str">
        <f t="array" ref="O111">IFERROR(INDEX('Bank Schedule'!P:P, SMALL(IF('Bank Schedule'!$K$2:$K$825="Vacant", ROW('Bank Schedule'!$K$2:$K$825)), ROW(108:108))), "")</f>
        <v/>
      </c>
      <c r="P111" s="11" t="str">
        <f t="array" ref="P111">IFERROR(INDEX('Bank Schedule'!Q:Q, SMALL(IF('Bank Schedule'!$K$2:$K$825="Vacant", ROW('Bank Schedule'!$K$2:$K$825)), ROW(108:108))), "")</f>
        <v/>
      </c>
      <c r="Q111" s="11" t="str">
        <f t="array" ref="Q111">IFERROR(INDEX('Bank Schedule'!R:R, SMALL(IF('Bank Schedule'!$K$2:$K$825="Vacant", ROW('Bank Schedule'!$K$2:$K$825)), ROW(108:108))), "")</f>
        <v/>
      </c>
      <c r="R111" s="11" t="str">
        <f t="array" ref="R111">IFERROR(INDEX('Bank Schedule'!S:S, SMALL(IF('Bank Schedule'!$K$2:$K$825="Vacant", ROW('Bank Schedule'!$K$2:$K$825)), ROW(108:108))), "")</f>
        <v/>
      </c>
      <c r="S111" s="320" t="str">
        <f t="array" ref="S111">IFERROR(INDEX('Bank Schedule'!T:T, SMALL(IF('Bank Schedule'!$K$2:$K$825="Vacant", ROW('Bank Schedule'!$K$2:$K$825)), ROW(108:108))), "")</f>
        <v/>
      </c>
      <c r="T111" s="320" t="str">
        <f t="array" ref="T111">IFERROR(INDEX('Bank Schedule'!U:U, SMALL(IF('Bank Schedule'!$K$2:$K$825="Vacant", ROW('Bank Schedule'!$K$2:$K$825)), ROW(108:108))), "")</f>
        <v/>
      </c>
      <c r="U111" s="320" t="str">
        <f t="array" ref="U111">IFERROR(INDEX('Bank Schedule'!V:V, SMALL(IF('Bank Schedule'!$K$2:$K$825="Vacant", ROW('Bank Schedule'!$K$2:$K$825)), ROW(108:108))), "")</f>
        <v/>
      </c>
      <c r="V111" s="320" t="str">
        <f t="array" ref="V111">IFERROR(INDEX('Bank Schedule'!W:W, SMALL(IF('Bank Schedule'!$K$2:$K$825="Vacant", ROW('Bank Schedule'!$K$2:$K$825)), ROW(108:108))), "")</f>
        <v/>
      </c>
      <c r="W111" s="319" t="str">
        <f t="array" ref="W111">IFERROR(INDEX('Bank Schedule'!X:X, SMALL(IF('Bank Schedule'!$K$2:$K$825="Vacant", ROW('Bank Schedule'!$K$2:$K$825)), ROW(108:108))), "")</f>
        <v/>
      </c>
      <c r="X111" s="11" t="str">
        <f t="array" ref="X111">IFERROR(INDEX('Bank Schedule'!Y:Y, SMALL(IF('Bank Schedule'!$K$2:$K$825="Vacant", ROW('Bank Schedule'!$K$2:$K$825)), ROW(108:108))), "")</f>
        <v/>
      </c>
      <c r="Y111" s="11" t="str">
        <f t="array" ref="Y111">IFERROR(INDEX('Bank Schedule'!Z:Z, SMALL(IF('Bank Schedule'!$K$2:$K$825="Vacant", ROW('Bank Schedule'!$K$2:$K$825)), ROW(108:108))), "")</f>
        <v/>
      </c>
      <c r="Z111" s="11" t="str">
        <f t="array" ref="Z111">IFERROR(INDEX('Bank Schedule'!AA:AA, SMALL(IF('Bank Schedule'!$K$2:$K$825="Vacant", ROW('Bank Schedule'!$K$2:$K$825)), ROW(108:108))), "")</f>
        <v/>
      </c>
      <c r="AA111" s="11" t="str">
        <f t="array" ref="AA111">IFERROR(INDEX('Bank Schedule'!AB:AB, SMALL(IF('Bank Schedule'!$K$2:$K$825="Vacant", ROW('Bank Schedule'!$K$2:$K$825)), ROW(108:108))), "")</f>
        <v/>
      </c>
      <c r="AB111" s="25" t="str">
        <f t="array" ref="AB111">IFERROR(INDEX('Bank Schedule'!AC:AC, SMALL(IF('Bank Schedule'!$K$2:$K$825="Vacant", ROW('Bank Schedule'!$K$2:$K$825)), ROW(108:108))), "")</f>
        <v/>
      </c>
      <c r="AC111" s="299" t="str">
        <f t="array" ref="AC111">IFERROR(INDEX('Bank Schedule'!AD:AD, SMALL(IF('Bank Schedule'!$K$2:$K$825="Vacant", ROW('Bank Schedule'!$K$2:$K$825)), ROW(108:108))), "")</f>
        <v/>
      </c>
      <c r="AD111" s="11" t="str">
        <f t="array" ref="AD111">IFERROR(INDEX('Bank Schedule'!AE:AE, SMALL(IF('Bank Schedule'!$K$2:$K$825="Vacant", ROW('Bank Schedule'!$K$2:$K$825)), ROW(108:108))), "")</f>
        <v/>
      </c>
      <c r="AE111" s="11" t="str">
        <f t="array" ref="AE111">IFERROR(INDEX('Bank Schedule'!AF:AF, SMALL(IF('Bank Schedule'!$K$2:$K$825="Vacant", ROW('Bank Schedule'!$K$2:$K$825)), ROW(108:108))), "")</f>
        <v/>
      </c>
      <c r="AF111" s="11" t="str">
        <f t="array" ref="AF111">IFERROR(INDEX('Bank Schedule'!AG:AG, SMALL(IF('Bank Schedule'!$K$2:$K$825="Vacant", ROW('Bank Schedule'!$K$2:$K$825)), ROW(108:108))), "")</f>
        <v/>
      </c>
      <c r="AG111" s="4"/>
    </row>
    <row r="112" spans="1:33" ht="28.5" customHeight="1">
      <c r="A112" s="2" t="str">
        <f t="array" ref="A112">IFERROR(INDEX('Bank Schedule'!A:A, SMALL(IF('Bank Schedule'!$K$2:$K$825="Vacant", ROW('Bank Schedule'!$K$2:$K$825)), ROW(109:109))), "")</f>
        <v/>
      </c>
      <c r="B112" s="11" t="str">
        <f t="array" ref="B112">IFERROR(INDEX('Bank Schedule'!B:B, SMALL(IF('Bank Schedule'!$K$2:$K$825="Vacant", ROW('Bank Schedule'!$K$2:$K$825)), ROW(109:109))), "")</f>
        <v/>
      </c>
      <c r="C112" s="11" t="str">
        <f t="array" ref="C112">IFERROR(INDEX('Bank Schedule'!C:C, SMALL(IF('Bank Schedule'!$K$2:$K$825="Vacant", ROW('Bank Schedule'!$K$2:$K$825)), ROW(109:109))), "")</f>
        <v/>
      </c>
      <c r="D112" s="11" t="str">
        <f t="array" ref="D112">IFERROR(INDEX('Bank Schedule'!D:D, SMALL(IF('Bank Schedule'!$K$2:$K$825="Vacant", ROW('Bank Schedule'!$K$2:$K$825)), ROW(109:109))), "")</f>
        <v/>
      </c>
      <c r="E112" s="25" t="str">
        <f t="array" ref="E112">IFERROR(INDEX('Bank Schedule'!E:E, SMALL(IF('Bank Schedule'!$K$2:$K$825="Vacant", ROW('Bank Schedule'!$K$2:$K$825)), ROW(109:109))), "")</f>
        <v/>
      </c>
      <c r="F112" s="25" t="str">
        <f t="array" ref="F112">IFERROR(INDEX('Bank Schedule'!F:F, SMALL(IF('Bank Schedule'!$K$2:$K$825="Vacant", ROW('Bank Schedule'!$K$2:$K$825)), ROW(109:109))), "")</f>
        <v/>
      </c>
      <c r="G112" s="25" t="str">
        <f t="array" ref="G112">IFERROR(INDEX('Bank Schedule'!G:G, SMALL(IF('Bank Schedule'!$K$2:$K$825="Vacant", ROW('Bank Schedule'!$K$2:$K$825)), ROW(109:109))), "")</f>
        <v/>
      </c>
      <c r="H112" s="55" t="str">
        <f t="array" ref="H112">IFERROR(INDEX('Bank Schedule'!H:H, SMALL(IF('Bank Schedule'!$K$2:$K$825="Vacant", ROW('Bank Schedule'!$K$2:$K$825)), ROW(109:109))), "")</f>
        <v/>
      </c>
      <c r="I112" s="55" t="str">
        <f t="array" ref="I112">IFERROR(INDEX('Bank Schedule'!I:I, SMALL(IF('Bank Schedule'!$K$2:$K$825="Vacant", ROW('Bank Schedule'!$K$2:$K$825)), ROW(109:109))), "")</f>
        <v/>
      </c>
      <c r="J112" s="11" t="str">
        <f t="array" ref="J112">IFERROR(INDEX('Bank Schedule'!K:K, SMALL(IF('Bank Schedule'!$K$2:$K$825="Vacant", ROW('Bank Schedule'!$K$2:$K$825)), ROW(109:109))), "")</f>
        <v/>
      </c>
      <c r="K112" s="11" t="str">
        <f t="array" ref="K112">IFERROR(INDEX('Bank Schedule'!L:L, SMALL(IF('Bank Schedule'!$K$2:$K$825="Vacant", ROW('Bank Schedule'!$K$2:$K$825)), ROW(109:109))), "")</f>
        <v/>
      </c>
      <c r="L112" s="11" t="str">
        <f t="array" ref="L112">IFERROR(INDEX('Bank Schedule'!M:M, SMALL(IF('Bank Schedule'!$K$2:$K$825="Vacant", ROW('Bank Schedule'!$K$2:$K$825)), ROW(109:109))), "")</f>
        <v/>
      </c>
      <c r="M112" s="106" t="str">
        <f t="array" ref="M112">IFERROR(INDEX('Bank Schedule'!N:N, SMALL(IF('Bank Schedule'!$K$2:$K$825="Vacant", ROW('Bank Schedule'!$K$2:$K$825)), ROW(109:109))), "")</f>
        <v/>
      </c>
      <c r="N112" s="11" t="str">
        <f t="array" ref="N112">IFERROR(INDEX('Bank Schedule'!O:O, SMALL(IF('Bank Schedule'!$K$2:$K$825="Vacant", ROW('Bank Schedule'!$K$2:$K$825)), ROW(109:109))), "")</f>
        <v/>
      </c>
      <c r="O112" s="11" t="str">
        <f t="array" ref="O112">IFERROR(INDEX('Bank Schedule'!P:P, SMALL(IF('Bank Schedule'!$K$2:$K$825="Vacant", ROW('Bank Schedule'!$K$2:$K$825)), ROW(109:109))), "")</f>
        <v/>
      </c>
      <c r="P112" s="11" t="str">
        <f t="array" ref="P112">IFERROR(INDEX('Bank Schedule'!Q:Q, SMALL(IF('Bank Schedule'!$K$2:$K$825="Vacant", ROW('Bank Schedule'!$K$2:$K$825)), ROW(109:109))), "")</f>
        <v/>
      </c>
      <c r="Q112" s="11" t="str">
        <f t="array" ref="Q112">IFERROR(INDEX('Bank Schedule'!R:R, SMALL(IF('Bank Schedule'!$K$2:$K$825="Vacant", ROW('Bank Schedule'!$K$2:$K$825)), ROW(109:109))), "")</f>
        <v/>
      </c>
      <c r="R112" s="11" t="str">
        <f t="array" ref="R112">IFERROR(INDEX('Bank Schedule'!S:S, SMALL(IF('Bank Schedule'!$K$2:$K$825="Vacant", ROW('Bank Schedule'!$K$2:$K$825)), ROW(109:109))), "")</f>
        <v/>
      </c>
      <c r="S112" s="320" t="str">
        <f t="array" ref="S112">IFERROR(INDEX('Bank Schedule'!T:T, SMALL(IF('Bank Schedule'!$K$2:$K$825="Vacant", ROW('Bank Schedule'!$K$2:$K$825)), ROW(109:109))), "")</f>
        <v/>
      </c>
      <c r="T112" s="320" t="str">
        <f t="array" ref="T112">IFERROR(INDEX('Bank Schedule'!U:U, SMALL(IF('Bank Schedule'!$K$2:$K$825="Vacant", ROW('Bank Schedule'!$K$2:$K$825)), ROW(109:109))), "")</f>
        <v/>
      </c>
      <c r="U112" s="320" t="str">
        <f t="array" ref="U112">IFERROR(INDEX('Bank Schedule'!V:V, SMALL(IF('Bank Schedule'!$K$2:$K$825="Vacant", ROW('Bank Schedule'!$K$2:$K$825)), ROW(109:109))), "")</f>
        <v/>
      </c>
      <c r="V112" s="320" t="str">
        <f t="array" ref="V112">IFERROR(INDEX('Bank Schedule'!W:W, SMALL(IF('Bank Schedule'!$K$2:$K$825="Vacant", ROW('Bank Schedule'!$K$2:$K$825)), ROW(109:109))), "")</f>
        <v/>
      </c>
      <c r="W112" s="319" t="str">
        <f t="array" ref="W112">IFERROR(INDEX('Bank Schedule'!X:X, SMALL(IF('Bank Schedule'!$K$2:$K$825="Vacant", ROW('Bank Schedule'!$K$2:$K$825)), ROW(109:109))), "")</f>
        <v/>
      </c>
      <c r="X112" s="11" t="str">
        <f t="array" ref="X112">IFERROR(INDEX('Bank Schedule'!Y:Y, SMALL(IF('Bank Schedule'!$K$2:$K$825="Vacant", ROW('Bank Schedule'!$K$2:$K$825)), ROW(109:109))), "")</f>
        <v/>
      </c>
      <c r="Y112" s="11" t="str">
        <f t="array" ref="Y112">IFERROR(INDEX('Bank Schedule'!Z:Z, SMALL(IF('Bank Schedule'!$K$2:$K$825="Vacant", ROW('Bank Schedule'!$K$2:$K$825)), ROW(109:109))), "")</f>
        <v/>
      </c>
      <c r="Z112" s="11" t="str">
        <f t="array" ref="Z112">IFERROR(INDEX('Bank Schedule'!AA:AA, SMALL(IF('Bank Schedule'!$K$2:$K$825="Vacant", ROW('Bank Schedule'!$K$2:$K$825)), ROW(109:109))), "")</f>
        <v/>
      </c>
      <c r="AA112" s="11" t="str">
        <f t="array" ref="AA112">IFERROR(INDEX('Bank Schedule'!AB:AB, SMALL(IF('Bank Schedule'!$K$2:$K$825="Vacant", ROW('Bank Schedule'!$K$2:$K$825)), ROW(109:109))), "")</f>
        <v/>
      </c>
      <c r="AB112" s="25" t="str">
        <f t="array" ref="AB112">IFERROR(INDEX('Bank Schedule'!AC:AC, SMALL(IF('Bank Schedule'!$K$2:$K$825="Vacant", ROW('Bank Schedule'!$K$2:$K$825)), ROW(109:109))), "")</f>
        <v/>
      </c>
      <c r="AC112" s="299" t="str">
        <f t="array" ref="AC112">IFERROR(INDEX('Bank Schedule'!AD:AD, SMALL(IF('Bank Schedule'!$K$2:$K$825="Vacant", ROW('Bank Schedule'!$K$2:$K$825)), ROW(109:109))), "")</f>
        <v/>
      </c>
      <c r="AD112" s="11" t="str">
        <f t="array" ref="AD112">IFERROR(INDEX('Bank Schedule'!AE:AE, SMALL(IF('Bank Schedule'!$K$2:$K$825="Vacant", ROW('Bank Schedule'!$K$2:$K$825)), ROW(109:109))), "")</f>
        <v/>
      </c>
      <c r="AE112" s="11" t="str">
        <f t="array" ref="AE112">IFERROR(INDEX('Bank Schedule'!AF:AF, SMALL(IF('Bank Schedule'!$K$2:$K$825="Vacant", ROW('Bank Schedule'!$K$2:$K$825)), ROW(109:109))), "")</f>
        <v/>
      </c>
      <c r="AF112" s="11" t="str">
        <f t="array" ref="AF112">IFERROR(INDEX('Bank Schedule'!AG:AG, SMALL(IF('Bank Schedule'!$K$2:$K$825="Vacant", ROW('Bank Schedule'!$K$2:$K$825)), ROW(109:109))), "")</f>
        <v/>
      </c>
      <c r="AG112" s="4"/>
    </row>
    <row r="113" spans="1:33" ht="28.5" customHeight="1">
      <c r="A113" s="2" t="str">
        <f t="array" ref="A113">IFERROR(INDEX('Bank Schedule'!A:A, SMALL(IF('Bank Schedule'!$K$2:$K$825="Vacant", ROW('Bank Schedule'!$K$2:$K$825)), ROW(110:110))), "")</f>
        <v/>
      </c>
      <c r="B113" s="11" t="str">
        <f t="array" ref="B113">IFERROR(INDEX('Bank Schedule'!B:B, SMALL(IF('Bank Schedule'!$K$2:$K$825="Vacant", ROW('Bank Schedule'!$K$2:$K$825)), ROW(110:110))), "")</f>
        <v/>
      </c>
      <c r="C113" s="11" t="str">
        <f t="array" ref="C113">IFERROR(INDEX('Bank Schedule'!C:C, SMALL(IF('Bank Schedule'!$K$2:$K$825="Vacant", ROW('Bank Schedule'!$K$2:$K$825)), ROW(110:110))), "")</f>
        <v/>
      </c>
      <c r="D113" s="11" t="str">
        <f t="array" ref="D113">IFERROR(INDEX('Bank Schedule'!D:D, SMALL(IF('Bank Schedule'!$K$2:$K$825="Vacant", ROW('Bank Schedule'!$K$2:$K$825)), ROW(110:110))), "")</f>
        <v/>
      </c>
      <c r="E113" s="25" t="str">
        <f t="array" ref="E113">IFERROR(INDEX('Bank Schedule'!E:E, SMALL(IF('Bank Schedule'!$K$2:$K$825="Vacant", ROW('Bank Schedule'!$K$2:$K$825)), ROW(110:110))), "")</f>
        <v/>
      </c>
      <c r="F113" s="25" t="str">
        <f t="array" ref="F113">IFERROR(INDEX('Bank Schedule'!F:F, SMALL(IF('Bank Schedule'!$K$2:$K$825="Vacant", ROW('Bank Schedule'!$K$2:$K$825)), ROW(110:110))), "")</f>
        <v/>
      </c>
      <c r="G113" s="25" t="str">
        <f t="array" ref="G113">IFERROR(INDEX('Bank Schedule'!G:G, SMALL(IF('Bank Schedule'!$K$2:$K$825="Vacant", ROW('Bank Schedule'!$K$2:$K$825)), ROW(110:110))), "")</f>
        <v/>
      </c>
      <c r="H113" s="55" t="str">
        <f t="array" ref="H113">IFERROR(INDEX('Bank Schedule'!H:H, SMALL(IF('Bank Schedule'!$K$2:$K$825="Vacant", ROW('Bank Schedule'!$K$2:$K$825)), ROW(110:110))), "")</f>
        <v/>
      </c>
      <c r="I113" s="55" t="str">
        <f t="array" ref="I113">IFERROR(INDEX('Bank Schedule'!I:I, SMALL(IF('Bank Schedule'!$K$2:$K$825="Vacant", ROW('Bank Schedule'!$K$2:$K$825)), ROW(110:110))), "")</f>
        <v/>
      </c>
      <c r="J113" s="11" t="str">
        <f t="array" ref="J113">IFERROR(INDEX('Bank Schedule'!K:K, SMALL(IF('Bank Schedule'!$K$2:$K$825="Vacant", ROW('Bank Schedule'!$K$2:$K$825)), ROW(110:110))), "")</f>
        <v/>
      </c>
      <c r="K113" s="11" t="str">
        <f t="array" ref="K113">IFERROR(INDEX('Bank Schedule'!L:L, SMALL(IF('Bank Schedule'!$K$2:$K$825="Vacant", ROW('Bank Schedule'!$K$2:$K$825)), ROW(110:110))), "")</f>
        <v/>
      </c>
      <c r="L113" s="11" t="str">
        <f t="array" ref="L113">IFERROR(INDEX('Bank Schedule'!M:M, SMALL(IF('Bank Schedule'!$K$2:$K$825="Vacant", ROW('Bank Schedule'!$K$2:$K$825)), ROW(110:110))), "")</f>
        <v/>
      </c>
      <c r="M113" s="106" t="str">
        <f t="array" ref="M113">IFERROR(INDEX('Bank Schedule'!N:N, SMALL(IF('Bank Schedule'!$K$2:$K$825="Vacant", ROW('Bank Schedule'!$K$2:$K$825)), ROW(110:110))), "")</f>
        <v/>
      </c>
      <c r="N113" s="11" t="str">
        <f t="array" ref="N113">IFERROR(INDEX('Bank Schedule'!O:O, SMALL(IF('Bank Schedule'!$K$2:$K$825="Vacant", ROW('Bank Schedule'!$K$2:$K$825)), ROW(110:110))), "")</f>
        <v/>
      </c>
      <c r="O113" s="11" t="str">
        <f t="array" ref="O113">IFERROR(INDEX('Bank Schedule'!P:P, SMALL(IF('Bank Schedule'!$K$2:$K$825="Vacant", ROW('Bank Schedule'!$K$2:$K$825)), ROW(110:110))), "")</f>
        <v/>
      </c>
      <c r="P113" s="11" t="str">
        <f t="array" ref="P113">IFERROR(INDEX('Bank Schedule'!Q:Q, SMALL(IF('Bank Schedule'!$K$2:$K$825="Vacant", ROW('Bank Schedule'!$K$2:$K$825)), ROW(110:110))), "")</f>
        <v/>
      </c>
      <c r="Q113" s="11" t="str">
        <f t="array" ref="Q113">IFERROR(INDEX('Bank Schedule'!R:R, SMALL(IF('Bank Schedule'!$K$2:$K$825="Vacant", ROW('Bank Schedule'!$K$2:$K$825)), ROW(110:110))), "")</f>
        <v/>
      </c>
      <c r="R113" s="11" t="str">
        <f t="array" ref="R113">IFERROR(INDEX('Bank Schedule'!S:S, SMALL(IF('Bank Schedule'!$K$2:$K$825="Vacant", ROW('Bank Schedule'!$K$2:$K$825)), ROW(110:110))), "")</f>
        <v/>
      </c>
      <c r="S113" s="320" t="str">
        <f t="array" ref="S113">IFERROR(INDEX('Bank Schedule'!T:T, SMALL(IF('Bank Schedule'!$K$2:$K$825="Vacant", ROW('Bank Schedule'!$K$2:$K$825)), ROW(110:110))), "")</f>
        <v/>
      </c>
      <c r="T113" s="320" t="str">
        <f t="array" ref="T113">IFERROR(INDEX('Bank Schedule'!U:U, SMALL(IF('Bank Schedule'!$K$2:$K$825="Vacant", ROW('Bank Schedule'!$K$2:$K$825)), ROW(110:110))), "")</f>
        <v/>
      </c>
      <c r="U113" s="320" t="str">
        <f t="array" ref="U113">IFERROR(INDEX('Bank Schedule'!V:V, SMALL(IF('Bank Schedule'!$K$2:$K$825="Vacant", ROW('Bank Schedule'!$K$2:$K$825)), ROW(110:110))), "")</f>
        <v/>
      </c>
      <c r="V113" s="320" t="str">
        <f t="array" ref="V113">IFERROR(INDEX('Bank Schedule'!W:W, SMALL(IF('Bank Schedule'!$K$2:$K$825="Vacant", ROW('Bank Schedule'!$K$2:$K$825)), ROW(110:110))), "")</f>
        <v/>
      </c>
      <c r="W113" s="319" t="str">
        <f t="array" ref="W113">IFERROR(INDEX('Bank Schedule'!X:X, SMALL(IF('Bank Schedule'!$K$2:$K$825="Vacant", ROW('Bank Schedule'!$K$2:$K$825)), ROW(110:110))), "")</f>
        <v/>
      </c>
      <c r="X113" s="11" t="str">
        <f t="array" ref="X113">IFERROR(INDEX('Bank Schedule'!Y:Y, SMALL(IF('Bank Schedule'!$K$2:$K$825="Vacant", ROW('Bank Schedule'!$K$2:$K$825)), ROW(110:110))), "")</f>
        <v/>
      </c>
      <c r="Y113" s="11" t="str">
        <f t="array" ref="Y113">IFERROR(INDEX('Bank Schedule'!Z:Z, SMALL(IF('Bank Schedule'!$K$2:$K$825="Vacant", ROW('Bank Schedule'!$K$2:$K$825)), ROW(110:110))), "")</f>
        <v/>
      </c>
      <c r="Z113" s="11" t="str">
        <f t="array" ref="Z113">IFERROR(INDEX('Bank Schedule'!AA:AA, SMALL(IF('Bank Schedule'!$K$2:$K$825="Vacant", ROW('Bank Schedule'!$K$2:$K$825)), ROW(110:110))), "")</f>
        <v/>
      </c>
      <c r="AA113" s="11" t="str">
        <f t="array" ref="AA113">IFERROR(INDEX('Bank Schedule'!AB:AB, SMALL(IF('Bank Schedule'!$K$2:$K$825="Vacant", ROW('Bank Schedule'!$K$2:$K$825)), ROW(110:110))), "")</f>
        <v/>
      </c>
      <c r="AB113" s="25" t="str">
        <f t="array" ref="AB113">IFERROR(INDEX('Bank Schedule'!AC:AC, SMALL(IF('Bank Schedule'!$K$2:$K$825="Vacant", ROW('Bank Schedule'!$K$2:$K$825)), ROW(110:110))), "")</f>
        <v/>
      </c>
      <c r="AC113" s="299" t="str">
        <f t="array" ref="AC113">IFERROR(INDEX('Bank Schedule'!AD:AD, SMALL(IF('Bank Schedule'!$K$2:$K$825="Vacant", ROW('Bank Schedule'!$K$2:$K$825)), ROW(110:110))), "")</f>
        <v/>
      </c>
      <c r="AD113" s="11" t="str">
        <f t="array" ref="AD113">IFERROR(INDEX('Bank Schedule'!AE:AE, SMALL(IF('Bank Schedule'!$K$2:$K$825="Vacant", ROW('Bank Schedule'!$K$2:$K$825)), ROW(110:110))), "")</f>
        <v/>
      </c>
      <c r="AE113" s="11" t="str">
        <f t="array" ref="AE113">IFERROR(INDEX('Bank Schedule'!AF:AF, SMALL(IF('Bank Schedule'!$K$2:$K$825="Vacant", ROW('Bank Schedule'!$K$2:$K$825)), ROW(110:110))), "")</f>
        <v/>
      </c>
      <c r="AF113" s="11" t="str">
        <f t="array" ref="AF113">IFERROR(INDEX('Bank Schedule'!AG:AG, SMALL(IF('Bank Schedule'!$K$2:$K$825="Vacant", ROW('Bank Schedule'!$K$2:$K$825)), ROW(110:110))), "")</f>
        <v/>
      </c>
      <c r="AG113" s="4"/>
    </row>
    <row r="114" spans="1:33" ht="28.5" hidden="1" customHeight="1">
      <c r="A114" s="2" t="str">
        <f t="array" ref="A114">IFERROR(INDEX('Bank Schedule'!A:A, SMALL(IF('Bank Schedule'!$K$2:$K$825="Vacant", ROW('Bank Schedule'!$K$2:$K$825)), ROW(111:111))), "")</f>
        <v/>
      </c>
      <c r="B114" s="11" t="str">
        <f t="array" ref="B114">IFERROR(INDEX('Bank Schedule'!B:B, SMALL(IF('Bank Schedule'!$K$2:$K$825="Vacant", ROW('Bank Schedule'!$K$2:$K$825)), ROW(111:111))), "")</f>
        <v/>
      </c>
      <c r="C114" s="11" t="str">
        <f t="array" ref="C114">IFERROR(INDEX('Bank Schedule'!C:C, SMALL(IF('Bank Schedule'!$K$2:$K$825="Vacant", ROW('Bank Schedule'!$K$2:$K$825)), ROW(111:111))), "")</f>
        <v/>
      </c>
      <c r="D114" s="11" t="str">
        <f t="array" ref="D114">IFERROR(INDEX('Bank Schedule'!D:D, SMALL(IF('Bank Schedule'!$K$2:$K$825="Vacant", ROW('Bank Schedule'!$K$2:$K$825)), ROW(111:111))), "")</f>
        <v/>
      </c>
      <c r="E114" s="25" t="str">
        <f t="array" ref="E114">IFERROR(INDEX('Bank Schedule'!E:E, SMALL(IF('Bank Schedule'!$K$2:$K$825="Vacant", ROW('Bank Schedule'!$K$2:$K$825)), ROW(111:111))), "")</f>
        <v/>
      </c>
      <c r="F114" s="25" t="str">
        <f t="array" ref="F114">IFERROR(INDEX('Bank Schedule'!F:F, SMALL(IF('Bank Schedule'!$K$2:$K$825="Vacant", ROW('Bank Schedule'!$K$2:$K$825)), ROW(111:111))), "")</f>
        <v/>
      </c>
      <c r="G114" s="25" t="str">
        <f t="array" ref="G114">IFERROR(INDEX('Bank Schedule'!G:G, SMALL(IF('Bank Schedule'!$K$2:$K$825="Vacant", ROW('Bank Schedule'!$K$2:$K$825)), ROW(111:111))), "")</f>
        <v/>
      </c>
      <c r="H114" s="55" t="str">
        <f t="array" ref="H114">IFERROR(INDEX('Bank Schedule'!H:H, SMALL(IF('Bank Schedule'!$K$2:$K$825="Vacant", ROW('Bank Schedule'!$K$2:$K$825)), ROW(111:111))), "")</f>
        <v/>
      </c>
      <c r="I114" s="55" t="str">
        <f t="array" ref="I114">IFERROR(INDEX('Bank Schedule'!I:I, SMALL(IF('Bank Schedule'!$K$2:$K$825="Vacant", ROW('Bank Schedule'!$K$2:$K$825)), ROW(111:111))), "")</f>
        <v/>
      </c>
      <c r="J114" s="11" t="str">
        <f t="array" ref="J114">IFERROR(INDEX('Bank Schedule'!K:K, SMALL(IF('Bank Schedule'!$K$2:$K$825="Vacant", ROW('Bank Schedule'!$K$2:$K$825)), ROW(111:111))), "")</f>
        <v/>
      </c>
      <c r="K114" s="11" t="str">
        <f t="array" ref="K114">IFERROR(INDEX('Bank Schedule'!L:L, SMALL(IF('Bank Schedule'!$K$2:$K$825="Vacant", ROW('Bank Schedule'!$K$2:$K$825)), ROW(111:111))), "")</f>
        <v/>
      </c>
      <c r="L114" s="11" t="str">
        <f t="array" ref="L114">IFERROR(INDEX('Bank Schedule'!M:M, SMALL(IF('Bank Schedule'!$K$2:$K$825="Vacant", ROW('Bank Schedule'!$K$2:$K$825)), ROW(111:111))), "")</f>
        <v/>
      </c>
      <c r="M114" s="106" t="str">
        <f t="array" ref="M114">IFERROR(INDEX('Bank Schedule'!N:N, SMALL(IF('Bank Schedule'!$K$2:$K$825="Vacant", ROW('Bank Schedule'!$K$2:$K$825)), ROW(111:111))), "")</f>
        <v/>
      </c>
      <c r="N114" s="11" t="str">
        <f t="array" ref="N114">IFERROR(INDEX('Bank Schedule'!O:O, SMALL(IF('Bank Schedule'!$K$2:$K$825="Vacant", ROW('Bank Schedule'!$K$2:$K$825)), ROW(111:111))), "")</f>
        <v/>
      </c>
      <c r="O114" s="11" t="str">
        <f t="array" ref="O114">IFERROR(INDEX('Bank Schedule'!P:P, SMALL(IF('Bank Schedule'!$K$2:$K$825="Vacant", ROW('Bank Schedule'!$K$2:$K$825)), ROW(111:111))), "")</f>
        <v/>
      </c>
      <c r="P114" s="11" t="str">
        <f t="array" ref="P114">IFERROR(INDEX('Bank Schedule'!Q:Q, SMALL(IF('Bank Schedule'!$K$2:$K$825="Vacant", ROW('Bank Schedule'!$K$2:$K$825)), ROW(111:111))), "")</f>
        <v/>
      </c>
      <c r="Q114" s="11" t="str">
        <f t="array" ref="Q114">IFERROR(INDEX('Bank Schedule'!R:R, SMALL(IF('Bank Schedule'!$K$2:$K$825="Vacant", ROW('Bank Schedule'!$K$2:$K$825)), ROW(111:111))), "")</f>
        <v/>
      </c>
      <c r="R114" s="11" t="str">
        <f t="array" ref="R114">IFERROR(INDEX('Bank Schedule'!S:S, SMALL(IF('Bank Schedule'!$K$2:$K$825="Vacant", ROW('Bank Schedule'!$K$2:$K$825)), ROW(111:111))), "")</f>
        <v/>
      </c>
      <c r="S114" s="320" t="str">
        <f t="array" ref="S114">IFERROR(INDEX('Bank Schedule'!T:T, SMALL(IF('Bank Schedule'!$K$2:$K$825="Vacant", ROW('Bank Schedule'!$K$2:$K$825)), ROW(111:111))), "")</f>
        <v/>
      </c>
      <c r="T114" s="320" t="str">
        <f t="array" ref="T114">IFERROR(INDEX('Bank Schedule'!U:U, SMALL(IF('Bank Schedule'!$K$2:$K$825="Vacant", ROW('Bank Schedule'!$K$2:$K$825)), ROW(111:111))), "")</f>
        <v/>
      </c>
      <c r="U114" s="320" t="str">
        <f t="array" ref="U114">IFERROR(INDEX('Bank Schedule'!V:V, SMALL(IF('Bank Schedule'!$K$2:$K$825="Vacant", ROW('Bank Schedule'!$K$2:$K$825)), ROW(111:111))), "")</f>
        <v/>
      </c>
      <c r="V114" s="320" t="str">
        <f t="array" ref="V114">IFERROR(INDEX('Bank Schedule'!W:W, SMALL(IF('Bank Schedule'!$K$2:$K$825="Vacant", ROW('Bank Schedule'!$K$2:$K$825)), ROW(111:111))), "")</f>
        <v/>
      </c>
      <c r="W114" s="319" t="str">
        <f t="array" ref="W114">IFERROR(INDEX('Bank Schedule'!X:X, SMALL(IF('Bank Schedule'!$K$2:$K$825="Vacant", ROW('Bank Schedule'!$K$2:$K$825)), ROW(111:111))), "")</f>
        <v/>
      </c>
      <c r="X114" s="11" t="str">
        <f t="array" ref="X114">IFERROR(INDEX('Bank Schedule'!Y:Y, SMALL(IF('Bank Schedule'!$K$2:$K$825="Vacant", ROW('Bank Schedule'!$K$2:$K$825)), ROW(111:111))), "")</f>
        <v/>
      </c>
      <c r="Y114" s="11" t="str">
        <f t="array" ref="Y114">IFERROR(INDEX('Bank Schedule'!Z:Z, SMALL(IF('Bank Schedule'!$K$2:$K$825="Vacant", ROW('Bank Schedule'!$K$2:$K$825)), ROW(111:111))), "")</f>
        <v/>
      </c>
      <c r="Z114" s="11" t="str">
        <f t="array" ref="Z114">IFERROR(INDEX('Bank Schedule'!AA:AA, SMALL(IF('Bank Schedule'!$K$2:$K$825="Vacant", ROW('Bank Schedule'!$K$2:$K$825)), ROW(111:111))), "")</f>
        <v/>
      </c>
      <c r="AA114" s="11" t="str">
        <f t="array" ref="AA114">IFERROR(INDEX('Bank Schedule'!AB:AB, SMALL(IF('Bank Schedule'!$K$2:$K$825="Vacant", ROW('Bank Schedule'!$K$2:$K$825)), ROW(111:111))), "")</f>
        <v/>
      </c>
      <c r="AB114" s="25" t="str">
        <f t="array" ref="AB114">IFERROR(INDEX('Bank Schedule'!AC:AC, SMALL(IF('Bank Schedule'!$K$2:$K$825="Vacant", ROW('Bank Schedule'!$K$2:$K$825)), ROW(111:111))), "")</f>
        <v/>
      </c>
      <c r="AC114" s="299" t="str">
        <f t="array" ref="AC114">IFERROR(INDEX('Bank Schedule'!AD:AD, SMALL(IF('Bank Schedule'!$K$2:$K$825="Vacant", ROW('Bank Schedule'!$K$2:$K$825)), ROW(111:111))), "")</f>
        <v/>
      </c>
      <c r="AD114" s="11" t="str">
        <f t="array" ref="AD114">IFERROR(INDEX('Bank Schedule'!AE:AE, SMALL(IF('Bank Schedule'!$K$2:$K$825="Vacant", ROW('Bank Schedule'!$K$2:$K$825)), ROW(111:111))), "")</f>
        <v/>
      </c>
      <c r="AE114" s="11" t="str">
        <f t="array" ref="AE114">IFERROR(INDEX('Bank Schedule'!AF:AF, SMALL(IF('Bank Schedule'!$K$2:$K$825="Vacant", ROW('Bank Schedule'!$K$2:$K$825)), ROW(111:111))), "")</f>
        <v/>
      </c>
      <c r="AF114" s="11" t="str">
        <f t="array" ref="AF114">IFERROR(INDEX('Bank Schedule'!AG:AG, SMALL(IF('Bank Schedule'!$K$2:$K$825="Vacant", ROW('Bank Schedule'!$K$2:$K$825)), ROW(111:111))), "")</f>
        <v/>
      </c>
      <c r="AG114" s="4"/>
    </row>
    <row r="115" spans="1:33" ht="28.5" hidden="1" customHeight="1">
      <c r="A115" s="2" t="str">
        <f t="array" ref="A115">IFERROR(INDEX('Bank Schedule'!A:A, SMALL(IF('Bank Schedule'!$K$2:$K$825="Vacant", ROW('Bank Schedule'!$K$2:$K$825)), ROW(112:112))), "")</f>
        <v/>
      </c>
      <c r="B115" s="11" t="str">
        <f t="array" ref="B115">IFERROR(INDEX('Bank Schedule'!B:B, SMALL(IF('Bank Schedule'!$K$2:$K$825="Vacant", ROW('Bank Schedule'!$K$2:$K$825)), ROW(112:112))), "")</f>
        <v/>
      </c>
      <c r="C115" s="11" t="str">
        <f t="array" ref="C115">IFERROR(INDEX('Bank Schedule'!C:C, SMALL(IF('Bank Schedule'!$K$2:$K$825="Vacant", ROW('Bank Schedule'!$K$2:$K$825)), ROW(112:112))), "")</f>
        <v/>
      </c>
      <c r="D115" s="11" t="str">
        <f t="array" ref="D115">IFERROR(INDEX('Bank Schedule'!D:D, SMALL(IF('Bank Schedule'!$K$2:$K$825="Vacant", ROW('Bank Schedule'!$K$2:$K$825)), ROW(112:112))), "")</f>
        <v/>
      </c>
      <c r="E115" s="25" t="str">
        <f t="array" ref="E115">IFERROR(INDEX('Bank Schedule'!E:E, SMALL(IF('Bank Schedule'!$K$2:$K$825="Vacant", ROW('Bank Schedule'!$K$2:$K$825)), ROW(112:112))), "")</f>
        <v/>
      </c>
      <c r="F115" s="25" t="str">
        <f t="array" ref="F115">IFERROR(INDEX('Bank Schedule'!F:F, SMALL(IF('Bank Schedule'!$K$2:$K$825="Vacant", ROW('Bank Schedule'!$K$2:$K$825)), ROW(112:112))), "")</f>
        <v/>
      </c>
      <c r="G115" s="25" t="str">
        <f t="array" ref="G115">IFERROR(INDEX('Bank Schedule'!G:G, SMALL(IF('Bank Schedule'!$K$2:$K$825="Vacant", ROW('Bank Schedule'!$K$2:$K$825)), ROW(112:112))), "")</f>
        <v/>
      </c>
      <c r="H115" s="55" t="str">
        <f t="array" ref="H115">IFERROR(INDEX('Bank Schedule'!H:H, SMALL(IF('Bank Schedule'!$K$2:$K$825="Vacant", ROW('Bank Schedule'!$K$2:$K$825)), ROW(112:112))), "")</f>
        <v/>
      </c>
      <c r="I115" s="55" t="str">
        <f t="array" ref="I115">IFERROR(INDEX('Bank Schedule'!I:I, SMALL(IF('Bank Schedule'!$K$2:$K$825="Vacant", ROW('Bank Schedule'!$K$2:$K$825)), ROW(112:112))), "")</f>
        <v/>
      </c>
      <c r="J115" s="11" t="str">
        <f t="array" ref="J115">IFERROR(INDEX('Bank Schedule'!K:K, SMALL(IF('Bank Schedule'!$K$2:$K$825="Vacant", ROW('Bank Schedule'!$K$2:$K$825)), ROW(112:112))), "")</f>
        <v/>
      </c>
      <c r="K115" s="11" t="str">
        <f t="array" ref="K115">IFERROR(INDEX('Bank Schedule'!L:L, SMALL(IF('Bank Schedule'!$K$2:$K$825="Vacant", ROW('Bank Schedule'!$K$2:$K$825)), ROW(112:112))), "")</f>
        <v/>
      </c>
      <c r="L115" s="11" t="str">
        <f t="array" ref="L115">IFERROR(INDEX('Bank Schedule'!M:M, SMALL(IF('Bank Schedule'!$K$2:$K$825="Vacant", ROW('Bank Schedule'!$K$2:$K$825)), ROW(112:112))), "")</f>
        <v/>
      </c>
      <c r="M115" s="106" t="str">
        <f t="array" ref="M115">IFERROR(INDEX('Bank Schedule'!N:N, SMALL(IF('Bank Schedule'!$K$2:$K$825="Vacant", ROW('Bank Schedule'!$K$2:$K$825)), ROW(112:112))), "")</f>
        <v/>
      </c>
      <c r="N115" s="11" t="str">
        <f t="array" ref="N115">IFERROR(INDEX('Bank Schedule'!O:O, SMALL(IF('Bank Schedule'!$K$2:$K$825="Vacant", ROW('Bank Schedule'!$K$2:$K$825)), ROW(112:112))), "")</f>
        <v/>
      </c>
      <c r="O115" s="11" t="str">
        <f t="array" ref="O115">IFERROR(INDEX('Bank Schedule'!P:P, SMALL(IF('Bank Schedule'!$K$2:$K$825="Vacant", ROW('Bank Schedule'!$K$2:$K$825)), ROW(112:112))), "")</f>
        <v/>
      </c>
      <c r="P115" s="11" t="str">
        <f t="array" ref="P115">IFERROR(INDEX('Bank Schedule'!Q:Q, SMALL(IF('Bank Schedule'!$K$2:$K$825="Vacant", ROW('Bank Schedule'!$K$2:$K$825)), ROW(112:112))), "")</f>
        <v/>
      </c>
      <c r="Q115" s="11" t="str">
        <f t="array" ref="Q115">IFERROR(INDEX('Bank Schedule'!R:R, SMALL(IF('Bank Schedule'!$K$2:$K$825="Vacant", ROW('Bank Schedule'!$K$2:$K$825)), ROW(112:112))), "")</f>
        <v/>
      </c>
      <c r="R115" s="11" t="str">
        <f t="array" ref="R115">IFERROR(INDEX('Bank Schedule'!S:S, SMALL(IF('Bank Schedule'!$K$2:$K$825="Vacant", ROW('Bank Schedule'!$K$2:$K$825)), ROW(112:112))), "")</f>
        <v/>
      </c>
      <c r="S115" s="320" t="str">
        <f t="array" ref="S115">IFERROR(INDEX('Bank Schedule'!T:T, SMALL(IF('Bank Schedule'!$K$2:$K$825="Vacant", ROW('Bank Schedule'!$K$2:$K$825)), ROW(112:112))), "")</f>
        <v/>
      </c>
      <c r="T115" s="320" t="str">
        <f t="array" ref="T115">IFERROR(INDEX('Bank Schedule'!U:U, SMALL(IF('Bank Schedule'!$K$2:$K$825="Vacant", ROW('Bank Schedule'!$K$2:$K$825)), ROW(112:112))), "")</f>
        <v/>
      </c>
      <c r="U115" s="320" t="str">
        <f t="array" ref="U115">IFERROR(INDEX('Bank Schedule'!V:V, SMALL(IF('Bank Schedule'!$K$2:$K$825="Vacant", ROW('Bank Schedule'!$K$2:$K$825)), ROW(112:112))), "")</f>
        <v/>
      </c>
      <c r="V115" s="320" t="str">
        <f t="array" ref="V115">IFERROR(INDEX('Bank Schedule'!W:W, SMALL(IF('Bank Schedule'!$K$2:$K$825="Vacant", ROW('Bank Schedule'!$K$2:$K$825)), ROW(112:112))), "")</f>
        <v/>
      </c>
      <c r="W115" s="319" t="str">
        <f t="array" ref="W115">IFERROR(INDEX('Bank Schedule'!X:X, SMALL(IF('Bank Schedule'!$K$2:$K$825="Vacant", ROW('Bank Schedule'!$K$2:$K$825)), ROW(112:112))), "")</f>
        <v/>
      </c>
      <c r="X115" s="11" t="str">
        <f t="array" ref="X115">IFERROR(INDEX('Bank Schedule'!Y:Y, SMALL(IF('Bank Schedule'!$K$2:$K$825="Vacant", ROW('Bank Schedule'!$K$2:$K$825)), ROW(112:112))), "")</f>
        <v/>
      </c>
      <c r="Y115" s="11" t="str">
        <f t="array" ref="Y115">IFERROR(INDEX('Bank Schedule'!Z:Z, SMALL(IF('Bank Schedule'!$K$2:$K$825="Vacant", ROW('Bank Schedule'!$K$2:$K$825)), ROW(112:112))), "")</f>
        <v/>
      </c>
      <c r="Z115" s="11" t="str">
        <f t="array" ref="Z115">IFERROR(INDEX('Bank Schedule'!AA:AA, SMALL(IF('Bank Schedule'!$K$2:$K$825="Vacant", ROW('Bank Schedule'!$K$2:$K$825)), ROW(112:112))), "")</f>
        <v/>
      </c>
      <c r="AA115" s="11" t="str">
        <f t="array" ref="AA115">IFERROR(INDEX('Bank Schedule'!AB:AB, SMALL(IF('Bank Schedule'!$K$2:$K$825="Vacant", ROW('Bank Schedule'!$K$2:$K$825)), ROW(112:112))), "")</f>
        <v/>
      </c>
      <c r="AB115" s="25" t="str">
        <f t="array" ref="AB115">IFERROR(INDEX('Bank Schedule'!AC:AC, SMALL(IF('Bank Schedule'!$K$2:$K$825="Vacant", ROW('Bank Schedule'!$K$2:$K$825)), ROW(112:112))), "")</f>
        <v/>
      </c>
      <c r="AC115" s="299" t="str">
        <f t="array" ref="AC115">IFERROR(INDEX('Bank Schedule'!AD:AD, SMALL(IF('Bank Schedule'!$K$2:$K$825="Vacant", ROW('Bank Schedule'!$K$2:$K$825)), ROW(112:112))), "")</f>
        <v/>
      </c>
      <c r="AD115" s="11" t="str">
        <f t="array" ref="AD115">IFERROR(INDEX('Bank Schedule'!AE:AE, SMALL(IF('Bank Schedule'!$K$2:$K$825="Vacant", ROW('Bank Schedule'!$K$2:$K$825)), ROW(112:112))), "")</f>
        <v/>
      </c>
      <c r="AE115" s="11" t="str">
        <f t="array" ref="AE115">IFERROR(INDEX('Bank Schedule'!AF:AF, SMALL(IF('Bank Schedule'!$K$2:$K$825="Vacant", ROW('Bank Schedule'!$K$2:$K$825)), ROW(112:112))), "")</f>
        <v/>
      </c>
      <c r="AF115" s="11" t="str">
        <f t="array" ref="AF115">IFERROR(INDEX('Bank Schedule'!AG:AG, SMALL(IF('Bank Schedule'!$K$2:$K$825="Vacant", ROW('Bank Schedule'!$K$2:$K$825)), ROW(112:112))), "")</f>
        <v/>
      </c>
      <c r="AG115" s="4"/>
    </row>
    <row r="116" spans="1:33" ht="28.5" hidden="1" customHeight="1">
      <c r="A116" s="2" t="str">
        <f t="array" ref="A116">IFERROR(INDEX('Bank Schedule'!A:A, SMALL(IF('Bank Schedule'!$K$2:$K$825="Vacant", ROW('Bank Schedule'!$K$2:$K$825)), ROW(113:113))), "")</f>
        <v/>
      </c>
      <c r="B116" s="11" t="str">
        <f t="array" ref="B116">IFERROR(INDEX('Bank Schedule'!B:B, SMALL(IF('Bank Schedule'!$K$2:$K$825="Vacant", ROW('Bank Schedule'!$K$2:$K$825)), ROW(113:113))), "")</f>
        <v/>
      </c>
      <c r="C116" s="11" t="str">
        <f t="array" ref="C116">IFERROR(INDEX('Bank Schedule'!C:C, SMALL(IF('Bank Schedule'!$K$2:$K$825="Vacant", ROW('Bank Schedule'!$K$2:$K$825)), ROW(113:113))), "")</f>
        <v/>
      </c>
      <c r="D116" s="11" t="str">
        <f t="array" ref="D116">IFERROR(INDEX('Bank Schedule'!D:D, SMALL(IF('Bank Schedule'!$K$2:$K$825="Vacant", ROW('Bank Schedule'!$K$2:$K$825)), ROW(113:113))), "")</f>
        <v/>
      </c>
      <c r="E116" s="25" t="str">
        <f t="array" ref="E116">IFERROR(INDEX('Bank Schedule'!E:E, SMALL(IF('Bank Schedule'!$K$2:$K$825="Vacant", ROW('Bank Schedule'!$K$2:$K$825)), ROW(113:113))), "")</f>
        <v/>
      </c>
      <c r="F116" s="25" t="str">
        <f t="array" ref="F116">IFERROR(INDEX('Bank Schedule'!F:F, SMALL(IF('Bank Schedule'!$K$2:$K$825="Vacant", ROW('Bank Schedule'!$K$2:$K$825)), ROW(113:113))), "")</f>
        <v/>
      </c>
      <c r="G116" s="25" t="str">
        <f t="array" ref="G116">IFERROR(INDEX('Bank Schedule'!G:G, SMALL(IF('Bank Schedule'!$K$2:$K$825="Vacant", ROW('Bank Schedule'!$K$2:$K$825)), ROW(113:113))), "")</f>
        <v/>
      </c>
      <c r="H116" s="55" t="str">
        <f t="array" ref="H116">IFERROR(INDEX('Bank Schedule'!H:H, SMALL(IF('Bank Schedule'!$K$2:$K$825="Vacant", ROW('Bank Schedule'!$K$2:$K$825)), ROW(113:113))), "")</f>
        <v/>
      </c>
      <c r="I116" s="55" t="str">
        <f t="array" ref="I116">IFERROR(INDEX('Bank Schedule'!I:I, SMALL(IF('Bank Schedule'!$K$2:$K$825="Vacant", ROW('Bank Schedule'!$K$2:$K$825)), ROW(113:113))), "")</f>
        <v/>
      </c>
      <c r="J116" s="11" t="str">
        <f t="array" ref="J116">IFERROR(INDEX('Bank Schedule'!K:K, SMALL(IF('Bank Schedule'!$K$2:$K$825="Vacant", ROW('Bank Schedule'!$K$2:$K$825)), ROW(113:113))), "")</f>
        <v/>
      </c>
      <c r="K116" s="11" t="str">
        <f t="array" ref="K116">IFERROR(INDEX('Bank Schedule'!L:L, SMALL(IF('Bank Schedule'!$K$2:$K$825="Vacant", ROW('Bank Schedule'!$K$2:$K$825)), ROW(113:113))), "")</f>
        <v/>
      </c>
      <c r="L116" s="11" t="str">
        <f t="array" ref="L116">IFERROR(INDEX('Bank Schedule'!M:M, SMALL(IF('Bank Schedule'!$K$2:$K$825="Vacant", ROW('Bank Schedule'!$K$2:$K$825)), ROW(113:113))), "")</f>
        <v/>
      </c>
      <c r="M116" s="106" t="str">
        <f t="array" ref="M116">IFERROR(INDEX('Bank Schedule'!N:N, SMALL(IF('Bank Schedule'!$K$2:$K$825="Vacant", ROW('Bank Schedule'!$K$2:$K$825)), ROW(113:113))), "")</f>
        <v/>
      </c>
      <c r="N116" s="11" t="str">
        <f t="array" ref="N116">IFERROR(INDEX('Bank Schedule'!O:O, SMALL(IF('Bank Schedule'!$K$2:$K$825="Vacant", ROW('Bank Schedule'!$K$2:$K$825)), ROW(113:113))), "")</f>
        <v/>
      </c>
      <c r="O116" s="11" t="str">
        <f t="array" ref="O116">IFERROR(INDEX('Bank Schedule'!P:P, SMALL(IF('Bank Schedule'!$K$2:$K$825="Vacant", ROW('Bank Schedule'!$K$2:$K$825)), ROW(113:113))), "")</f>
        <v/>
      </c>
      <c r="P116" s="11" t="str">
        <f t="array" ref="P116">IFERROR(INDEX('Bank Schedule'!Q:Q, SMALL(IF('Bank Schedule'!$K$2:$K$825="Vacant", ROW('Bank Schedule'!$K$2:$K$825)), ROW(113:113))), "")</f>
        <v/>
      </c>
      <c r="Q116" s="11" t="str">
        <f t="array" ref="Q116">IFERROR(INDEX('Bank Schedule'!R:R, SMALL(IF('Bank Schedule'!$K$2:$K$825="Vacant", ROW('Bank Schedule'!$K$2:$K$825)), ROW(113:113))), "")</f>
        <v/>
      </c>
      <c r="R116" s="11" t="str">
        <f t="array" ref="R116">IFERROR(INDEX('Bank Schedule'!S:S, SMALL(IF('Bank Schedule'!$K$2:$K$825="Vacant", ROW('Bank Schedule'!$K$2:$K$825)), ROW(113:113))), "")</f>
        <v/>
      </c>
      <c r="S116" s="320" t="str">
        <f t="array" ref="S116">IFERROR(INDEX('Bank Schedule'!T:T, SMALL(IF('Bank Schedule'!$K$2:$K$825="Vacant", ROW('Bank Schedule'!$K$2:$K$825)), ROW(113:113))), "")</f>
        <v/>
      </c>
      <c r="T116" s="320" t="str">
        <f t="array" ref="T116">IFERROR(INDEX('Bank Schedule'!U:U, SMALL(IF('Bank Schedule'!$K$2:$K$825="Vacant", ROW('Bank Schedule'!$K$2:$K$825)), ROW(113:113))), "")</f>
        <v/>
      </c>
      <c r="U116" s="320" t="str">
        <f t="array" ref="U116">IFERROR(INDEX('Bank Schedule'!V:V, SMALL(IF('Bank Schedule'!$K$2:$K$825="Vacant", ROW('Bank Schedule'!$K$2:$K$825)), ROW(113:113))), "")</f>
        <v/>
      </c>
      <c r="V116" s="320" t="str">
        <f t="array" ref="V116">IFERROR(INDEX('Bank Schedule'!W:W, SMALL(IF('Bank Schedule'!$K$2:$K$825="Vacant", ROW('Bank Schedule'!$K$2:$K$825)), ROW(113:113))), "")</f>
        <v/>
      </c>
      <c r="W116" s="319" t="str">
        <f t="array" ref="W116">IFERROR(INDEX('Bank Schedule'!X:X, SMALL(IF('Bank Schedule'!$K$2:$K$825="Vacant", ROW('Bank Schedule'!$K$2:$K$825)), ROW(113:113))), "")</f>
        <v/>
      </c>
      <c r="X116" s="11" t="str">
        <f t="array" ref="X116">IFERROR(INDEX('Bank Schedule'!Y:Y, SMALL(IF('Bank Schedule'!$K$2:$K$825="Vacant", ROW('Bank Schedule'!$K$2:$K$825)), ROW(113:113))), "")</f>
        <v/>
      </c>
      <c r="Y116" s="11" t="str">
        <f t="array" ref="Y116">IFERROR(INDEX('Bank Schedule'!Z:Z, SMALL(IF('Bank Schedule'!$K$2:$K$825="Vacant", ROW('Bank Schedule'!$K$2:$K$825)), ROW(113:113))), "")</f>
        <v/>
      </c>
      <c r="Z116" s="11" t="str">
        <f t="array" ref="Z116">IFERROR(INDEX('Bank Schedule'!AA:AA, SMALL(IF('Bank Schedule'!$K$2:$K$825="Vacant", ROW('Bank Schedule'!$K$2:$K$825)), ROW(113:113))), "")</f>
        <v/>
      </c>
      <c r="AA116" s="11" t="str">
        <f t="array" ref="AA116">IFERROR(INDEX('Bank Schedule'!AB:AB, SMALL(IF('Bank Schedule'!$K$2:$K$825="Vacant", ROW('Bank Schedule'!$K$2:$K$825)), ROW(113:113))), "")</f>
        <v/>
      </c>
      <c r="AB116" s="25" t="str">
        <f t="array" ref="AB116">IFERROR(INDEX('Bank Schedule'!AC:AC, SMALL(IF('Bank Schedule'!$K$2:$K$825="Vacant", ROW('Bank Schedule'!$K$2:$K$825)), ROW(113:113))), "")</f>
        <v/>
      </c>
      <c r="AC116" s="299" t="str">
        <f t="array" ref="AC116">IFERROR(INDEX('Bank Schedule'!AD:AD, SMALL(IF('Bank Schedule'!$K$2:$K$825="Vacant", ROW('Bank Schedule'!$K$2:$K$825)), ROW(113:113))), "")</f>
        <v/>
      </c>
      <c r="AD116" s="11" t="str">
        <f t="array" ref="AD116">IFERROR(INDEX('Bank Schedule'!AE:AE, SMALL(IF('Bank Schedule'!$K$2:$K$825="Vacant", ROW('Bank Schedule'!$K$2:$K$825)), ROW(113:113))), "")</f>
        <v/>
      </c>
      <c r="AE116" s="11" t="str">
        <f t="array" ref="AE116">IFERROR(INDEX('Bank Schedule'!AF:AF, SMALL(IF('Bank Schedule'!$K$2:$K$825="Vacant", ROW('Bank Schedule'!$K$2:$K$825)), ROW(113:113))), "")</f>
        <v/>
      </c>
      <c r="AF116" s="11" t="str">
        <f t="array" ref="AF116">IFERROR(INDEX('Bank Schedule'!AG:AG, SMALL(IF('Bank Schedule'!$K$2:$K$825="Vacant", ROW('Bank Schedule'!$K$2:$K$825)), ROW(113:113))), "")</f>
        <v/>
      </c>
      <c r="AG116" s="4"/>
    </row>
    <row r="117" spans="1:33" ht="28.5" hidden="1" customHeight="1">
      <c r="A117" s="2" t="str">
        <f t="array" ref="A117">IFERROR(INDEX('Bank Schedule'!A:A, SMALL(IF('Bank Schedule'!$K$2:$K$825="Vacant", ROW('Bank Schedule'!$K$2:$K$825)), ROW(114:114))), "")</f>
        <v/>
      </c>
      <c r="B117" s="11" t="str">
        <f t="array" ref="B117">IFERROR(INDEX('Bank Schedule'!B:B, SMALL(IF('Bank Schedule'!$K$2:$K$825="Vacant", ROW('Bank Schedule'!$K$2:$K$825)), ROW(114:114))), "")</f>
        <v/>
      </c>
      <c r="C117" s="11" t="str">
        <f t="array" ref="C117">IFERROR(INDEX('Bank Schedule'!C:C, SMALL(IF('Bank Schedule'!$K$2:$K$825="Vacant", ROW('Bank Schedule'!$K$2:$K$825)), ROW(114:114))), "")</f>
        <v/>
      </c>
      <c r="D117" s="11" t="str">
        <f t="array" ref="D117">IFERROR(INDEX('Bank Schedule'!D:D, SMALL(IF('Bank Schedule'!$K$2:$K$825="Vacant", ROW('Bank Schedule'!$K$2:$K$825)), ROW(114:114))), "")</f>
        <v/>
      </c>
      <c r="E117" s="25" t="str">
        <f t="array" ref="E117">IFERROR(INDEX('Bank Schedule'!E:E, SMALL(IF('Bank Schedule'!$K$2:$K$825="Vacant", ROW('Bank Schedule'!$K$2:$K$825)), ROW(114:114))), "")</f>
        <v/>
      </c>
      <c r="F117" s="25" t="str">
        <f t="array" ref="F117">IFERROR(INDEX('Bank Schedule'!F:F, SMALL(IF('Bank Schedule'!$K$2:$K$825="Vacant", ROW('Bank Schedule'!$K$2:$K$825)), ROW(114:114))), "")</f>
        <v/>
      </c>
      <c r="G117" s="25" t="str">
        <f t="array" ref="G117">IFERROR(INDEX('Bank Schedule'!G:G, SMALL(IF('Bank Schedule'!$K$2:$K$825="Vacant", ROW('Bank Schedule'!$K$2:$K$825)), ROW(114:114))), "")</f>
        <v/>
      </c>
      <c r="H117" s="55" t="str">
        <f t="array" ref="H117">IFERROR(INDEX('Bank Schedule'!H:H, SMALL(IF('Bank Schedule'!$K$2:$K$825="Vacant", ROW('Bank Schedule'!$K$2:$K$825)), ROW(114:114))), "")</f>
        <v/>
      </c>
      <c r="I117" s="55" t="str">
        <f t="array" ref="I117">IFERROR(INDEX('Bank Schedule'!I:I, SMALL(IF('Bank Schedule'!$K$2:$K$825="Vacant", ROW('Bank Schedule'!$K$2:$K$825)), ROW(114:114))), "")</f>
        <v/>
      </c>
      <c r="J117" s="11" t="str">
        <f t="array" ref="J117">IFERROR(INDEX('Bank Schedule'!K:K, SMALL(IF('Bank Schedule'!$K$2:$K$825="Vacant", ROW('Bank Schedule'!$K$2:$K$825)), ROW(114:114))), "")</f>
        <v/>
      </c>
      <c r="K117" s="11" t="str">
        <f t="array" ref="K117">IFERROR(INDEX('Bank Schedule'!L:L, SMALL(IF('Bank Schedule'!$K$2:$K$825="Vacant", ROW('Bank Schedule'!$K$2:$K$825)), ROW(114:114))), "")</f>
        <v/>
      </c>
      <c r="L117" s="11" t="str">
        <f t="array" ref="L117">IFERROR(INDEX('Bank Schedule'!M:M, SMALL(IF('Bank Schedule'!$K$2:$K$825="Vacant", ROW('Bank Schedule'!$K$2:$K$825)), ROW(114:114))), "")</f>
        <v/>
      </c>
      <c r="M117" s="106" t="str">
        <f t="array" ref="M117">IFERROR(INDEX('Bank Schedule'!N:N, SMALL(IF('Bank Schedule'!$K$2:$K$825="Vacant", ROW('Bank Schedule'!$K$2:$K$825)), ROW(114:114))), "")</f>
        <v/>
      </c>
      <c r="N117" s="11" t="str">
        <f t="array" ref="N117">IFERROR(INDEX('Bank Schedule'!O:O, SMALL(IF('Bank Schedule'!$K$2:$K$825="Vacant", ROW('Bank Schedule'!$K$2:$K$825)), ROW(114:114))), "")</f>
        <v/>
      </c>
      <c r="O117" s="11" t="str">
        <f t="array" ref="O117">IFERROR(INDEX('Bank Schedule'!P:P, SMALL(IF('Bank Schedule'!$K$2:$K$825="Vacant", ROW('Bank Schedule'!$K$2:$K$825)), ROW(114:114))), "")</f>
        <v/>
      </c>
      <c r="P117" s="11" t="str">
        <f t="array" ref="P117">IFERROR(INDEX('Bank Schedule'!Q:Q, SMALL(IF('Bank Schedule'!$K$2:$K$825="Vacant", ROW('Bank Schedule'!$K$2:$K$825)), ROW(114:114))), "")</f>
        <v/>
      </c>
      <c r="Q117" s="11" t="str">
        <f t="array" ref="Q117">IFERROR(INDEX('Bank Schedule'!R:R, SMALL(IF('Bank Schedule'!$K$2:$K$825="Vacant", ROW('Bank Schedule'!$K$2:$K$825)), ROW(114:114))), "")</f>
        <v/>
      </c>
      <c r="R117" s="11" t="str">
        <f t="array" ref="R117">IFERROR(INDEX('Bank Schedule'!S:S, SMALL(IF('Bank Schedule'!$K$2:$K$825="Vacant", ROW('Bank Schedule'!$K$2:$K$825)), ROW(114:114))), "")</f>
        <v/>
      </c>
      <c r="S117" s="320" t="str">
        <f t="array" ref="S117">IFERROR(INDEX('Bank Schedule'!T:T, SMALL(IF('Bank Schedule'!$K$2:$K$825="Vacant", ROW('Bank Schedule'!$K$2:$K$825)), ROW(114:114))), "")</f>
        <v/>
      </c>
      <c r="T117" s="320" t="str">
        <f t="array" ref="T117">IFERROR(INDEX('Bank Schedule'!U:U, SMALL(IF('Bank Schedule'!$K$2:$K$825="Vacant", ROW('Bank Schedule'!$K$2:$K$825)), ROW(114:114))), "")</f>
        <v/>
      </c>
      <c r="U117" s="320" t="str">
        <f t="array" ref="U117">IFERROR(INDEX('Bank Schedule'!V:V, SMALL(IF('Bank Schedule'!$K$2:$K$825="Vacant", ROW('Bank Schedule'!$K$2:$K$825)), ROW(114:114))), "")</f>
        <v/>
      </c>
      <c r="V117" s="320" t="str">
        <f t="array" ref="V117">IFERROR(INDEX('Bank Schedule'!W:W, SMALL(IF('Bank Schedule'!$K$2:$K$825="Vacant", ROW('Bank Schedule'!$K$2:$K$825)), ROW(114:114))), "")</f>
        <v/>
      </c>
      <c r="W117" s="319" t="str">
        <f t="array" ref="W117">IFERROR(INDEX('Bank Schedule'!X:X, SMALL(IF('Bank Schedule'!$K$2:$K$825="Vacant", ROW('Bank Schedule'!$K$2:$K$825)), ROW(114:114))), "")</f>
        <v/>
      </c>
      <c r="X117" s="11" t="str">
        <f t="array" ref="X117">IFERROR(INDEX('Bank Schedule'!Y:Y, SMALL(IF('Bank Schedule'!$K$2:$K$825="Vacant", ROW('Bank Schedule'!$K$2:$K$825)), ROW(114:114))), "")</f>
        <v/>
      </c>
      <c r="Y117" s="11" t="str">
        <f t="array" ref="Y117">IFERROR(INDEX('Bank Schedule'!Z:Z, SMALL(IF('Bank Schedule'!$K$2:$K$825="Vacant", ROW('Bank Schedule'!$K$2:$K$825)), ROW(114:114))), "")</f>
        <v/>
      </c>
      <c r="Z117" s="11" t="str">
        <f t="array" ref="Z117">IFERROR(INDEX('Bank Schedule'!AA:AA, SMALL(IF('Bank Schedule'!$K$2:$K$825="Vacant", ROW('Bank Schedule'!$K$2:$K$825)), ROW(114:114))), "")</f>
        <v/>
      </c>
      <c r="AA117" s="11" t="str">
        <f t="array" ref="AA117">IFERROR(INDEX('Bank Schedule'!AB:AB, SMALL(IF('Bank Schedule'!$K$2:$K$825="Vacant", ROW('Bank Schedule'!$K$2:$K$825)), ROW(114:114))), "")</f>
        <v/>
      </c>
      <c r="AB117" s="25" t="str">
        <f t="array" ref="AB117">IFERROR(INDEX('Bank Schedule'!AC:AC, SMALL(IF('Bank Schedule'!$K$2:$K$825="Vacant", ROW('Bank Schedule'!$K$2:$K$825)), ROW(114:114))), "")</f>
        <v/>
      </c>
      <c r="AC117" s="299" t="str">
        <f t="array" ref="AC117">IFERROR(INDEX('Bank Schedule'!AD:AD, SMALL(IF('Bank Schedule'!$K$2:$K$825="Vacant", ROW('Bank Schedule'!$K$2:$K$825)), ROW(114:114))), "")</f>
        <v/>
      </c>
      <c r="AD117" s="11" t="str">
        <f t="array" ref="AD117">IFERROR(INDEX('Bank Schedule'!AE:AE, SMALL(IF('Bank Schedule'!$K$2:$K$825="Vacant", ROW('Bank Schedule'!$K$2:$K$825)), ROW(114:114))), "")</f>
        <v/>
      </c>
      <c r="AE117" s="11" t="str">
        <f t="array" ref="AE117">IFERROR(INDEX('Bank Schedule'!AF:AF, SMALL(IF('Bank Schedule'!$K$2:$K$825="Vacant", ROW('Bank Schedule'!$K$2:$K$825)), ROW(114:114))), "")</f>
        <v/>
      </c>
      <c r="AF117" s="11" t="str">
        <f t="array" ref="AF117">IFERROR(INDEX('Bank Schedule'!AG:AG, SMALL(IF('Bank Schedule'!$K$2:$K$825="Vacant", ROW('Bank Schedule'!$K$2:$K$825)), ROW(114:114))), "")</f>
        <v/>
      </c>
      <c r="AG117" s="4"/>
    </row>
    <row r="118" spans="1:33" ht="28.5" hidden="1" customHeight="1">
      <c r="A118" s="2" t="str">
        <f t="array" ref="A118">IFERROR(INDEX('Bank Schedule'!A:A, SMALL(IF('Bank Schedule'!$K$2:$K$825="Vacant", ROW('Bank Schedule'!$K$2:$K$825)), ROW(115:115))), "")</f>
        <v/>
      </c>
      <c r="B118" s="11" t="str">
        <f t="array" ref="B118">IFERROR(INDEX('Bank Schedule'!B:B, SMALL(IF('Bank Schedule'!$K$2:$K$825="Vacant", ROW('Bank Schedule'!$K$2:$K$825)), ROW(115:115))), "")</f>
        <v/>
      </c>
      <c r="C118" s="11" t="str">
        <f t="array" ref="C118">IFERROR(INDEX('Bank Schedule'!C:C, SMALL(IF('Bank Schedule'!$K$2:$K$825="Vacant", ROW('Bank Schedule'!$K$2:$K$825)), ROW(115:115))), "")</f>
        <v/>
      </c>
      <c r="D118" s="11" t="str">
        <f t="array" ref="D118">IFERROR(INDEX('Bank Schedule'!D:D, SMALL(IF('Bank Schedule'!$K$2:$K$825="Vacant", ROW('Bank Schedule'!$K$2:$K$825)), ROW(115:115))), "")</f>
        <v/>
      </c>
      <c r="E118" s="25" t="str">
        <f t="array" ref="E118">IFERROR(INDEX('Bank Schedule'!E:E, SMALL(IF('Bank Schedule'!$K$2:$K$825="Vacant", ROW('Bank Schedule'!$K$2:$K$825)), ROW(115:115))), "")</f>
        <v/>
      </c>
      <c r="F118" s="25" t="str">
        <f t="array" ref="F118">IFERROR(INDEX('Bank Schedule'!F:F, SMALL(IF('Bank Schedule'!$K$2:$K$825="Vacant", ROW('Bank Schedule'!$K$2:$K$825)), ROW(115:115))), "")</f>
        <v/>
      </c>
      <c r="G118" s="25" t="str">
        <f t="array" ref="G118">IFERROR(INDEX('Bank Schedule'!G:G, SMALL(IF('Bank Schedule'!$K$2:$K$825="Vacant", ROW('Bank Schedule'!$K$2:$K$825)), ROW(115:115))), "")</f>
        <v/>
      </c>
      <c r="H118" s="55" t="str">
        <f t="array" ref="H118">IFERROR(INDEX('Bank Schedule'!H:H, SMALL(IF('Bank Schedule'!$K$2:$K$825="Vacant", ROW('Bank Schedule'!$K$2:$K$825)), ROW(115:115))), "")</f>
        <v/>
      </c>
      <c r="I118" s="55" t="str">
        <f t="array" ref="I118">IFERROR(INDEX('Bank Schedule'!I:I, SMALL(IF('Bank Schedule'!$K$2:$K$825="Vacant", ROW('Bank Schedule'!$K$2:$K$825)), ROW(115:115))), "")</f>
        <v/>
      </c>
      <c r="J118" s="11" t="str">
        <f t="array" ref="J118">IFERROR(INDEX('Bank Schedule'!K:K, SMALL(IF('Bank Schedule'!$K$2:$K$825="Vacant", ROW('Bank Schedule'!$K$2:$K$825)), ROW(115:115))), "")</f>
        <v/>
      </c>
      <c r="K118" s="11" t="str">
        <f t="array" ref="K118">IFERROR(INDEX('Bank Schedule'!L:L, SMALL(IF('Bank Schedule'!$K$2:$K$825="Vacant", ROW('Bank Schedule'!$K$2:$K$825)), ROW(115:115))), "")</f>
        <v/>
      </c>
      <c r="L118" s="11" t="str">
        <f t="array" ref="L118">IFERROR(INDEX('Bank Schedule'!M:M, SMALL(IF('Bank Schedule'!$K$2:$K$825="Vacant", ROW('Bank Schedule'!$K$2:$K$825)), ROW(115:115))), "")</f>
        <v/>
      </c>
      <c r="M118" s="106" t="str">
        <f t="array" ref="M118">IFERROR(INDEX('Bank Schedule'!N:N, SMALL(IF('Bank Schedule'!$K$2:$K$825="Vacant", ROW('Bank Schedule'!$K$2:$K$825)), ROW(115:115))), "")</f>
        <v/>
      </c>
      <c r="N118" s="11" t="str">
        <f t="array" ref="N118">IFERROR(INDEX('Bank Schedule'!O:O, SMALL(IF('Bank Schedule'!$K$2:$K$825="Vacant", ROW('Bank Schedule'!$K$2:$K$825)), ROW(115:115))), "")</f>
        <v/>
      </c>
      <c r="O118" s="11" t="str">
        <f t="array" ref="O118">IFERROR(INDEX('Bank Schedule'!P:P, SMALL(IF('Bank Schedule'!$K$2:$K$825="Vacant", ROW('Bank Schedule'!$K$2:$K$825)), ROW(115:115))), "")</f>
        <v/>
      </c>
      <c r="P118" s="11" t="str">
        <f t="array" ref="P118">IFERROR(INDEX('Bank Schedule'!Q:Q, SMALL(IF('Bank Schedule'!$K$2:$K$825="Vacant", ROW('Bank Schedule'!$K$2:$K$825)), ROW(115:115))), "")</f>
        <v/>
      </c>
      <c r="Q118" s="11" t="str">
        <f t="array" ref="Q118">IFERROR(INDEX('Bank Schedule'!R:R, SMALL(IF('Bank Schedule'!$K$2:$K$825="Vacant", ROW('Bank Schedule'!$K$2:$K$825)), ROW(115:115))), "")</f>
        <v/>
      </c>
      <c r="R118" s="11" t="str">
        <f t="array" ref="R118">IFERROR(INDEX('Bank Schedule'!S:S, SMALL(IF('Bank Schedule'!$K$2:$K$825="Vacant", ROW('Bank Schedule'!$K$2:$K$825)), ROW(115:115))), "")</f>
        <v/>
      </c>
      <c r="S118" s="320" t="str">
        <f t="array" ref="S118">IFERROR(INDEX('Bank Schedule'!T:T, SMALL(IF('Bank Schedule'!$K$2:$K$825="Vacant", ROW('Bank Schedule'!$K$2:$K$825)), ROW(115:115))), "")</f>
        <v/>
      </c>
      <c r="T118" s="320" t="str">
        <f t="array" ref="T118">IFERROR(INDEX('Bank Schedule'!U:U, SMALL(IF('Bank Schedule'!$K$2:$K$825="Vacant", ROW('Bank Schedule'!$K$2:$K$825)), ROW(115:115))), "")</f>
        <v/>
      </c>
      <c r="U118" s="320" t="str">
        <f t="array" ref="U118">IFERROR(INDEX('Bank Schedule'!V:V, SMALL(IF('Bank Schedule'!$K$2:$K$825="Vacant", ROW('Bank Schedule'!$K$2:$K$825)), ROW(115:115))), "")</f>
        <v/>
      </c>
      <c r="V118" s="320" t="str">
        <f t="array" ref="V118">IFERROR(INDEX('Bank Schedule'!W:W, SMALL(IF('Bank Schedule'!$K$2:$K$825="Vacant", ROW('Bank Schedule'!$K$2:$K$825)), ROW(115:115))), "")</f>
        <v/>
      </c>
      <c r="W118" s="319" t="str">
        <f t="array" ref="W118">IFERROR(INDEX('Bank Schedule'!X:X, SMALL(IF('Bank Schedule'!$K$2:$K$825="Vacant", ROW('Bank Schedule'!$K$2:$K$825)), ROW(115:115))), "")</f>
        <v/>
      </c>
      <c r="X118" s="11" t="str">
        <f t="array" ref="X118">IFERROR(INDEX('Bank Schedule'!Y:Y, SMALL(IF('Bank Schedule'!$K$2:$K$825="Vacant", ROW('Bank Schedule'!$K$2:$K$825)), ROW(115:115))), "")</f>
        <v/>
      </c>
      <c r="Y118" s="11" t="str">
        <f t="array" ref="Y118">IFERROR(INDEX('Bank Schedule'!Z:Z, SMALL(IF('Bank Schedule'!$K$2:$K$825="Vacant", ROW('Bank Schedule'!$K$2:$K$825)), ROW(115:115))), "")</f>
        <v/>
      </c>
      <c r="Z118" s="11" t="str">
        <f t="array" ref="Z118">IFERROR(INDEX('Bank Schedule'!AA:AA, SMALL(IF('Bank Schedule'!$K$2:$K$825="Vacant", ROW('Bank Schedule'!$K$2:$K$825)), ROW(115:115))), "")</f>
        <v/>
      </c>
      <c r="AA118" s="11" t="str">
        <f t="array" ref="AA118">IFERROR(INDEX('Bank Schedule'!AB:AB, SMALL(IF('Bank Schedule'!$K$2:$K$825="Vacant", ROW('Bank Schedule'!$K$2:$K$825)), ROW(115:115))), "")</f>
        <v/>
      </c>
      <c r="AB118" s="25" t="str">
        <f t="array" ref="AB118">IFERROR(INDEX('Bank Schedule'!AC:AC, SMALL(IF('Bank Schedule'!$K$2:$K$825="Vacant", ROW('Bank Schedule'!$K$2:$K$825)), ROW(115:115))), "")</f>
        <v/>
      </c>
      <c r="AC118" s="299" t="str">
        <f t="array" ref="AC118">IFERROR(INDEX('Bank Schedule'!AD:AD, SMALL(IF('Bank Schedule'!$K$2:$K$825="Vacant", ROW('Bank Schedule'!$K$2:$K$825)), ROW(115:115))), "")</f>
        <v/>
      </c>
      <c r="AD118" s="11" t="str">
        <f t="array" ref="AD118">IFERROR(INDEX('Bank Schedule'!AE:AE, SMALL(IF('Bank Schedule'!$K$2:$K$825="Vacant", ROW('Bank Schedule'!$K$2:$K$825)), ROW(115:115))), "")</f>
        <v/>
      </c>
      <c r="AE118" s="11" t="str">
        <f t="array" ref="AE118">IFERROR(INDEX('Bank Schedule'!AF:AF, SMALL(IF('Bank Schedule'!$K$2:$K$825="Vacant", ROW('Bank Schedule'!$K$2:$K$825)), ROW(115:115))), "")</f>
        <v/>
      </c>
      <c r="AF118" s="11" t="str">
        <f t="array" ref="AF118">IFERROR(INDEX('Bank Schedule'!AG:AG, SMALL(IF('Bank Schedule'!$K$2:$K$825="Vacant", ROW('Bank Schedule'!$K$2:$K$825)), ROW(115:115))), "")</f>
        <v/>
      </c>
      <c r="AG118" s="4"/>
    </row>
    <row r="119" spans="1:33" ht="28.5" customHeight="1">
      <c r="A119" s="2" t="str">
        <f t="array" ref="A119">IFERROR(INDEX('Bank Schedule'!A:A, SMALL(IF('Bank Schedule'!$K$2:$K$825="Vacant", ROW('Bank Schedule'!$K$2:$K$825)), ROW(116:116))), "")</f>
        <v/>
      </c>
      <c r="B119" s="11" t="str">
        <f t="array" ref="B119">IFERROR(INDEX('Bank Schedule'!B:B, SMALL(IF('Bank Schedule'!$K$2:$K$825="Vacant", ROW('Bank Schedule'!$K$2:$K$825)), ROW(116:116))), "")</f>
        <v/>
      </c>
      <c r="C119" s="11" t="str">
        <f t="array" ref="C119">IFERROR(INDEX('Bank Schedule'!C:C, SMALL(IF('Bank Schedule'!$K$2:$K$825="Vacant", ROW('Bank Schedule'!$K$2:$K$825)), ROW(116:116))), "")</f>
        <v/>
      </c>
      <c r="D119" s="11" t="str">
        <f t="array" ref="D119">IFERROR(INDEX('Bank Schedule'!D:D, SMALL(IF('Bank Schedule'!$K$2:$K$825="Vacant", ROW('Bank Schedule'!$K$2:$K$825)), ROW(116:116))), "")</f>
        <v/>
      </c>
      <c r="E119" s="25" t="str">
        <f t="array" ref="E119">IFERROR(INDEX('Bank Schedule'!E:E, SMALL(IF('Bank Schedule'!$K$2:$K$825="Vacant", ROW('Bank Schedule'!$K$2:$K$825)), ROW(116:116))), "")</f>
        <v/>
      </c>
      <c r="F119" s="25" t="str">
        <f t="array" ref="F119">IFERROR(INDEX('Bank Schedule'!F:F, SMALL(IF('Bank Schedule'!$K$2:$K$825="Vacant", ROW('Bank Schedule'!$K$2:$K$825)), ROW(116:116))), "")</f>
        <v/>
      </c>
      <c r="G119" s="25" t="str">
        <f t="array" ref="G119">IFERROR(INDEX('Bank Schedule'!G:G, SMALL(IF('Bank Schedule'!$K$2:$K$825="Vacant", ROW('Bank Schedule'!$K$2:$K$825)), ROW(116:116))), "")</f>
        <v/>
      </c>
      <c r="H119" s="55" t="str">
        <f t="array" ref="H119">IFERROR(INDEX('Bank Schedule'!H:H, SMALL(IF('Bank Schedule'!$K$2:$K$825="Vacant", ROW('Bank Schedule'!$K$2:$K$825)), ROW(116:116))), "")</f>
        <v/>
      </c>
      <c r="I119" s="55" t="str">
        <f t="array" ref="I119">IFERROR(INDEX('Bank Schedule'!I:I, SMALL(IF('Bank Schedule'!$K$2:$K$825="Vacant", ROW('Bank Schedule'!$K$2:$K$825)), ROW(116:116))), "")</f>
        <v/>
      </c>
      <c r="J119" s="11" t="str">
        <f t="array" ref="J119">IFERROR(INDEX('Bank Schedule'!K:K, SMALL(IF('Bank Schedule'!$K$2:$K$825="Vacant", ROW('Bank Schedule'!$K$2:$K$825)), ROW(116:116))), "")</f>
        <v/>
      </c>
      <c r="K119" s="11" t="str">
        <f t="array" ref="K119">IFERROR(INDEX('Bank Schedule'!L:L, SMALL(IF('Bank Schedule'!$K$2:$K$825="Vacant", ROW('Bank Schedule'!$K$2:$K$825)), ROW(116:116))), "")</f>
        <v/>
      </c>
      <c r="L119" s="11" t="str">
        <f t="array" ref="L119">IFERROR(INDEX('Bank Schedule'!M:M, SMALL(IF('Bank Schedule'!$K$2:$K$825="Vacant", ROW('Bank Schedule'!$K$2:$K$825)), ROW(116:116))), "")</f>
        <v/>
      </c>
      <c r="M119" s="106" t="str">
        <f t="array" ref="M119">IFERROR(INDEX('Bank Schedule'!N:N, SMALL(IF('Bank Schedule'!$K$2:$K$825="Vacant", ROW('Bank Schedule'!$K$2:$K$825)), ROW(116:116))), "")</f>
        <v/>
      </c>
      <c r="N119" s="11" t="str">
        <f t="array" ref="N119">IFERROR(INDEX('Bank Schedule'!O:O, SMALL(IF('Bank Schedule'!$K$2:$K$825="Vacant", ROW('Bank Schedule'!$K$2:$K$825)), ROW(116:116))), "")</f>
        <v/>
      </c>
      <c r="O119" s="11" t="str">
        <f t="array" ref="O119">IFERROR(INDEX('Bank Schedule'!P:P, SMALL(IF('Bank Schedule'!$K$2:$K$825="Vacant", ROW('Bank Schedule'!$K$2:$K$825)), ROW(116:116))), "")</f>
        <v/>
      </c>
      <c r="P119" s="11" t="str">
        <f t="array" ref="P119">IFERROR(INDEX('Bank Schedule'!Q:Q, SMALL(IF('Bank Schedule'!$K$2:$K$825="Vacant", ROW('Bank Schedule'!$K$2:$K$825)), ROW(116:116))), "")</f>
        <v/>
      </c>
      <c r="Q119" s="11" t="str">
        <f t="array" ref="Q119">IFERROR(INDEX('Bank Schedule'!R:R, SMALL(IF('Bank Schedule'!$K$2:$K$825="Vacant", ROW('Bank Schedule'!$K$2:$K$825)), ROW(116:116))), "")</f>
        <v/>
      </c>
      <c r="R119" s="11" t="str">
        <f t="array" ref="R119">IFERROR(INDEX('Bank Schedule'!S:S, SMALL(IF('Bank Schedule'!$K$2:$K$825="Vacant", ROW('Bank Schedule'!$K$2:$K$825)), ROW(116:116))), "")</f>
        <v/>
      </c>
      <c r="S119" s="320" t="str">
        <f t="array" ref="S119">IFERROR(INDEX('Bank Schedule'!T:T, SMALL(IF('Bank Schedule'!$K$2:$K$825="Vacant", ROW('Bank Schedule'!$K$2:$K$825)), ROW(116:116))), "")</f>
        <v/>
      </c>
      <c r="T119" s="320" t="str">
        <f t="array" ref="T119">IFERROR(INDEX('Bank Schedule'!U:U, SMALL(IF('Bank Schedule'!$K$2:$K$825="Vacant", ROW('Bank Schedule'!$K$2:$K$825)), ROW(116:116))), "")</f>
        <v/>
      </c>
      <c r="U119" s="320" t="str">
        <f t="array" ref="U119">IFERROR(INDEX('Bank Schedule'!V:V, SMALL(IF('Bank Schedule'!$K$2:$K$825="Vacant", ROW('Bank Schedule'!$K$2:$K$825)), ROW(116:116))), "")</f>
        <v/>
      </c>
      <c r="V119" s="320" t="str">
        <f t="array" ref="V119">IFERROR(INDEX('Bank Schedule'!W:W, SMALL(IF('Bank Schedule'!$K$2:$K$825="Vacant", ROW('Bank Schedule'!$K$2:$K$825)), ROW(116:116))), "")</f>
        <v/>
      </c>
      <c r="W119" s="319" t="str">
        <f t="array" ref="W119">IFERROR(INDEX('Bank Schedule'!X:X, SMALL(IF('Bank Schedule'!$K$2:$K$825="Vacant", ROW('Bank Schedule'!$K$2:$K$825)), ROW(116:116))), "")</f>
        <v/>
      </c>
      <c r="X119" s="11" t="str">
        <f t="array" ref="X119">IFERROR(INDEX('Bank Schedule'!Y:Y, SMALL(IF('Bank Schedule'!$K$2:$K$825="Vacant", ROW('Bank Schedule'!$K$2:$K$825)), ROW(116:116))), "")</f>
        <v/>
      </c>
      <c r="Y119" s="11" t="str">
        <f t="array" ref="Y119">IFERROR(INDEX('Bank Schedule'!Z:Z, SMALL(IF('Bank Schedule'!$K$2:$K$825="Vacant", ROW('Bank Schedule'!$K$2:$K$825)), ROW(116:116))), "")</f>
        <v/>
      </c>
      <c r="Z119" s="11" t="str">
        <f t="array" ref="Z119">IFERROR(INDEX('Bank Schedule'!AA:AA, SMALL(IF('Bank Schedule'!$K$2:$K$825="Vacant", ROW('Bank Schedule'!$K$2:$K$825)), ROW(116:116))), "")</f>
        <v/>
      </c>
      <c r="AA119" s="11" t="str">
        <f t="array" ref="AA119">IFERROR(INDEX('Bank Schedule'!AB:AB, SMALL(IF('Bank Schedule'!$K$2:$K$825="Vacant", ROW('Bank Schedule'!$K$2:$K$825)), ROW(116:116))), "")</f>
        <v/>
      </c>
      <c r="AB119" s="25" t="str">
        <f t="array" ref="AB119">IFERROR(INDEX('Bank Schedule'!AC:AC, SMALL(IF('Bank Schedule'!$K$2:$K$825="Vacant", ROW('Bank Schedule'!$K$2:$K$825)), ROW(116:116))), "")</f>
        <v/>
      </c>
      <c r="AC119" s="299" t="str">
        <f t="array" ref="AC119">IFERROR(INDEX('Bank Schedule'!AD:AD, SMALL(IF('Bank Schedule'!$K$2:$K$825="Vacant", ROW('Bank Schedule'!$K$2:$K$825)), ROW(116:116))), "")</f>
        <v/>
      </c>
      <c r="AD119" s="11" t="str">
        <f t="array" ref="AD119">IFERROR(INDEX('Bank Schedule'!AE:AE, SMALL(IF('Bank Schedule'!$K$2:$K$825="Vacant", ROW('Bank Schedule'!$K$2:$K$825)), ROW(116:116))), "")</f>
        <v/>
      </c>
      <c r="AE119" s="11" t="str">
        <f t="array" ref="AE119">IFERROR(INDEX('Bank Schedule'!AF:AF, SMALL(IF('Bank Schedule'!$K$2:$K$825="Vacant", ROW('Bank Schedule'!$K$2:$K$825)), ROW(116:116))), "")</f>
        <v/>
      </c>
      <c r="AF119" s="11" t="str">
        <f t="array" ref="AF119">IFERROR(INDEX('Bank Schedule'!AG:AG, SMALL(IF('Bank Schedule'!$K$2:$K$825="Vacant", ROW('Bank Schedule'!$K$2:$K$825)), ROW(116:116))), "")</f>
        <v/>
      </c>
      <c r="AG119" s="4"/>
    </row>
    <row r="120" spans="1:33" ht="28.5" hidden="1" customHeight="1">
      <c r="A120" s="2" t="str">
        <f t="array" ref="A120">IFERROR(INDEX('Bank Schedule'!A:A, SMALL(IF('Bank Schedule'!$K$2:$K$825="Vacant", ROW('Bank Schedule'!$K$2:$K$825)), ROW(117:117))), "")</f>
        <v/>
      </c>
      <c r="B120" s="11" t="str">
        <f t="array" ref="B120">IFERROR(INDEX('Bank Schedule'!B:B, SMALL(IF('Bank Schedule'!$K$2:$K$825="Vacant", ROW('Bank Schedule'!$K$2:$K$825)), ROW(117:117))), "")</f>
        <v/>
      </c>
      <c r="C120" s="11" t="str">
        <f t="array" ref="C120">IFERROR(INDEX('Bank Schedule'!C:C, SMALL(IF('Bank Schedule'!$K$2:$K$825="Vacant", ROW('Bank Schedule'!$K$2:$K$825)), ROW(117:117))), "")</f>
        <v/>
      </c>
      <c r="D120" s="11" t="str">
        <f t="array" ref="D120">IFERROR(INDEX('Bank Schedule'!D:D, SMALL(IF('Bank Schedule'!$K$2:$K$825="Vacant", ROW('Bank Schedule'!$K$2:$K$825)), ROW(117:117))), "")</f>
        <v/>
      </c>
      <c r="E120" s="25" t="str">
        <f t="array" ref="E120">IFERROR(INDEX('Bank Schedule'!E:E, SMALL(IF('Bank Schedule'!$K$2:$K$825="Vacant", ROW('Bank Schedule'!$K$2:$K$825)), ROW(117:117))), "")</f>
        <v/>
      </c>
      <c r="F120" s="25" t="str">
        <f t="array" ref="F120">IFERROR(INDEX('Bank Schedule'!F:F, SMALL(IF('Bank Schedule'!$K$2:$K$825="Vacant", ROW('Bank Schedule'!$K$2:$K$825)), ROW(117:117))), "")</f>
        <v/>
      </c>
      <c r="G120" s="25" t="str">
        <f t="array" ref="G120">IFERROR(INDEX('Bank Schedule'!G:G, SMALL(IF('Bank Schedule'!$K$2:$K$825="Vacant", ROW('Bank Schedule'!$K$2:$K$825)), ROW(117:117))), "")</f>
        <v/>
      </c>
      <c r="H120" s="55" t="str">
        <f t="array" ref="H120">IFERROR(INDEX('Bank Schedule'!H:H, SMALL(IF('Bank Schedule'!$K$2:$K$825="Vacant", ROW('Bank Schedule'!$K$2:$K$825)), ROW(117:117))), "")</f>
        <v/>
      </c>
      <c r="I120" s="55" t="str">
        <f t="array" ref="I120">IFERROR(INDEX('Bank Schedule'!I:I, SMALL(IF('Bank Schedule'!$K$2:$K$825="Vacant", ROW('Bank Schedule'!$K$2:$K$825)), ROW(117:117))), "")</f>
        <v/>
      </c>
      <c r="J120" s="11" t="str">
        <f t="array" ref="J120">IFERROR(INDEX('Bank Schedule'!K:K, SMALL(IF('Bank Schedule'!$K$2:$K$825="Vacant", ROW('Bank Schedule'!$K$2:$K$825)), ROW(117:117))), "")</f>
        <v/>
      </c>
      <c r="K120" s="11" t="str">
        <f t="array" ref="K120">IFERROR(INDEX('Bank Schedule'!L:L, SMALL(IF('Bank Schedule'!$K$2:$K$825="Vacant", ROW('Bank Schedule'!$K$2:$K$825)), ROW(117:117))), "")</f>
        <v/>
      </c>
      <c r="L120" s="11" t="str">
        <f t="array" ref="L120">IFERROR(INDEX('Bank Schedule'!M:M, SMALL(IF('Bank Schedule'!$K$2:$K$825="Vacant", ROW('Bank Schedule'!$K$2:$K$825)), ROW(117:117))), "")</f>
        <v/>
      </c>
      <c r="M120" s="106" t="str">
        <f t="array" ref="M120">IFERROR(INDEX('Bank Schedule'!N:N, SMALL(IF('Bank Schedule'!$K$2:$K$825="Vacant", ROW('Bank Schedule'!$K$2:$K$825)), ROW(117:117))), "")</f>
        <v/>
      </c>
      <c r="N120" s="11" t="str">
        <f t="array" ref="N120">IFERROR(INDEX('Bank Schedule'!O:O, SMALL(IF('Bank Schedule'!$K$2:$K$825="Vacant", ROW('Bank Schedule'!$K$2:$K$825)), ROW(117:117))), "")</f>
        <v/>
      </c>
      <c r="O120" s="11" t="str">
        <f t="array" ref="O120">IFERROR(INDEX('Bank Schedule'!P:P, SMALL(IF('Bank Schedule'!$K$2:$K$825="Vacant", ROW('Bank Schedule'!$K$2:$K$825)), ROW(117:117))), "")</f>
        <v/>
      </c>
      <c r="P120" s="11" t="str">
        <f t="array" ref="P120">IFERROR(INDEX('Bank Schedule'!Q:Q, SMALL(IF('Bank Schedule'!$K$2:$K$825="Vacant", ROW('Bank Schedule'!$K$2:$K$825)), ROW(117:117))), "")</f>
        <v/>
      </c>
      <c r="Q120" s="11" t="str">
        <f t="array" ref="Q120">IFERROR(INDEX('Bank Schedule'!R:R, SMALL(IF('Bank Schedule'!$K$2:$K$825="Vacant", ROW('Bank Schedule'!$K$2:$K$825)), ROW(117:117))), "")</f>
        <v/>
      </c>
      <c r="R120" s="11" t="str">
        <f t="array" ref="R120">IFERROR(INDEX('Bank Schedule'!S:S, SMALL(IF('Bank Schedule'!$K$2:$K$825="Vacant", ROW('Bank Schedule'!$K$2:$K$825)), ROW(117:117))), "")</f>
        <v/>
      </c>
      <c r="S120" s="320" t="str">
        <f t="array" ref="S120">IFERROR(INDEX('Bank Schedule'!T:T, SMALL(IF('Bank Schedule'!$K$2:$K$825="Vacant", ROW('Bank Schedule'!$K$2:$K$825)), ROW(117:117))), "")</f>
        <v/>
      </c>
      <c r="T120" s="320" t="str">
        <f t="array" ref="T120">IFERROR(INDEX('Bank Schedule'!U:U, SMALL(IF('Bank Schedule'!$K$2:$K$825="Vacant", ROW('Bank Schedule'!$K$2:$K$825)), ROW(117:117))), "")</f>
        <v/>
      </c>
      <c r="U120" s="320" t="str">
        <f t="array" ref="U120">IFERROR(INDEX('Bank Schedule'!V:V, SMALL(IF('Bank Schedule'!$K$2:$K$825="Vacant", ROW('Bank Schedule'!$K$2:$K$825)), ROW(117:117))), "")</f>
        <v/>
      </c>
      <c r="V120" s="320" t="str">
        <f t="array" ref="V120">IFERROR(INDEX('Bank Schedule'!W:W, SMALL(IF('Bank Schedule'!$K$2:$K$825="Vacant", ROW('Bank Schedule'!$K$2:$K$825)), ROW(117:117))), "")</f>
        <v/>
      </c>
      <c r="W120" s="319" t="str">
        <f t="array" ref="W120">IFERROR(INDEX('Bank Schedule'!X:X, SMALL(IF('Bank Schedule'!$K$2:$K$825="Vacant", ROW('Bank Schedule'!$K$2:$K$825)), ROW(117:117))), "")</f>
        <v/>
      </c>
      <c r="X120" s="11" t="str">
        <f t="array" ref="X120">IFERROR(INDEX('Bank Schedule'!Y:Y, SMALL(IF('Bank Schedule'!$K$2:$K$825="Vacant", ROW('Bank Schedule'!$K$2:$K$825)), ROW(117:117))), "")</f>
        <v/>
      </c>
      <c r="Y120" s="11" t="str">
        <f t="array" ref="Y120">IFERROR(INDEX('Bank Schedule'!Z:Z, SMALL(IF('Bank Schedule'!$K$2:$K$825="Vacant", ROW('Bank Schedule'!$K$2:$K$825)), ROW(117:117))), "")</f>
        <v/>
      </c>
      <c r="Z120" s="11" t="str">
        <f t="array" ref="Z120">IFERROR(INDEX('Bank Schedule'!AA:AA, SMALL(IF('Bank Schedule'!$K$2:$K$825="Vacant", ROW('Bank Schedule'!$K$2:$K$825)), ROW(117:117))), "")</f>
        <v/>
      </c>
      <c r="AA120" s="11" t="str">
        <f t="array" ref="AA120">IFERROR(INDEX('Bank Schedule'!AB:AB, SMALL(IF('Bank Schedule'!$K$2:$K$825="Vacant", ROW('Bank Schedule'!$K$2:$K$825)), ROW(117:117))), "")</f>
        <v/>
      </c>
      <c r="AB120" s="25" t="str">
        <f t="array" ref="AB120">IFERROR(INDEX('Bank Schedule'!AC:AC, SMALL(IF('Bank Schedule'!$K$2:$K$825="Vacant", ROW('Bank Schedule'!$K$2:$K$825)), ROW(117:117))), "")</f>
        <v/>
      </c>
      <c r="AC120" s="299" t="str">
        <f t="array" ref="AC120">IFERROR(INDEX('Bank Schedule'!AD:AD, SMALL(IF('Bank Schedule'!$K$2:$K$825="Vacant", ROW('Bank Schedule'!$K$2:$K$825)), ROW(117:117))), "")</f>
        <v/>
      </c>
      <c r="AD120" s="11" t="str">
        <f t="array" ref="AD120">IFERROR(INDEX('Bank Schedule'!AE:AE, SMALL(IF('Bank Schedule'!$K$2:$K$825="Vacant", ROW('Bank Schedule'!$K$2:$K$825)), ROW(117:117))), "")</f>
        <v/>
      </c>
      <c r="AE120" s="11" t="str">
        <f t="array" ref="AE120">IFERROR(INDEX('Bank Schedule'!AF:AF, SMALL(IF('Bank Schedule'!$K$2:$K$825="Vacant", ROW('Bank Schedule'!$K$2:$K$825)), ROW(117:117))), "")</f>
        <v/>
      </c>
      <c r="AF120" s="11" t="str">
        <f t="array" ref="AF120">IFERROR(INDEX('Bank Schedule'!AG:AG, SMALL(IF('Bank Schedule'!$K$2:$K$825="Vacant", ROW('Bank Schedule'!$K$2:$K$825)), ROW(117:117))), "")</f>
        <v/>
      </c>
      <c r="AG120" s="4"/>
    </row>
    <row r="121" spans="1:33" ht="28.5" hidden="1" customHeight="1">
      <c r="A121" s="2" t="str">
        <f t="array" ref="A121">IFERROR(INDEX('Bank Schedule'!A:A, SMALL(IF('Bank Schedule'!$K$2:$K$825="Vacant", ROW('Bank Schedule'!$K$2:$K$825)), ROW(118:118))), "")</f>
        <v/>
      </c>
      <c r="B121" s="11" t="str">
        <f t="array" ref="B121">IFERROR(INDEX('Bank Schedule'!B:B, SMALL(IF('Bank Schedule'!$K$2:$K$825="Vacant", ROW('Bank Schedule'!$K$2:$K$825)), ROW(118:118))), "")</f>
        <v/>
      </c>
      <c r="C121" s="11" t="str">
        <f t="array" ref="C121">IFERROR(INDEX('Bank Schedule'!C:C, SMALL(IF('Bank Schedule'!$K$2:$K$825="Vacant", ROW('Bank Schedule'!$K$2:$K$825)), ROW(118:118))), "")</f>
        <v/>
      </c>
      <c r="D121" s="11" t="str">
        <f t="array" ref="D121">IFERROR(INDEX('Bank Schedule'!D:D, SMALL(IF('Bank Schedule'!$K$2:$K$825="Vacant", ROW('Bank Schedule'!$K$2:$K$825)), ROW(118:118))), "")</f>
        <v/>
      </c>
      <c r="E121" s="25" t="str">
        <f t="array" ref="E121">IFERROR(INDEX('Bank Schedule'!E:E, SMALL(IF('Bank Schedule'!$K$2:$K$825="Vacant", ROW('Bank Schedule'!$K$2:$K$825)), ROW(118:118))), "")</f>
        <v/>
      </c>
      <c r="F121" s="25" t="str">
        <f t="array" ref="F121">IFERROR(INDEX('Bank Schedule'!F:F, SMALL(IF('Bank Schedule'!$K$2:$K$825="Vacant", ROW('Bank Schedule'!$K$2:$K$825)), ROW(118:118))), "")</f>
        <v/>
      </c>
      <c r="G121" s="25" t="str">
        <f t="array" ref="G121">IFERROR(INDEX('Bank Schedule'!G:G, SMALL(IF('Bank Schedule'!$K$2:$K$825="Vacant", ROW('Bank Schedule'!$K$2:$K$825)), ROW(118:118))), "")</f>
        <v/>
      </c>
      <c r="H121" s="55" t="str">
        <f t="array" ref="H121">IFERROR(INDEX('Bank Schedule'!H:H, SMALL(IF('Bank Schedule'!$K$2:$K$825="Vacant", ROW('Bank Schedule'!$K$2:$K$825)), ROW(118:118))), "")</f>
        <v/>
      </c>
      <c r="I121" s="55" t="str">
        <f t="array" ref="I121">IFERROR(INDEX('Bank Schedule'!I:I, SMALL(IF('Bank Schedule'!$K$2:$K$825="Vacant", ROW('Bank Schedule'!$K$2:$K$825)), ROW(118:118))), "")</f>
        <v/>
      </c>
      <c r="J121" s="11" t="str">
        <f t="array" ref="J121">IFERROR(INDEX('Bank Schedule'!K:K, SMALL(IF('Bank Schedule'!$K$2:$K$825="Vacant", ROW('Bank Schedule'!$K$2:$K$825)), ROW(118:118))), "")</f>
        <v/>
      </c>
      <c r="K121" s="11" t="str">
        <f t="array" ref="K121">IFERROR(INDEX('Bank Schedule'!L:L, SMALL(IF('Bank Schedule'!$K$2:$K$825="Vacant", ROW('Bank Schedule'!$K$2:$K$825)), ROW(118:118))), "")</f>
        <v/>
      </c>
      <c r="L121" s="11" t="str">
        <f t="array" ref="L121">IFERROR(INDEX('Bank Schedule'!M:M, SMALL(IF('Bank Schedule'!$K$2:$K$825="Vacant", ROW('Bank Schedule'!$K$2:$K$825)), ROW(118:118))), "")</f>
        <v/>
      </c>
      <c r="M121" s="106" t="str">
        <f t="array" ref="M121">IFERROR(INDEX('Bank Schedule'!N:N, SMALL(IF('Bank Schedule'!$K$2:$K$825="Vacant", ROW('Bank Schedule'!$K$2:$K$825)), ROW(118:118))), "")</f>
        <v/>
      </c>
      <c r="N121" s="11" t="str">
        <f t="array" ref="N121">IFERROR(INDEX('Bank Schedule'!O:O, SMALL(IF('Bank Schedule'!$K$2:$K$825="Vacant", ROW('Bank Schedule'!$K$2:$K$825)), ROW(118:118))), "")</f>
        <v/>
      </c>
      <c r="O121" s="11" t="str">
        <f t="array" ref="O121">IFERROR(INDEX('Bank Schedule'!P:P, SMALL(IF('Bank Schedule'!$K$2:$K$825="Vacant", ROW('Bank Schedule'!$K$2:$K$825)), ROW(118:118))), "")</f>
        <v/>
      </c>
      <c r="P121" s="11" t="str">
        <f t="array" ref="P121">IFERROR(INDEX('Bank Schedule'!Q:Q, SMALL(IF('Bank Schedule'!$K$2:$K$825="Vacant", ROW('Bank Schedule'!$K$2:$K$825)), ROW(118:118))), "")</f>
        <v/>
      </c>
      <c r="Q121" s="11" t="str">
        <f t="array" ref="Q121">IFERROR(INDEX('Bank Schedule'!R:R, SMALL(IF('Bank Schedule'!$K$2:$K$825="Vacant", ROW('Bank Schedule'!$K$2:$K$825)), ROW(118:118))), "")</f>
        <v/>
      </c>
      <c r="R121" s="11" t="str">
        <f t="array" ref="R121">IFERROR(INDEX('Bank Schedule'!S:S, SMALL(IF('Bank Schedule'!$K$2:$K$825="Vacant", ROW('Bank Schedule'!$K$2:$K$825)), ROW(118:118))), "")</f>
        <v/>
      </c>
      <c r="S121" s="320" t="str">
        <f t="array" ref="S121">IFERROR(INDEX('Bank Schedule'!T:T, SMALL(IF('Bank Schedule'!$K$2:$K$825="Vacant", ROW('Bank Schedule'!$K$2:$K$825)), ROW(118:118))), "")</f>
        <v/>
      </c>
      <c r="T121" s="320" t="str">
        <f t="array" ref="T121">IFERROR(INDEX('Bank Schedule'!U:U, SMALL(IF('Bank Schedule'!$K$2:$K$825="Vacant", ROW('Bank Schedule'!$K$2:$K$825)), ROW(118:118))), "")</f>
        <v/>
      </c>
      <c r="U121" s="320" t="str">
        <f t="array" ref="U121">IFERROR(INDEX('Bank Schedule'!V:V, SMALL(IF('Bank Schedule'!$K$2:$K$825="Vacant", ROW('Bank Schedule'!$K$2:$K$825)), ROW(118:118))), "")</f>
        <v/>
      </c>
      <c r="V121" s="320" t="str">
        <f t="array" ref="V121">IFERROR(INDEX('Bank Schedule'!W:W, SMALL(IF('Bank Schedule'!$K$2:$K$825="Vacant", ROW('Bank Schedule'!$K$2:$K$825)), ROW(118:118))), "")</f>
        <v/>
      </c>
      <c r="W121" s="319" t="str">
        <f t="array" ref="W121">IFERROR(INDEX('Bank Schedule'!X:X, SMALL(IF('Bank Schedule'!$K$2:$K$825="Vacant", ROW('Bank Schedule'!$K$2:$K$825)), ROW(118:118))), "")</f>
        <v/>
      </c>
      <c r="X121" s="11" t="str">
        <f t="array" ref="X121">IFERROR(INDEX('Bank Schedule'!Y:Y, SMALL(IF('Bank Schedule'!$K$2:$K$825="Vacant", ROW('Bank Schedule'!$K$2:$K$825)), ROW(118:118))), "")</f>
        <v/>
      </c>
      <c r="Y121" s="11" t="str">
        <f t="array" ref="Y121">IFERROR(INDEX('Bank Schedule'!Z:Z, SMALL(IF('Bank Schedule'!$K$2:$K$825="Vacant", ROW('Bank Schedule'!$K$2:$K$825)), ROW(118:118))), "")</f>
        <v/>
      </c>
      <c r="Z121" s="11" t="str">
        <f t="array" ref="Z121">IFERROR(INDEX('Bank Schedule'!AA:AA, SMALL(IF('Bank Schedule'!$K$2:$K$825="Vacant", ROW('Bank Schedule'!$K$2:$K$825)), ROW(118:118))), "")</f>
        <v/>
      </c>
      <c r="AA121" s="11" t="str">
        <f t="array" ref="AA121">IFERROR(INDEX('Bank Schedule'!AB:AB, SMALL(IF('Bank Schedule'!$K$2:$K$825="Vacant", ROW('Bank Schedule'!$K$2:$K$825)), ROW(118:118))), "")</f>
        <v/>
      </c>
      <c r="AB121" s="25" t="str">
        <f t="array" ref="AB121">IFERROR(INDEX('Bank Schedule'!AC:AC, SMALL(IF('Bank Schedule'!$K$2:$K$825="Vacant", ROW('Bank Schedule'!$K$2:$K$825)), ROW(118:118))), "")</f>
        <v/>
      </c>
      <c r="AC121" s="299" t="str">
        <f t="array" ref="AC121">IFERROR(INDEX('Bank Schedule'!AD:AD, SMALL(IF('Bank Schedule'!$K$2:$K$825="Vacant", ROW('Bank Schedule'!$K$2:$K$825)), ROW(118:118))), "")</f>
        <v/>
      </c>
      <c r="AD121" s="11" t="str">
        <f t="array" ref="AD121">IFERROR(INDEX('Bank Schedule'!AE:AE, SMALL(IF('Bank Schedule'!$K$2:$K$825="Vacant", ROW('Bank Schedule'!$K$2:$K$825)), ROW(118:118))), "")</f>
        <v/>
      </c>
      <c r="AE121" s="11" t="str">
        <f t="array" ref="AE121">IFERROR(INDEX('Bank Schedule'!AF:AF, SMALL(IF('Bank Schedule'!$K$2:$K$825="Vacant", ROW('Bank Schedule'!$K$2:$K$825)), ROW(118:118))), "")</f>
        <v/>
      </c>
      <c r="AF121" s="11" t="str">
        <f t="array" ref="AF121">IFERROR(INDEX('Bank Schedule'!AG:AG, SMALL(IF('Bank Schedule'!$K$2:$K$825="Vacant", ROW('Bank Schedule'!$K$2:$K$825)), ROW(118:118))), "")</f>
        <v/>
      </c>
      <c r="AG121" s="4"/>
    </row>
    <row r="122" spans="1:33" ht="28.5" hidden="1" customHeight="1">
      <c r="A122" s="2" t="str">
        <f t="array" ref="A122">IFERROR(INDEX('Bank Schedule'!A:A, SMALL(IF('Bank Schedule'!$K$2:$K$825="Vacant", ROW('Bank Schedule'!$K$2:$K$825)), ROW(119:119))), "")</f>
        <v/>
      </c>
      <c r="B122" s="11" t="str">
        <f t="array" ref="B122">IFERROR(INDEX('Bank Schedule'!B:B, SMALL(IF('Bank Schedule'!$K$2:$K$825="Vacant", ROW('Bank Schedule'!$K$2:$K$825)), ROW(119:119))), "")</f>
        <v/>
      </c>
      <c r="C122" s="11" t="str">
        <f t="array" ref="C122">IFERROR(INDEX('Bank Schedule'!C:C, SMALL(IF('Bank Schedule'!$K$2:$K$825="Vacant", ROW('Bank Schedule'!$K$2:$K$825)), ROW(119:119))), "")</f>
        <v/>
      </c>
      <c r="D122" s="11" t="str">
        <f t="array" ref="D122">IFERROR(INDEX('Bank Schedule'!D:D, SMALL(IF('Bank Schedule'!$K$2:$K$825="Vacant", ROW('Bank Schedule'!$K$2:$K$825)), ROW(119:119))), "")</f>
        <v/>
      </c>
      <c r="E122" s="25" t="str">
        <f t="array" ref="E122">IFERROR(INDEX('Bank Schedule'!E:E, SMALL(IF('Bank Schedule'!$K$2:$K$825="Vacant", ROW('Bank Schedule'!$K$2:$K$825)), ROW(119:119))), "")</f>
        <v/>
      </c>
      <c r="F122" s="25" t="str">
        <f t="array" ref="F122">IFERROR(INDEX('Bank Schedule'!F:F, SMALL(IF('Bank Schedule'!$K$2:$K$825="Vacant", ROW('Bank Schedule'!$K$2:$K$825)), ROW(119:119))), "")</f>
        <v/>
      </c>
      <c r="G122" s="25" t="str">
        <f t="array" ref="G122">IFERROR(INDEX('Bank Schedule'!G:G, SMALL(IF('Bank Schedule'!$K$2:$K$825="Vacant", ROW('Bank Schedule'!$K$2:$K$825)), ROW(119:119))), "")</f>
        <v/>
      </c>
      <c r="H122" s="55" t="str">
        <f t="array" ref="H122">IFERROR(INDEX('Bank Schedule'!H:H, SMALL(IF('Bank Schedule'!$K$2:$K$825="Vacant", ROW('Bank Schedule'!$K$2:$K$825)), ROW(119:119))), "")</f>
        <v/>
      </c>
      <c r="I122" s="55" t="str">
        <f t="array" ref="I122">IFERROR(INDEX('Bank Schedule'!I:I, SMALL(IF('Bank Schedule'!$K$2:$K$825="Vacant", ROW('Bank Schedule'!$K$2:$K$825)), ROW(119:119))), "")</f>
        <v/>
      </c>
      <c r="J122" s="11" t="str">
        <f t="array" ref="J122">IFERROR(INDEX('Bank Schedule'!K:K, SMALL(IF('Bank Schedule'!$K$2:$K$825="Vacant", ROW('Bank Schedule'!$K$2:$K$825)), ROW(119:119))), "")</f>
        <v/>
      </c>
      <c r="K122" s="11" t="str">
        <f t="array" ref="K122">IFERROR(INDEX('Bank Schedule'!L:L, SMALL(IF('Bank Schedule'!$K$2:$K$825="Vacant", ROW('Bank Schedule'!$K$2:$K$825)), ROW(119:119))), "")</f>
        <v/>
      </c>
      <c r="L122" s="11" t="str">
        <f t="array" ref="L122">IFERROR(INDEX('Bank Schedule'!M:M, SMALL(IF('Bank Schedule'!$K$2:$K$825="Vacant", ROW('Bank Schedule'!$K$2:$K$825)), ROW(119:119))), "")</f>
        <v/>
      </c>
      <c r="M122" s="106" t="str">
        <f t="array" ref="M122">IFERROR(INDEX('Bank Schedule'!N:N, SMALL(IF('Bank Schedule'!$K$2:$K$825="Vacant", ROW('Bank Schedule'!$K$2:$K$825)), ROW(119:119))), "")</f>
        <v/>
      </c>
      <c r="N122" s="11" t="str">
        <f t="array" ref="N122">IFERROR(INDEX('Bank Schedule'!O:O, SMALL(IF('Bank Schedule'!$K$2:$K$825="Vacant", ROW('Bank Schedule'!$K$2:$K$825)), ROW(119:119))), "")</f>
        <v/>
      </c>
      <c r="O122" s="11" t="str">
        <f t="array" ref="O122">IFERROR(INDEX('Bank Schedule'!P:P, SMALL(IF('Bank Schedule'!$K$2:$K$825="Vacant", ROW('Bank Schedule'!$K$2:$K$825)), ROW(119:119))), "")</f>
        <v/>
      </c>
      <c r="P122" s="11" t="str">
        <f t="array" ref="P122">IFERROR(INDEX('Bank Schedule'!Q:Q, SMALL(IF('Bank Schedule'!$K$2:$K$825="Vacant", ROW('Bank Schedule'!$K$2:$K$825)), ROW(119:119))), "")</f>
        <v/>
      </c>
      <c r="Q122" s="11" t="str">
        <f t="array" ref="Q122">IFERROR(INDEX('Bank Schedule'!R:R, SMALL(IF('Bank Schedule'!$K$2:$K$825="Vacant", ROW('Bank Schedule'!$K$2:$K$825)), ROW(119:119))), "")</f>
        <v/>
      </c>
      <c r="R122" s="11" t="str">
        <f t="array" ref="R122">IFERROR(INDEX('Bank Schedule'!S:S, SMALL(IF('Bank Schedule'!$K$2:$K$825="Vacant", ROW('Bank Schedule'!$K$2:$K$825)), ROW(119:119))), "")</f>
        <v/>
      </c>
      <c r="S122" s="320" t="str">
        <f t="array" ref="S122">IFERROR(INDEX('Bank Schedule'!T:T, SMALL(IF('Bank Schedule'!$K$2:$K$825="Vacant", ROW('Bank Schedule'!$K$2:$K$825)), ROW(119:119))), "")</f>
        <v/>
      </c>
      <c r="T122" s="320" t="str">
        <f t="array" ref="T122">IFERROR(INDEX('Bank Schedule'!U:U, SMALL(IF('Bank Schedule'!$K$2:$K$825="Vacant", ROW('Bank Schedule'!$K$2:$K$825)), ROW(119:119))), "")</f>
        <v/>
      </c>
      <c r="U122" s="320" t="str">
        <f t="array" ref="U122">IFERROR(INDEX('Bank Schedule'!V:V, SMALL(IF('Bank Schedule'!$K$2:$K$825="Vacant", ROW('Bank Schedule'!$K$2:$K$825)), ROW(119:119))), "")</f>
        <v/>
      </c>
      <c r="V122" s="320" t="str">
        <f t="array" ref="V122">IFERROR(INDEX('Bank Schedule'!W:W, SMALL(IF('Bank Schedule'!$K$2:$K$825="Vacant", ROW('Bank Schedule'!$K$2:$K$825)), ROW(119:119))), "")</f>
        <v/>
      </c>
      <c r="W122" s="319" t="str">
        <f t="array" ref="W122">IFERROR(INDEX('Bank Schedule'!X:X, SMALL(IF('Bank Schedule'!$K$2:$K$825="Vacant", ROW('Bank Schedule'!$K$2:$K$825)), ROW(119:119))), "")</f>
        <v/>
      </c>
      <c r="X122" s="11" t="str">
        <f t="array" ref="X122">IFERROR(INDEX('Bank Schedule'!Y:Y, SMALL(IF('Bank Schedule'!$K$2:$K$825="Vacant", ROW('Bank Schedule'!$K$2:$K$825)), ROW(119:119))), "")</f>
        <v/>
      </c>
      <c r="Y122" s="11" t="str">
        <f t="array" ref="Y122">IFERROR(INDEX('Bank Schedule'!Z:Z, SMALL(IF('Bank Schedule'!$K$2:$K$825="Vacant", ROW('Bank Schedule'!$K$2:$K$825)), ROW(119:119))), "")</f>
        <v/>
      </c>
      <c r="Z122" s="11" t="str">
        <f t="array" ref="Z122">IFERROR(INDEX('Bank Schedule'!AA:AA, SMALL(IF('Bank Schedule'!$K$2:$K$825="Vacant", ROW('Bank Schedule'!$K$2:$K$825)), ROW(119:119))), "")</f>
        <v/>
      </c>
      <c r="AA122" s="11" t="str">
        <f t="array" ref="AA122">IFERROR(INDEX('Bank Schedule'!AB:AB, SMALL(IF('Bank Schedule'!$K$2:$K$825="Vacant", ROW('Bank Schedule'!$K$2:$K$825)), ROW(119:119))), "")</f>
        <v/>
      </c>
      <c r="AB122" s="25" t="str">
        <f t="array" ref="AB122">IFERROR(INDEX('Bank Schedule'!AC:AC, SMALL(IF('Bank Schedule'!$K$2:$K$825="Vacant", ROW('Bank Schedule'!$K$2:$K$825)), ROW(119:119))), "")</f>
        <v/>
      </c>
      <c r="AC122" s="299" t="str">
        <f t="array" ref="AC122">IFERROR(INDEX('Bank Schedule'!AD:AD, SMALL(IF('Bank Schedule'!$K$2:$K$825="Vacant", ROW('Bank Schedule'!$K$2:$K$825)), ROW(119:119))), "")</f>
        <v/>
      </c>
      <c r="AD122" s="11" t="str">
        <f t="array" ref="AD122">IFERROR(INDEX('Bank Schedule'!AE:AE, SMALL(IF('Bank Schedule'!$K$2:$K$825="Vacant", ROW('Bank Schedule'!$K$2:$K$825)), ROW(119:119))), "")</f>
        <v/>
      </c>
      <c r="AE122" s="11" t="str">
        <f t="array" ref="AE122">IFERROR(INDEX('Bank Schedule'!AF:AF, SMALL(IF('Bank Schedule'!$K$2:$K$825="Vacant", ROW('Bank Schedule'!$K$2:$K$825)), ROW(119:119))), "")</f>
        <v/>
      </c>
      <c r="AF122" s="11" t="str">
        <f t="array" ref="AF122">IFERROR(INDEX('Bank Schedule'!AG:AG, SMALL(IF('Bank Schedule'!$K$2:$K$825="Vacant", ROW('Bank Schedule'!$K$2:$K$825)), ROW(119:119))), "")</f>
        <v/>
      </c>
      <c r="AG122" s="4"/>
    </row>
    <row r="123" spans="1:33" ht="28.5" hidden="1" customHeight="1">
      <c r="A123" s="2" t="str">
        <f t="array" ref="A123">IFERROR(INDEX('Bank Schedule'!A:A, SMALL(IF('Bank Schedule'!$K$2:$K$825="Vacant", ROW('Bank Schedule'!$K$2:$K$825)), ROW(120:120))), "")</f>
        <v/>
      </c>
      <c r="B123" s="11" t="str">
        <f t="array" ref="B123">IFERROR(INDEX('Bank Schedule'!B:B, SMALL(IF('Bank Schedule'!$K$2:$K$825="Vacant", ROW('Bank Schedule'!$K$2:$K$825)), ROW(120:120))), "")</f>
        <v/>
      </c>
      <c r="C123" s="11" t="str">
        <f t="array" ref="C123">IFERROR(INDEX('Bank Schedule'!C:C, SMALL(IF('Bank Schedule'!$K$2:$K$825="Vacant", ROW('Bank Schedule'!$K$2:$K$825)), ROW(120:120))), "")</f>
        <v/>
      </c>
      <c r="D123" s="11" t="str">
        <f t="array" ref="D123">IFERROR(INDEX('Bank Schedule'!D:D, SMALL(IF('Bank Schedule'!$K$2:$K$825="Vacant", ROW('Bank Schedule'!$K$2:$K$825)), ROW(120:120))), "")</f>
        <v/>
      </c>
      <c r="E123" s="25" t="str">
        <f t="array" ref="E123">IFERROR(INDEX('Bank Schedule'!E:E, SMALL(IF('Bank Schedule'!$K$2:$K$825="Vacant", ROW('Bank Schedule'!$K$2:$K$825)), ROW(120:120))), "")</f>
        <v/>
      </c>
      <c r="F123" s="25" t="str">
        <f t="array" ref="F123">IFERROR(INDEX('Bank Schedule'!F:F, SMALL(IF('Bank Schedule'!$K$2:$K$825="Vacant", ROW('Bank Schedule'!$K$2:$K$825)), ROW(120:120))), "")</f>
        <v/>
      </c>
      <c r="G123" s="25" t="str">
        <f t="array" ref="G123">IFERROR(INDEX('Bank Schedule'!G:G, SMALL(IF('Bank Schedule'!$K$2:$K$825="Vacant", ROW('Bank Schedule'!$K$2:$K$825)), ROW(120:120))), "")</f>
        <v/>
      </c>
      <c r="H123" s="55" t="str">
        <f t="array" ref="H123">IFERROR(INDEX('Bank Schedule'!H:H, SMALL(IF('Bank Schedule'!$K$2:$K$825="Vacant", ROW('Bank Schedule'!$K$2:$K$825)), ROW(120:120))), "")</f>
        <v/>
      </c>
      <c r="I123" s="55" t="str">
        <f t="array" ref="I123">IFERROR(INDEX('Bank Schedule'!I:I, SMALL(IF('Bank Schedule'!$K$2:$K$825="Vacant", ROW('Bank Schedule'!$K$2:$K$825)), ROW(120:120))), "")</f>
        <v/>
      </c>
      <c r="J123" s="11" t="str">
        <f t="array" ref="J123">IFERROR(INDEX('Bank Schedule'!K:K, SMALL(IF('Bank Schedule'!$K$2:$K$825="Vacant", ROW('Bank Schedule'!$K$2:$K$825)), ROW(120:120))), "")</f>
        <v/>
      </c>
      <c r="K123" s="11" t="str">
        <f t="array" ref="K123">IFERROR(INDEX('Bank Schedule'!L:L, SMALL(IF('Bank Schedule'!$K$2:$K$825="Vacant", ROW('Bank Schedule'!$K$2:$K$825)), ROW(120:120))), "")</f>
        <v/>
      </c>
      <c r="L123" s="11" t="str">
        <f t="array" ref="L123">IFERROR(INDEX('Bank Schedule'!M:M, SMALL(IF('Bank Schedule'!$K$2:$K$825="Vacant", ROW('Bank Schedule'!$K$2:$K$825)), ROW(120:120))), "")</f>
        <v/>
      </c>
      <c r="M123" s="106" t="str">
        <f t="array" ref="M123">IFERROR(INDEX('Bank Schedule'!N:N, SMALL(IF('Bank Schedule'!$K$2:$K$825="Vacant", ROW('Bank Schedule'!$K$2:$K$825)), ROW(120:120))), "")</f>
        <v/>
      </c>
      <c r="N123" s="11" t="str">
        <f t="array" ref="N123">IFERROR(INDEX('Bank Schedule'!O:O, SMALL(IF('Bank Schedule'!$K$2:$K$825="Vacant", ROW('Bank Schedule'!$K$2:$K$825)), ROW(120:120))), "")</f>
        <v/>
      </c>
      <c r="O123" s="11" t="str">
        <f t="array" ref="O123">IFERROR(INDEX('Bank Schedule'!P:P, SMALL(IF('Bank Schedule'!$K$2:$K$825="Vacant", ROW('Bank Schedule'!$K$2:$K$825)), ROW(120:120))), "")</f>
        <v/>
      </c>
      <c r="P123" s="11" t="str">
        <f t="array" ref="P123">IFERROR(INDEX('Bank Schedule'!Q:Q, SMALL(IF('Bank Schedule'!$K$2:$K$825="Vacant", ROW('Bank Schedule'!$K$2:$K$825)), ROW(120:120))), "")</f>
        <v/>
      </c>
      <c r="Q123" s="11" t="str">
        <f t="array" ref="Q123">IFERROR(INDEX('Bank Schedule'!R:R, SMALL(IF('Bank Schedule'!$K$2:$K$825="Vacant", ROW('Bank Schedule'!$K$2:$K$825)), ROW(120:120))), "")</f>
        <v/>
      </c>
      <c r="R123" s="11" t="str">
        <f t="array" ref="R123">IFERROR(INDEX('Bank Schedule'!S:S, SMALL(IF('Bank Schedule'!$K$2:$K$825="Vacant", ROW('Bank Schedule'!$K$2:$K$825)), ROW(120:120))), "")</f>
        <v/>
      </c>
      <c r="S123" s="320" t="str">
        <f t="array" ref="S123">IFERROR(INDEX('Bank Schedule'!T:T, SMALL(IF('Bank Schedule'!$K$2:$K$825="Vacant", ROW('Bank Schedule'!$K$2:$K$825)), ROW(120:120))), "")</f>
        <v/>
      </c>
      <c r="T123" s="320" t="str">
        <f t="array" ref="T123">IFERROR(INDEX('Bank Schedule'!U:U, SMALL(IF('Bank Schedule'!$K$2:$K$825="Vacant", ROW('Bank Schedule'!$K$2:$K$825)), ROW(120:120))), "")</f>
        <v/>
      </c>
      <c r="U123" s="320" t="str">
        <f t="array" ref="U123">IFERROR(INDEX('Bank Schedule'!V:V, SMALL(IF('Bank Schedule'!$K$2:$K$825="Vacant", ROW('Bank Schedule'!$K$2:$K$825)), ROW(120:120))), "")</f>
        <v/>
      </c>
      <c r="V123" s="320" t="str">
        <f t="array" ref="V123">IFERROR(INDEX('Bank Schedule'!W:W, SMALL(IF('Bank Schedule'!$K$2:$K$825="Vacant", ROW('Bank Schedule'!$K$2:$K$825)), ROW(120:120))), "")</f>
        <v/>
      </c>
      <c r="W123" s="319" t="str">
        <f t="array" ref="W123">IFERROR(INDEX('Bank Schedule'!X:X, SMALL(IF('Bank Schedule'!$K$2:$K$825="Vacant", ROW('Bank Schedule'!$K$2:$K$825)), ROW(120:120))), "")</f>
        <v/>
      </c>
      <c r="X123" s="11" t="str">
        <f t="array" ref="X123">IFERROR(INDEX('Bank Schedule'!Y:Y, SMALL(IF('Bank Schedule'!$K$2:$K$825="Vacant", ROW('Bank Schedule'!$K$2:$K$825)), ROW(120:120))), "")</f>
        <v/>
      </c>
      <c r="Y123" s="11" t="str">
        <f t="array" ref="Y123">IFERROR(INDEX('Bank Schedule'!Z:Z, SMALL(IF('Bank Schedule'!$K$2:$K$825="Vacant", ROW('Bank Schedule'!$K$2:$K$825)), ROW(120:120))), "")</f>
        <v/>
      </c>
      <c r="Z123" s="11" t="str">
        <f t="array" ref="Z123">IFERROR(INDEX('Bank Schedule'!AA:AA, SMALL(IF('Bank Schedule'!$K$2:$K$825="Vacant", ROW('Bank Schedule'!$K$2:$K$825)), ROW(120:120))), "")</f>
        <v/>
      </c>
      <c r="AA123" s="11" t="str">
        <f t="array" ref="AA123">IFERROR(INDEX('Bank Schedule'!AB:AB, SMALL(IF('Bank Schedule'!$K$2:$K$825="Vacant", ROW('Bank Schedule'!$K$2:$K$825)), ROW(120:120))), "")</f>
        <v/>
      </c>
      <c r="AB123" s="25" t="str">
        <f t="array" ref="AB123">IFERROR(INDEX('Bank Schedule'!AC:AC, SMALL(IF('Bank Schedule'!$K$2:$K$825="Vacant", ROW('Bank Schedule'!$K$2:$K$825)), ROW(120:120))), "")</f>
        <v/>
      </c>
      <c r="AC123" s="299" t="str">
        <f t="array" ref="AC123">IFERROR(INDEX('Bank Schedule'!AD:AD, SMALL(IF('Bank Schedule'!$K$2:$K$825="Vacant", ROW('Bank Schedule'!$K$2:$K$825)), ROW(120:120))), "")</f>
        <v/>
      </c>
      <c r="AD123" s="11" t="str">
        <f t="array" ref="AD123">IFERROR(INDEX('Bank Schedule'!AE:AE, SMALL(IF('Bank Schedule'!$K$2:$K$825="Vacant", ROW('Bank Schedule'!$K$2:$K$825)), ROW(120:120))), "")</f>
        <v/>
      </c>
      <c r="AE123" s="11" t="str">
        <f t="array" ref="AE123">IFERROR(INDEX('Bank Schedule'!AF:AF, SMALL(IF('Bank Schedule'!$K$2:$K$825="Vacant", ROW('Bank Schedule'!$K$2:$K$825)), ROW(120:120))), "")</f>
        <v/>
      </c>
      <c r="AF123" s="11" t="str">
        <f t="array" ref="AF123">IFERROR(INDEX('Bank Schedule'!AG:AG, SMALL(IF('Bank Schedule'!$K$2:$K$825="Vacant", ROW('Bank Schedule'!$K$2:$K$825)), ROW(120:120))), "")</f>
        <v/>
      </c>
      <c r="AG123" s="4"/>
    </row>
    <row r="124" spans="1:33" ht="28.5" hidden="1" customHeight="1">
      <c r="A124" s="2" t="str">
        <f t="array" ref="A124">IFERROR(INDEX('Bank Schedule'!A:A, SMALL(IF('Bank Schedule'!$K$2:$K$825="Vacant", ROW('Bank Schedule'!$K$2:$K$825)), ROW(121:121))), "")</f>
        <v/>
      </c>
      <c r="B124" s="11" t="str">
        <f t="array" ref="B124">IFERROR(INDEX('Bank Schedule'!B:B, SMALL(IF('Bank Schedule'!$K$2:$K$825="Vacant", ROW('Bank Schedule'!$K$2:$K$825)), ROW(121:121))), "")</f>
        <v/>
      </c>
      <c r="C124" s="11" t="str">
        <f t="array" ref="C124">IFERROR(INDEX('Bank Schedule'!C:C, SMALL(IF('Bank Schedule'!$K$2:$K$825="Vacant", ROW('Bank Schedule'!$K$2:$K$825)), ROW(121:121))), "")</f>
        <v/>
      </c>
      <c r="D124" s="11" t="str">
        <f t="array" ref="D124">IFERROR(INDEX('Bank Schedule'!D:D, SMALL(IF('Bank Schedule'!$K$2:$K$825="Vacant", ROW('Bank Schedule'!$K$2:$K$825)), ROW(121:121))), "")</f>
        <v/>
      </c>
      <c r="E124" s="25" t="str">
        <f t="array" ref="E124">IFERROR(INDEX('Bank Schedule'!E:E, SMALL(IF('Bank Schedule'!$K$2:$K$825="Vacant", ROW('Bank Schedule'!$K$2:$K$825)), ROW(121:121))), "")</f>
        <v/>
      </c>
      <c r="F124" s="25" t="str">
        <f t="array" ref="F124">IFERROR(INDEX('Bank Schedule'!F:F, SMALL(IF('Bank Schedule'!$K$2:$K$825="Vacant", ROW('Bank Schedule'!$K$2:$K$825)), ROW(121:121))), "")</f>
        <v/>
      </c>
      <c r="G124" s="25" t="str">
        <f t="array" ref="G124">IFERROR(INDEX('Bank Schedule'!G:G, SMALL(IF('Bank Schedule'!$K$2:$K$825="Vacant", ROW('Bank Schedule'!$K$2:$K$825)), ROW(121:121))), "")</f>
        <v/>
      </c>
      <c r="H124" s="55" t="str">
        <f t="array" ref="H124">IFERROR(INDEX('Bank Schedule'!H:H, SMALL(IF('Bank Schedule'!$K$2:$K$825="Vacant", ROW('Bank Schedule'!$K$2:$K$825)), ROW(121:121))), "")</f>
        <v/>
      </c>
      <c r="I124" s="55" t="str">
        <f t="array" ref="I124">IFERROR(INDEX('Bank Schedule'!I:I, SMALL(IF('Bank Schedule'!$K$2:$K$825="Vacant", ROW('Bank Schedule'!$K$2:$K$825)), ROW(121:121))), "")</f>
        <v/>
      </c>
      <c r="J124" s="11" t="str">
        <f t="array" ref="J124">IFERROR(INDEX('Bank Schedule'!K:K, SMALL(IF('Bank Schedule'!$K$2:$K$825="Vacant", ROW('Bank Schedule'!$K$2:$K$825)), ROW(121:121))), "")</f>
        <v/>
      </c>
      <c r="K124" s="11" t="str">
        <f t="array" ref="K124">IFERROR(INDEX('Bank Schedule'!L:L, SMALL(IF('Bank Schedule'!$K$2:$K$825="Vacant", ROW('Bank Schedule'!$K$2:$K$825)), ROW(121:121))), "")</f>
        <v/>
      </c>
      <c r="L124" s="11" t="str">
        <f t="array" ref="L124">IFERROR(INDEX('Bank Schedule'!M:M, SMALL(IF('Bank Schedule'!$K$2:$K$825="Vacant", ROW('Bank Schedule'!$K$2:$K$825)), ROW(121:121))), "")</f>
        <v/>
      </c>
      <c r="M124" s="106" t="str">
        <f t="array" ref="M124">IFERROR(INDEX('Bank Schedule'!N:N, SMALL(IF('Bank Schedule'!$K$2:$K$825="Vacant", ROW('Bank Schedule'!$K$2:$K$825)), ROW(121:121))), "")</f>
        <v/>
      </c>
      <c r="N124" s="11" t="str">
        <f t="array" ref="N124">IFERROR(INDEX('Bank Schedule'!O:O, SMALL(IF('Bank Schedule'!$K$2:$K$825="Vacant", ROW('Bank Schedule'!$K$2:$K$825)), ROW(121:121))), "")</f>
        <v/>
      </c>
      <c r="O124" s="11" t="str">
        <f t="array" ref="O124">IFERROR(INDEX('Bank Schedule'!P:P, SMALL(IF('Bank Schedule'!$K$2:$K$825="Vacant", ROW('Bank Schedule'!$K$2:$K$825)), ROW(121:121))), "")</f>
        <v/>
      </c>
      <c r="P124" s="11" t="str">
        <f t="array" ref="P124">IFERROR(INDEX('Bank Schedule'!Q:Q, SMALL(IF('Bank Schedule'!$K$2:$K$825="Vacant", ROW('Bank Schedule'!$K$2:$K$825)), ROW(121:121))), "")</f>
        <v/>
      </c>
      <c r="Q124" s="11" t="str">
        <f t="array" ref="Q124">IFERROR(INDEX('Bank Schedule'!R:R, SMALL(IF('Bank Schedule'!$K$2:$K$825="Vacant", ROW('Bank Schedule'!$K$2:$K$825)), ROW(121:121))), "")</f>
        <v/>
      </c>
      <c r="R124" s="11" t="str">
        <f t="array" ref="R124">IFERROR(INDEX('Bank Schedule'!S:S, SMALL(IF('Bank Schedule'!$K$2:$K$825="Vacant", ROW('Bank Schedule'!$K$2:$K$825)), ROW(121:121))), "")</f>
        <v/>
      </c>
      <c r="S124" s="320" t="str">
        <f t="array" ref="S124">IFERROR(INDEX('Bank Schedule'!T:T, SMALL(IF('Bank Schedule'!$K$2:$K$825="Vacant", ROW('Bank Schedule'!$K$2:$K$825)), ROW(121:121))), "")</f>
        <v/>
      </c>
      <c r="T124" s="320" t="str">
        <f t="array" ref="T124">IFERROR(INDEX('Bank Schedule'!U:U, SMALL(IF('Bank Schedule'!$K$2:$K$825="Vacant", ROW('Bank Schedule'!$K$2:$K$825)), ROW(121:121))), "")</f>
        <v/>
      </c>
      <c r="U124" s="320" t="str">
        <f t="array" ref="U124">IFERROR(INDEX('Bank Schedule'!V:V, SMALL(IF('Bank Schedule'!$K$2:$K$825="Vacant", ROW('Bank Schedule'!$K$2:$K$825)), ROW(121:121))), "")</f>
        <v/>
      </c>
      <c r="V124" s="320" t="str">
        <f t="array" ref="V124">IFERROR(INDEX('Bank Schedule'!W:W, SMALL(IF('Bank Schedule'!$K$2:$K$825="Vacant", ROW('Bank Schedule'!$K$2:$K$825)), ROW(121:121))), "")</f>
        <v/>
      </c>
      <c r="W124" s="319" t="str">
        <f t="array" ref="W124">IFERROR(INDEX('Bank Schedule'!X:X, SMALL(IF('Bank Schedule'!$K$2:$K$825="Vacant", ROW('Bank Schedule'!$K$2:$K$825)), ROW(121:121))), "")</f>
        <v/>
      </c>
      <c r="X124" s="11" t="str">
        <f t="array" ref="X124">IFERROR(INDEX('Bank Schedule'!Y:Y, SMALL(IF('Bank Schedule'!$K$2:$K$825="Vacant", ROW('Bank Schedule'!$K$2:$K$825)), ROW(121:121))), "")</f>
        <v/>
      </c>
      <c r="Y124" s="11" t="str">
        <f t="array" ref="Y124">IFERROR(INDEX('Bank Schedule'!Z:Z, SMALL(IF('Bank Schedule'!$K$2:$K$825="Vacant", ROW('Bank Schedule'!$K$2:$K$825)), ROW(121:121))), "")</f>
        <v/>
      </c>
      <c r="Z124" s="11" t="str">
        <f t="array" ref="Z124">IFERROR(INDEX('Bank Schedule'!AA:AA, SMALL(IF('Bank Schedule'!$K$2:$K$825="Vacant", ROW('Bank Schedule'!$K$2:$K$825)), ROW(121:121))), "")</f>
        <v/>
      </c>
      <c r="AA124" s="11" t="str">
        <f t="array" ref="AA124">IFERROR(INDEX('Bank Schedule'!AB:AB, SMALL(IF('Bank Schedule'!$K$2:$K$825="Vacant", ROW('Bank Schedule'!$K$2:$K$825)), ROW(121:121))), "")</f>
        <v/>
      </c>
      <c r="AB124" s="25" t="str">
        <f t="array" ref="AB124">IFERROR(INDEX('Bank Schedule'!AC:AC, SMALL(IF('Bank Schedule'!$K$2:$K$825="Vacant", ROW('Bank Schedule'!$K$2:$K$825)), ROW(121:121))), "")</f>
        <v/>
      </c>
      <c r="AC124" s="299" t="str">
        <f t="array" ref="AC124">IFERROR(INDEX('Bank Schedule'!AD:AD, SMALL(IF('Bank Schedule'!$K$2:$K$825="Vacant", ROW('Bank Schedule'!$K$2:$K$825)), ROW(121:121))), "")</f>
        <v/>
      </c>
      <c r="AD124" s="11" t="str">
        <f t="array" ref="AD124">IFERROR(INDEX('Bank Schedule'!AE:AE, SMALL(IF('Bank Schedule'!$K$2:$K$825="Vacant", ROW('Bank Schedule'!$K$2:$K$825)), ROW(121:121))), "")</f>
        <v/>
      </c>
      <c r="AE124" s="11" t="str">
        <f t="array" ref="AE124">IFERROR(INDEX('Bank Schedule'!AF:AF, SMALL(IF('Bank Schedule'!$K$2:$K$825="Vacant", ROW('Bank Schedule'!$K$2:$K$825)), ROW(121:121))), "")</f>
        <v/>
      </c>
      <c r="AF124" s="11" t="str">
        <f t="array" ref="AF124">IFERROR(INDEX('Bank Schedule'!AG:AG, SMALL(IF('Bank Schedule'!$K$2:$K$825="Vacant", ROW('Bank Schedule'!$K$2:$K$825)), ROW(121:121))), "")</f>
        <v/>
      </c>
      <c r="AG124" s="4"/>
    </row>
    <row r="125" spans="1:33" ht="28.5" hidden="1" customHeight="1">
      <c r="A125" s="2" t="str">
        <f t="array" ref="A125">IFERROR(INDEX('Bank Schedule'!A:A, SMALL(IF('Bank Schedule'!$K$2:$K$825="Vacant", ROW('Bank Schedule'!$K$2:$K$825)), ROW(122:122))), "")</f>
        <v/>
      </c>
      <c r="B125" s="11" t="str">
        <f t="array" ref="B125">IFERROR(INDEX('Bank Schedule'!B:B, SMALL(IF('Bank Schedule'!$K$2:$K$825="Vacant", ROW('Bank Schedule'!$K$2:$K$825)), ROW(122:122))), "")</f>
        <v/>
      </c>
      <c r="C125" s="11" t="str">
        <f t="array" ref="C125">IFERROR(INDEX('Bank Schedule'!C:C, SMALL(IF('Bank Schedule'!$K$2:$K$825="Vacant", ROW('Bank Schedule'!$K$2:$K$825)), ROW(122:122))), "")</f>
        <v/>
      </c>
      <c r="D125" s="11" t="str">
        <f t="array" ref="D125">IFERROR(INDEX('Bank Schedule'!D:D, SMALL(IF('Bank Schedule'!$K$2:$K$825="Vacant", ROW('Bank Schedule'!$K$2:$K$825)), ROW(122:122))), "")</f>
        <v/>
      </c>
      <c r="E125" s="25" t="str">
        <f t="array" ref="E125">IFERROR(INDEX('Bank Schedule'!E:E, SMALL(IF('Bank Schedule'!$K$2:$K$825="Vacant", ROW('Bank Schedule'!$K$2:$K$825)), ROW(122:122))), "")</f>
        <v/>
      </c>
      <c r="F125" s="25" t="str">
        <f t="array" ref="F125">IFERROR(INDEX('Bank Schedule'!F:F, SMALL(IF('Bank Schedule'!$K$2:$K$825="Vacant", ROW('Bank Schedule'!$K$2:$K$825)), ROW(122:122))), "")</f>
        <v/>
      </c>
      <c r="G125" s="25" t="str">
        <f t="array" ref="G125">IFERROR(INDEX('Bank Schedule'!G:G, SMALL(IF('Bank Schedule'!$K$2:$K$825="Vacant", ROW('Bank Schedule'!$K$2:$K$825)), ROW(122:122))), "")</f>
        <v/>
      </c>
      <c r="H125" s="55" t="str">
        <f t="array" ref="H125">IFERROR(INDEX('Bank Schedule'!H:H, SMALL(IF('Bank Schedule'!$K$2:$K$825="Vacant", ROW('Bank Schedule'!$K$2:$K$825)), ROW(122:122))), "")</f>
        <v/>
      </c>
      <c r="I125" s="55" t="str">
        <f t="array" ref="I125">IFERROR(INDEX('Bank Schedule'!I:I, SMALL(IF('Bank Schedule'!$K$2:$K$825="Vacant", ROW('Bank Schedule'!$K$2:$K$825)), ROW(122:122))), "")</f>
        <v/>
      </c>
      <c r="J125" s="11" t="str">
        <f t="array" ref="J125">IFERROR(INDEX('Bank Schedule'!K:K, SMALL(IF('Bank Schedule'!$K$2:$K$825="Vacant", ROW('Bank Schedule'!$K$2:$K$825)), ROW(122:122))), "")</f>
        <v/>
      </c>
      <c r="K125" s="11" t="str">
        <f t="array" ref="K125">IFERROR(INDEX('Bank Schedule'!L:L, SMALL(IF('Bank Schedule'!$K$2:$K$825="Vacant", ROW('Bank Schedule'!$K$2:$K$825)), ROW(122:122))), "")</f>
        <v/>
      </c>
      <c r="L125" s="11" t="str">
        <f t="array" ref="L125">IFERROR(INDEX('Bank Schedule'!M:M, SMALL(IF('Bank Schedule'!$K$2:$K$825="Vacant", ROW('Bank Schedule'!$K$2:$K$825)), ROW(122:122))), "")</f>
        <v/>
      </c>
      <c r="M125" s="106" t="str">
        <f t="array" ref="M125">IFERROR(INDEX('Bank Schedule'!N:N, SMALL(IF('Bank Schedule'!$K$2:$K$825="Vacant", ROW('Bank Schedule'!$K$2:$K$825)), ROW(122:122))), "")</f>
        <v/>
      </c>
      <c r="N125" s="11" t="str">
        <f t="array" ref="N125">IFERROR(INDEX('Bank Schedule'!O:O, SMALL(IF('Bank Schedule'!$K$2:$K$825="Vacant", ROW('Bank Schedule'!$K$2:$K$825)), ROW(122:122))), "")</f>
        <v/>
      </c>
      <c r="O125" s="11" t="str">
        <f t="array" ref="O125">IFERROR(INDEX('Bank Schedule'!P:P, SMALL(IF('Bank Schedule'!$K$2:$K$825="Vacant", ROW('Bank Schedule'!$K$2:$K$825)), ROW(122:122))), "")</f>
        <v/>
      </c>
      <c r="P125" s="11" t="str">
        <f t="array" ref="P125">IFERROR(INDEX('Bank Schedule'!Q:Q, SMALL(IF('Bank Schedule'!$K$2:$K$825="Vacant", ROW('Bank Schedule'!$K$2:$K$825)), ROW(122:122))), "")</f>
        <v/>
      </c>
      <c r="Q125" s="11" t="str">
        <f t="array" ref="Q125">IFERROR(INDEX('Bank Schedule'!R:R, SMALL(IF('Bank Schedule'!$K$2:$K$825="Vacant", ROW('Bank Schedule'!$K$2:$K$825)), ROW(122:122))), "")</f>
        <v/>
      </c>
      <c r="R125" s="11" t="str">
        <f t="array" ref="R125">IFERROR(INDEX('Bank Schedule'!S:S, SMALL(IF('Bank Schedule'!$K$2:$K$825="Vacant", ROW('Bank Schedule'!$K$2:$K$825)), ROW(122:122))), "")</f>
        <v/>
      </c>
      <c r="S125" s="320" t="str">
        <f t="array" ref="S125">IFERROR(INDEX('Bank Schedule'!T:T, SMALL(IF('Bank Schedule'!$K$2:$K$825="Vacant", ROW('Bank Schedule'!$K$2:$K$825)), ROW(122:122))), "")</f>
        <v/>
      </c>
      <c r="T125" s="320" t="str">
        <f t="array" ref="T125">IFERROR(INDEX('Bank Schedule'!U:U, SMALL(IF('Bank Schedule'!$K$2:$K$825="Vacant", ROW('Bank Schedule'!$K$2:$K$825)), ROW(122:122))), "")</f>
        <v/>
      </c>
      <c r="U125" s="320" t="str">
        <f t="array" ref="U125">IFERROR(INDEX('Bank Schedule'!V:V, SMALL(IF('Bank Schedule'!$K$2:$K$825="Vacant", ROW('Bank Schedule'!$K$2:$K$825)), ROW(122:122))), "")</f>
        <v/>
      </c>
      <c r="V125" s="320" t="str">
        <f t="array" ref="V125">IFERROR(INDEX('Bank Schedule'!W:W, SMALL(IF('Bank Schedule'!$K$2:$K$825="Vacant", ROW('Bank Schedule'!$K$2:$K$825)), ROW(122:122))), "")</f>
        <v/>
      </c>
      <c r="W125" s="319" t="str">
        <f t="array" ref="W125">IFERROR(INDEX('Bank Schedule'!X:X, SMALL(IF('Bank Schedule'!$K$2:$K$825="Vacant", ROW('Bank Schedule'!$K$2:$K$825)), ROW(122:122))), "")</f>
        <v/>
      </c>
      <c r="X125" s="11" t="str">
        <f t="array" ref="X125">IFERROR(INDEX('Bank Schedule'!Y:Y, SMALL(IF('Bank Schedule'!$K$2:$K$825="Vacant", ROW('Bank Schedule'!$K$2:$K$825)), ROW(122:122))), "")</f>
        <v/>
      </c>
      <c r="Y125" s="11" t="str">
        <f t="array" ref="Y125">IFERROR(INDEX('Bank Schedule'!Z:Z, SMALL(IF('Bank Schedule'!$K$2:$K$825="Vacant", ROW('Bank Schedule'!$K$2:$K$825)), ROW(122:122))), "")</f>
        <v/>
      </c>
      <c r="Z125" s="11" t="str">
        <f t="array" ref="Z125">IFERROR(INDEX('Bank Schedule'!AA:AA, SMALL(IF('Bank Schedule'!$K$2:$K$825="Vacant", ROW('Bank Schedule'!$K$2:$K$825)), ROW(122:122))), "")</f>
        <v/>
      </c>
      <c r="AA125" s="11" t="str">
        <f t="array" ref="AA125">IFERROR(INDEX('Bank Schedule'!AB:AB, SMALL(IF('Bank Schedule'!$K$2:$K$825="Vacant", ROW('Bank Schedule'!$K$2:$K$825)), ROW(122:122))), "")</f>
        <v/>
      </c>
      <c r="AB125" s="25" t="str">
        <f t="array" ref="AB125">IFERROR(INDEX('Bank Schedule'!AC:AC, SMALL(IF('Bank Schedule'!$K$2:$K$825="Vacant", ROW('Bank Schedule'!$K$2:$K$825)), ROW(122:122))), "")</f>
        <v/>
      </c>
      <c r="AC125" s="299" t="str">
        <f t="array" ref="AC125">IFERROR(INDEX('Bank Schedule'!AD:AD, SMALL(IF('Bank Schedule'!$K$2:$K$825="Vacant", ROW('Bank Schedule'!$K$2:$K$825)), ROW(122:122))), "")</f>
        <v/>
      </c>
      <c r="AD125" s="11" t="str">
        <f t="array" ref="AD125">IFERROR(INDEX('Bank Schedule'!AE:AE, SMALL(IF('Bank Schedule'!$K$2:$K$825="Vacant", ROW('Bank Schedule'!$K$2:$K$825)), ROW(122:122))), "")</f>
        <v/>
      </c>
      <c r="AE125" s="11" t="str">
        <f t="array" ref="AE125">IFERROR(INDEX('Bank Schedule'!AF:AF, SMALL(IF('Bank Schedule'!$K$2:$K$825="Vacant", ROW('Bank Schedule'!$K$2:$K$825)), ROW(122:122))), "")</f>
        <v/>
      </c>
      <c r="AF125" s="11" t="str">
        <f t="array" ref="AF125">IFERROR(INDEX('Bank Schedule'!AG:AG, SMALL(IF('Bank Schedule'!$K$2:$K$825="Vacant", ROW('Bank Schedule'!$K$2:$K$825)), ROW(122:122))), "")</f>
        <v/>
      </c>
      <c r="AG125" s="4"/>
    </row>
    <row r="126" spans="1:33" ht="28.5" hidden="1" customHeight="1">
      <c r="A126" s="2" t="str">
        <f t="array" ref="A126">IFERROR(INDEX('Bank Schedule'!A:A, SMALL(IF('Bank Schedule'!$K$2:$K$825="Vacant", ROW('Bank Schedule'!$K$2:$K$825)), ROW(123:123))), "")</f>
        <v/>
      </c>
      <c r="B126" s="11" t="str">
        <f t="array" ref="B126">IFERROR(INDEX('Bank Schedule'!B:B, SMALL(IF('Bank Schedule'!$K$2:$K$825="Vacant", ROW('Bank Schedule'!$K$2:$K$825)), ROW(123:123))), "")</f>
        <v/>
      </c>
      <c r="C126" s="11" t="str">
        <f t="array" ref="C126">IFERROR(INDEX('Bank Schedule'!C:C, SMALL(IF('Bank Schedule'!$K$2:$K$825="Vacant", ROW('Bank Schedule'!$K$2:$K$825)), ROW(123:123))), "")</f>
        <v/>
      </c>
      <c r="D126" s="11" t="str">
        <f t="array" ref="D126">IFERROR(INDEX('Bank Schedule'!D:D, SMALL(IF('Bank Schedule'!$K$2:$K$825="Vacant", ROW('Bank Schedule'!$K$2:$K$825)), ROW(123:123))), "")</f>
        <v/>
      </c>
      <c r="E126" s="25" t="str">
        <f t="array" ref="E126">IFERROR(INDEX('Bank Schedule'!E:E, SMALL(IF('Bank Schedule'!$K$2:$K$825="Vacant", ROW('Bank Schedule'!$K$2:$K$825)), ROW(123:123))), "")</f>
        <v/>
      </c>
      <c r="F126" s="25" t="str">
        <f t="array" ref="F126">IFERROR(INDEX('Bank Schedule'!F:F, SMALL(IF('Bank Schedule'!$K$2:$K$825="Vacant", ROW('Bank Schedule'!$K$2:$K$825)), ROW(123:123))), "")</f>
        <v/>
      </c>
      <c r="G126" s="25" t="str">
        <f t="array" ref="G126">IFERROR(INDEX('Bank Schedule'!G:G, SMALL(IF('Bank Schedule'!$K$2:$K$825="Vacant", ROW('Bank Schedule'!$K$2:$K$825)), ROW(123:123))), "")</f>
        <v/>
      </c>
      <c r="H126" s="55" t="str">
        <f t="array" ref="H126">IFERROR(INDEX('Bank Schedule'!H:H, SMALL(IF('Bank Schedule'!$K$2:$K$825="Vacant", ROW('Bank Schedule'!$K$2:$K$825)), ROW(123:123))), "")</f>
        <v/>
      </c>
      <c r="I126" s="55" t="str">
        <f t="array" ref="I126">IFERROR(INDEX('Bank Schedule'!I:I, SMALL(IF('Bank Schedule'!$K$2:$K$825="Vacant", ROW('Bank Schedule'!$K$2:$K$825)), ROW(123:123))), "")</f>
        <v/>
      </c>
      <c r="J126" s="11" t="str">
        <f t="array" ref="J126">IFERROR(INDEX('Bank Schedule'!K:K, SMALL(IF('Bank Schedule'!$K$2:$K$825="Vacant", ROW('Bank Schedule'!$K$2:$K$825)), ROW(123:123))), "")</f>
        <v/>
      </c>
      <c r="K126" s="11" t="str">
        <f t="array" ref="K126">IFERROR(INDEX('Bank Schedule'!L:L, SMALL(IF('Bank Schedule'!$K$2:$K$825="Vacant", ROW('Bank Schedule'!$K$2:$K$825)), ROW(123:123))), "")</f>
        <v/>
      </c>
      <c r="L126" s="11" t="str">
        <f t="array" ref="L126">IFERROR(INDEX('Bank Schedule'!M:M, SMALL(IF('Bank Schedule'!$K$2:$K$825="Vacant", ROW('Bank Schedule'!$K$2:$K$825)), ROW(123:123))), "")</f>
        <v/>
      </c>
      <c r="M126" s="106" t="str">
        <f t="array" ref="M126">IFERROR(INDEX('Bank Schedule'!N:N, SMALL(IF('Bank Schedule'!$K$2:$K$825="Vacant", ROW('Bank Schedule'!$K$2:$K$825)), ROW(123:123))), "")</f>
        <v/>
      </c>
      <c r="N126" s="11" t="str">
        <f t="array" ref="N126">IFERROR(INDEX('Bank Schedule'!O:O, SMALL(IF('Bank Schedule'!$K$2:$K$825="Vacant", ROW('Bank Schedule'!$K$2:$K$825)), ROW(123:123))), "")</f>
        <v/>
      </c>
      <c r="O126" s="11" t="str">
        <f t="array" ref="O126">IFERROR(INDEX('Bank Schedule'!P:P, SMALL(IF('Bank Schedule'!$K$2:$K$825="Vacant", ROW('Bank Schedule'!$K$2:$K$825)), ROW(123:123))), "")</f>
        <v/>
      </c>
      <c r="P126" s="11" t="str">
        <f t="array" ref="P126">IFERROR(INDEX('Bank Schedule'!Q:Q, SMALL(IF('Bank Schedule'!$K$2:$K$825="Vacant", ROW('Bank Schedule'!$K$2:$K$825)), ROW(123:123))), "")</f>
        <v/>
      </c>
      <c r="Q126" s="11" t="str">
        <f t="array" ref="Q126">IFERROR(INDEX('Bank Schedule'!R:R, SMALL(IF('Bank Schedule'!$K$2:$K$825="Vacant", ROW('Bank Schedule'!$K$2:$K$825)), ROW(123:123))), "")</f>
        <v/>
      </c>
      <c r="R126" s="11" t="str">
        <f t="array" ref="R126">IFERROR(INDEX('Bank Schedule'!S:S, SMALL(IF('Bank Schedule'!$K$2:$K$825="Vacant", ROW('Bank Schedule'!$K$2:$K$825)), ROW(123:123))), "")</f>
        <v/>
      </c>
      <c r="S126" s="320" t="str">
        <f t="array" ref="S126">IFERROR(INDEX('Bank Schedule'!T:T, SMALL(IF('Bank Schedule'!$K$2:$K$825="Vacant", ROW('Bank Schedule'!$K$2:$K$825)), ROW(123:123))), "")</f>
        <v/>
      </c>
      <c r="T126" s="320" t="str">
        <f t="array" ref="T126">IFERROR(INDEX('Bank Schedule'!U:U, SMALL(IF('Bank Schedule'!$K$2:$K$825="Vacant", ROW('Bank Schedule'!$K$2:$K$825)), ROW(123:123))), "")</f>
        <v/>
      </c>
      <c r="U126" s="320" t="str">
        <f t="array" ref="U126">IFERROR(INDEX('Bank Schedule'!V:V, SMALL(IF('Bank Schedule'!$K$2:$K$825="Vacant", ROW('Bank Schedule'!$K$2:$K$825)), ROW(123:123))), "")</f>
        <v/>
      </c>
      <c r="V126" s="320" t="str">
        <f t="array" ref="V126">IFERROR(INDEX('Bank Schedule'!W:W, SMALL(IF('Bank Schedule'!$K$2:$K$825="Vacant", ROW('Bank Schedule'!$K$2:$K$825)), ROW(123:123))), "")</f>
        <v/>
      </c>
      <c r="W126" s="319" t="str">
        <f t="array" ref="W126">IFERROR(INDEX('Bank Schedule'!X:X, SMALL(IF('Bank Schedule'!$K$2:$K$825="Vacant", ROW('Bank Schedule'!$K$2:$K$825)), ROW(123:123))), "")</f>
        <v/>
      </c>
      <c r="X126" s="11" t="str">
        <f t="array" ref="X126">IFERROR(INDEX('Bank Schedule'!Y:Y, SMALL(IF('Bank Schedule'!$K$2:$K$825="Vacant", ROW('Bank Schedule'!$K$2:$K$825)), ROW(123:123))), "")</f>
        <v/>
      </c>
      <c r="Y126" s="11" t="str">
        <f t="array" ref="Y126">IFERROR(INDEX('Bank Schedule'!Z:Z, SMALL(IF('Bank Schedule'!$K$2:$K$825="Vacant", ROW('Bank Schedule'!$K$2:$K$825)), ROW(123:123))), "")</f>
        <v/>
      </c>
      <c r="Z126" s="11" t="str">
        <f t="array" ref="Z126">IFERROR(INDEX('Bank Schedule'!AA:AA, SMALL(IF('Bank Schedule'!$K$2:$K$825="Vacant", ROW('Bank Schedule'!$K$2:$K$825)), ROW(123:123))), "")</f>
        <v/>
      </c>
      <c r="AA126" s="11" t="str">
        <f t="array" ref="AA126">IFERROR(INDEX('Bank Schedule'!AB:AB, SMALL(IF('Bank Schedule'!$K$2:$K$825="Vacant", ROW('Bank Schedule'!$K$2:$K$825)), ROW(123:123))), "")</f>
        <v/>
      </c>
      <c r="AB126" s="25" t="str">
        <f t="array" ref="AB126">IFERROR(INDEX('Bank Schedule'!AC:AC, SMALL(IF('Bank Schedule'!$K$2:$K$825="Vacant", ROW('Bank Schedule'!$K$2:$K$825)), ROW(123:123))), "")</f>
        <v/>
      </c>
      <c r="AC126" s="299" t="str">
        <f t="array" ref="AC126">IFERROR(INDEX('Bank Schedule'!AD:AD, SMALL(IF('Bank Schedule'!$K$2:$K$825="Vacant", ROW('Bank Schedule'!$K$2:$K$825)), ROW(123:123))), "")</f>
        <v/>
      </c>
      <c r="AD126" s="11" t="str">
        <f t="array" ref="AD126">IFERROR(INDEX('Bank Schedule'!AE:AE, SMALL(IF('Bank Schedule'!$K$2:$K$825="Vacant", ROW('Bank Schedule'!$K$2:$K$825)), ROW(123:123))), "")</f>
        <v/>
      </c>
      <c r="AE126" s="11" t="str">
        <f t="array" ref="AE126">IFERROR(INDEX('Bank Schedule'!AF:AF, SMALL(IF('Bank Schedule'!$K$2:$K$825="Vacant", ROW('Bank Schedule'!$K$2:$K$825)), ROW(123:123))), "")</f>
        <v/>
      </c>
      <c r="AF126" s="11" t="str">
        <f t="array" ref="AF126">IFERROR(INDEX('Bank Schedule'!AG:AG, SMALL(IF('Bank Schedule'!$K$2:$K$825="Vacant", ROW('Bank Schedule'!$K$2:$K$825)), ROW(123:123))), "")</f>
        <v/>
      </c>
      <c r="AG126" s="4"/>
    </row>
    <row r="127" spans="1:33" ht="28.5" hidden="1" customHeight="1">
      <c r="A127" s="2" t="str">
        <f t="array" ref="A127">IFERROR(INDEX('Bank Schedule'!A:A, SMALL(IF('Bank Schedule'!$K$2:$K$825="Vacant", ROW('Bank Schedule'!$K$2:$K$825)), ROW(124:124))), "")</f>
        <v/>
      </c>
      <c r="B127" s="11" t="str">
        <f t="array" ref="B127">IFERROR(INDEX('Bank Schedule'!B:B, SMALL(IF('Bank Schedule'!$K$2:$K$825="Vacant", ROW('Bank Schedule'!$K$2:$K$825)), ROW(124:124))), "")</f>
        <v/>
      </c>
      <c r="C127" s="11" t="str">
        <f t="array" ref="C127">IFERROR(INDEX('Bank Schedule'!C:C, SMALL(IF('Bank Schedule'!$K$2:$K$825="Vacant", ROW('Bank Schedule'!$K$2:$K$825)), ROW(124:124))), "")</f>
        <v/>
      </c>
      <c r="D127" s="11" t="str">
        <f t="array" ref="D127">IFERROR(INDEX('Bank Schedule'!D:D, SMALL(IF('Bank Schedule'!$K$2:$K$825="Vacant", ROW('Bank Schedule'!$K$2:$K$825)), ROW(124:124))), "")</f>
        <v/>
      </c>
      <c r="E127" s="25" t="str">
        <f t="array" ref="E127">IFERROR(INDEX('Bank Schedule'!E:E, SMALL(IF('Bank Schedule'!$K$2:$K$825="Vacant", ROW('Bank Schedule'!$K$2:$K$825)), ROW(124:124))), "")</f>
        <v/>
      </c>
      <c r="F127" s="25" t="str">
        <f t="array" ref="F127">IFERROR(INDEX('Bank Schedule'!F:F, SMALL(IF('Bank Schedule'!$K$2:$K$825="Vacant", ROW('Bank Schedule'!$K$2:$K$825)), ROW(124:124))), "")</f>
        <v/>
      </c>
      <c r="G127" s="25" t="str">
        <f t="array" ref="G127">IFERROR(INDEX('Bank Schedule'!G:G, SMALL(IF('Bank Schedule'!$K$2:$K$825="Vacant", ROW('Bank Schedule'!$K$2:$K$825)), ROW(124:124))), "")</f>
        <v/>
      </c>
      <c r="H127" s="55" t="str">
        <f t="array" ref="H127">IFERROR(INDEX('Bank Schedule'!H:H, SMALL(IF('Bank Schedule'!$K$2:$K$825="Vacant", ROW('Bank Schedule'!$K$2:$K$825)), ROW(124:124))), "")</f>
        <v/>
      </c>
      <c r="I127" s="55" t="str">
        <f t="array" ref="I127">IFERROR(INDEX('Bank Schedule'!I:I, SMALL(IF('Bank Schedule'!$K$2:$K$825="Vacant", ROW('Bank Schedule'!$K$2:$K$825)), ROW(124:124))), "")</f>
        <v/>
      </c>
      <c r="J127" s="11" t="str">
        <f t="array" ref="J127">IFERROR(INDEX('Bank Schedule'!K:K, SMALL(IF('Bank Schedule'!$K$2:$K$825="Vacant", ROW('Bank Schedule'!$K$2:$K$825)), ROW(124:124))), "")</f>
        <v/>
      </c>
      <c r="K127" s="11" t="str">
        <f t="array" ref="K127">IFERROR(INDEX('Bank Schedule'!L:L, SMALL(IF('Bank Schedule'!$K$2:$K$825="Vacant", ROW('Bank Schedule'!$K$2:$K$825)), ROW(124:124))), "")</f>
        <v/>
      </c>
      <c r="L127" s="11" t="str">
        <f t="array" ref="L127">IFERROR(INDEX('Bank Schedule'!M:M, SMALL(IF('Bank Schedule'!$K$2:$K$825="Vacant", ROW('Bank Schedule'!$K$2:$K$825)), ROW(124:124))), "")</f>
        <v/>
      </c>
      <c r="M127" s="106" t="str">
        <f t="array" ref="M127">IFERROR(INDEX('Bank Schedule'!N:N, SMALL(IF('Bank Schedule'!$K$2:$K$825="Vacant", ROW('Bank Schedule'!$K$2:$K$825)), ROW(124:124))), "")</f>
        <v/>
      </c>
      <c r="N127" s="11" t="str">
        <f t="array" ref="N127">IFERROR(INDEX('Bank Schedule'!O:O, SMALL(IF('Bank Schedule'!$K$2:$K$825="Vacant", ROW('Bank Schedule'!$K$2:$K$825)), ROW(124:124))), "")</f>
        <v/>
      </c>
      <c r="O127" s="11" t="str">
        <f t="array" ref="O127">IFERROR(INDEX('Bank Schedule'!P:P, SMALL(IF('Bank Schedule'!$K$2:$K$825="Vacant", ROW('Bank Schedule'!$K$2:$K$825)), ROW(124:124))), "")</f>
        <v/>
      </c>
      <c r="P127" s="11" t="str">
        <f t="array" ref="P127">IFERROR(INDEX('Bank Schedule'!Q:Q, SMALL(IF('Bank Schedule'!$K$2:$K$825="Vacant", ROW('Bank Schedule'!$K$2:$K$825)), ROW(124:124))), "")</f>
        <v/>
      </c>
      <c r="Q127" s="11" t="str">
        <f t="array" ref="Q127">IFERROR(INDEX('Bank Schedule'!R:R, SMALL(IF('Bank Schedule'!$K$2:$K$825="Vacant", ROW('Bank Schedule'!$K$2:$K$825)), ROW(124:124))), "")</f>
        <v/>
      </c>
      <c r="R127" s="11" t="str">
        <f t="array" ref="R127">IFERROR(INDEX('Bank Schedule'!S:S, SMALL(IF('Bank Schedule'!$K$2:$K$825="Vacant", ROW('Bank Schedule'!$K$2:$K$825)), ROW(124:124))), "")</f>
        <v/>
      </c>
      <c r="S127" s="320" t="str">
        <f t="array" ref="S127">IFERROR(INDEX('Bank Schedule'!T:T, SMALL(IF('Bank Schedule'!$K$2:$K$825="Vacant", ROW('Bank Schedule'!$K$2:$K$825)), ROW(124:124))), "")</f>
        <v/>
      </c>
      <c r="T127" s="320" t="str">
        <f t="array" ref="T127">IFERROR(INDEX('Bank Schedule'!U:U, SMALL(IF('Bank Schedule'!$K$2:$K$825="Vacant", ROW('Bank Schedule'!$K$2:$K$825)), ROW(124:124))), "")</f>
        <v/>
      </c>
      <c r="U127" s="320" t="str">
        <f t="array" ref="U127">IFERROR(INDEX('Bank Schedule'!V:V, SMALL(IF('Bank Schedule'!$K$2:$K$825="Vacant", ROW('Bank Schedule'!$K$2:$K$825)), ROW(124:124))), "")</f>
        <v/>
      </c>
      <c r="V127" s="320" t="str">
        <f t="array" ref="V127">IFERROR(INDEX('Bank Schedule'!W:W, SMALL(IF('Bank Schedule'!$K$2:$K$825="Vacant", ROW('Bank Schedule'!$K$2:$K$825)), ROW(124:124))), "")</f>
        <v/>
      </c>
      <c r="W127" s="319" t="str">
        <f t="array" ref="W127">IFERROR(INDEX('Bank Schedule'!X:X, SMALL(IF('Bank Schedule'!$K$2:$K$825="Vacant", ROW('Bank Schedule'!$K$2:$K$825)), ROW(124:124))), "")</f>
        <v/>
      </c>
      <c r="X127" s="11" t="str">
        <f t="array" ref="X127">IFERROR(INDEX('Bank Schedule'!Y:Y, SMALL(IF('Bank Schedule'!$K$2:$K$825="Vacant", ROW('Bank Schedule'!$K$2:$K$825)), ROW(124:124))), "")</f>
        <v/>
      </c>
      <c r="Y127" s="11" t="str">
        <f t="array" ref="Y127">IFERROR(INDEX('Bank Schedule'!Z:Z, SMALL(IF('Bank Schedule'!$K$2:$K$825="Vacant", ROW('Bank Schedule'!$K$2:$K$825)), ROW(124:124))), "")</f>
        <v/>
      </c>
      <c r="Z127" s="11" t="str">
        <f t="array" ref="Z127">IFERROR(INDEX('Bank Schedule'!AA:AA, SMALL(IF('Bank Schedule'!$K$2:$K$825="Vacant", ROW('Bank Schedule'!$K$2:$K$825)), ROW(124:124))), "")</f>
        <v/>
      </c>
      <c r="AA127" s="11" t="str">
        <f t="array" ref="AA127">IFERROR(INDEX('Bank Schedule'!AB:AB, SMALL(IF('Bank Schedule'!$K$2:$K$825="Vacant", ROW('Bank Schedule'!$K$2:$K$825)), ROW(124:124))), "")</f>
        <v/>
      </c>
      <c r="AB127" s="25" t="str">
        <f t="array" ref="AB127">IFERROR(INDEX('Bank Schedule'!AC:AC, SMALL(IF('Bank Schedule'!$K$2:$K$825="Vacant", ROW('Bank Schedule'!$K$2:$K$825)), ROW(124:124))), "")</f>
        <v/>
      </c>
      <c r="AC127" s="299" t="str">
        <f t="array" ref="AC127">IFERROR(INDEX('Bank Schedule'!AD:AD, SMALL(IF('Bank Schedule'!$K$2:$K$825="Vacant", ROW('Bank Schedule'!$K$2:$K$825)), ROW(124:124))), "")</f>
        <v/>
      </c>
      <c r="AD127" s="11" t="str">
        <f t="array" ref="AD127">IFERROR(INDEX('Bank Schedule'!AE:AE, SMALL(IF('Bank Schedule'!$K$2:$K$825="Vacant", ROW('Bank Schedule'!$K$2:$K$825)), ROW(124:124))), "")</f>
        <v/>
      </c>
      <c r="AE127" s="11" t="str">
        <f t="array" ref="AE127">IFERROR(INDEX('Bank Schedule'!AF:AF, SMALL(IF('Bank Schedule'!$K$2:$K$825="Vacant", ROW('Bank Schedule'!$K$2:$K$825)), ROW(124:124))), "")</f>
        <v/>
      </c>
      <c r="AF127" s="11" t="str">
        <f t="array" ref="AF127">IFERROR(INDEX('Bank Schedule'!AG:AG, SMALL(IF('Bank Schedule'!$K$2:$K$825="Vacant", ROW('Bank Schedule'!$K$2:$K$825)), ROW(124:124))), "")</f>
        <v/>
      </c>
      <c r="AG127" s="4"/>
    </row>
    <row r="128" spans="1:33" ht="28.5" hidden="1" customHeight="1">
      <c r="A128" s="2" t="str">
        <f t="array" ref="A128">IFERROR(INDEX('Bank Schedule'!A:A, SMALL(IF('Bank Schedule'!$K$2:$K$825="Vacant", ROW('Bank Schedule'!$K$2:$K$825)), ROW(125:125))), "")</f>
        <v/>
      </c>
      <c r="B128" s="11" t="str">
        <f t="array" ref="B128">IFERROR(INDEX('Bank Schedule'!B:B, SMALL(IF('Bank Schedule'!$K$2:$K$825="Vacant", ROW('Bank Schedule'!$K$2:$K$825)), ROW(125:125))), "")</f>
        <v/>
      </c>
      <c r="C128" s="11" t="str">
        <f t="array" ref="C128">IFERROR(INDEX('Bank Schedule'!C:C, SMALL(IF('Bank Schedule'!$K$2:$K$825="Vacant", ROW('Bank Schedule'!$K$2:$K$825)), ROW(125:125))), "")</f>
        <v/>
      </c>
      <c r="D128" s="11" t="str">
        <f t="array" ref="D128">IFERROR(INDEX('Bank Schedule'!D:D, SMALL(IF('Bank Schedule'!$K$2:$K$825="Vacant", ROW('Bank Schedule'!$K$2:$K$825)), ROW(125:125))), "")</f>
        <v/>
      </c>
      <c r="E128" s="25" t="str">
        <f t="array" ref="E128">IFERROR(INDEX('Bank Schedule'!E:E, SMALL(IF('Bank Schedule'!$K$2:$K$825="Vacant", ROW('Bank Schedule'!$K$2:$K$825)), ROW(125:125))), "")</f>
        <v/>
      </c>
      <c r="F128" s="25" t="str">
        <f t="array" ref="F128">IFERROR(INDEX('Bank Schedule'!F:F, SMALL(IF('Bank Schedule'!$K$2:$K$825="Vacant", ROW('Bank Schedule'!$K$2:$K$825)), ROW(125:125))), "")</f>
        <v/>
      </c>
      <c r="G128" s="25" t="str">
        <f t="array" ref="G128">IFERROR(INDEX('Bank Schedule'!G:G, SMALL(IF('Bank Schedule'!$K$2:$K$825="Vacant", ROW('Bank Schedule'!$K$2:$K$825)), ROW(125:125))), "")</f>
        <v/>
      </c>
      <c r="H128" s="55" t="str">
        <f t="array" ref="H128">IFERROR(INDEX('Bank Schedule'!H:H, SMALL(IF('Bank Schedule'!$K$2:$K$825="Vacant", ROW('Bank Schedule'!$K$2:$K$825)), ROW(125:125))), "")</f>
        <v/>
      </c>
      <c r="I128" s="55" t="str">
        <f t="array" ref="I128">IFERROR(INDEX('Bank Schedule'!I:I, SMALL(IF('Bank Schedule'!$K$2:$K$825="Vacant", ROW('Bank Schedule'!$K$2:$K$825)), ROW(125:125))), "")</f>
        <v/>
      </c>
      <c r="J128" s="11" t="str">
        <f t="array" ref="J128">IFERROR(INDEX('Bank Schedule'!K:K, SMALL(IF('Bank Schedule'!$K$2:$K$825="Vacant", ROW('Bank Schedule'!$K$2:$K$825)), ROW(125:125))), "")</f>
        <v/>
      </c>
      <c r="K128" s="11" t="str">
        <f t="array" ref="K128">IFERROR(INDEX('Bank Schedule'!L:L, SMALL(IF('Bank Schedule'!$K$2:$K$825="Vacant", ROW('Bank Schedule'!$K$2:$K$825)), ROW(125:125))), "")</f>
        <v/>
      </c>
      <c r="L128" s="11" t="str">
        <f t="array" ref="L128">IFERROR(INDEX('Bank Schedule'!M:M, SMALL(IF('Bank Schedule'!$K$2:$K$825="Vacant", ROW('Bank Schedule'!$K$2:$K$825)), ROW(125:125))), "")</f>
        <v/>
      </c>
      <c r="M128" s="106" t="str">
        <f t="array" ref="M128">IFERROR(INDEX('Bank Schedule'!N:N, SMALL(IF('Bank Schedule'!$K$2:$K$825="Vacant", ROW('Bank Schedule'!$K$2:$K$825)), ROW(125:125))), "")</f>
        <v/>
      </c>
      <c r="N128" s="11" t="str">
        <f t="array" ref="N128">IFERROR(INDEX('Bank Schedule'!O:O, SMALL(IF('Bank Schedule'!$K$2:$K$825="Vacant", ROW('Bank Schedule'!$K$2:$K$825)), ROW(125:125))), "")</f>
        <v/>
      </c>
      <c r="O128" s="11" t="str">
        <f t="array" ref="O128">IFERROR(INDEX('Bank Schedule'!P:P, SMALL(IF('Bank Schedule'!$K$2:$K$825="Vacant", ROW('Bank Schedule'!$K$2:$K$825)), ROW(125:125))), "")</f>
        <v/>
      </c>
      <c r="P128" s="11" t="str">
        <f t="array" ref="P128">IFERROR(INDEX('Bank Schedule'!Q:Q, SMALL(IF('Bank Schedule'!$K$2:$K$825="Vacant", ROW('Bank Schedule'!$K$2:$K$825)), ROW(125:125))), "")</f>
        <v/>
      </c>
      <c r="Q128" s="11" t="str">
        <f t="array" ref="Q128">IFERROR(INDEX('Bank Schedule'!R:R, SMALL(IF('Bank Schedule'!$K$2:$K$825="Vacant", ROW('Bank Schedule'!$K$2:$K$825)), ROW(125:125))), "")</f>
        <v/>
      </c>
      <c r="R128" s="11" t="str">
        <f t="array" ref="R128">IFERROR(INDEX('Bank Schedule'!S:S, SMALL(IF('Bank Schedule'!$K$2:$K$825="Vacant", ROW('Bank Schedule'!$K$2:$K$825)), ROW(125:125))), "")</f>
        <v/>
      </c>
      <c r="S128" s="320" t="str">
        <f t="array" ref="S128">IFERROR(INDEX('Bank Schedule'!T:T, SMALL(IF('Bank Schedule'!$K$2:$K$825="Vacant", ROW('Bank Schedule'!$K$2:$K$825)), ROW(125:125))), "")</f>
        <v/>
      </c>
      <c r="T128" s="320" t="str">
        <f t="array" ref="T128">IFERROR(INDEX('Bank Schedule'!U:U, SMALL(IF('Bank Schedule'!$K$2:$K$825="Vacant", ROW('Bank Schedule'!$K$2:$K$825)), ROW(125:125))), "")</f>
        <v/>
      </c>
      <c r="U128" s="320" t="str">
        <f t="array" ref="U128">IFERROR(INDEX('Bank Schedule'!V:V, SMALL(IF('Bank Schedule'!$K$2:$K$825="Vacant", ROW('Bank Schedule'!$K$2:$K$825)), ROW(125:125))), "")</f>
        <v/>
      </c>
      <c r="V128" s="320" t="str">
        <f t="array" ref="V128">IFERROR(INDEX('Bank Schedule'!W:W, SMALL(IF('Bank Schedule'!$K$2:$K$825="Vacant", ROW('Bank Schedule'!$K$2:$K$825)), ROW(125:125))), "")</f>
        <v/>
      </c>
      <c r="W128" s="319" t="str">
        <f t="array" ref="W128">IFERROR(INDEX('Bank Schedule'!X:X, SMALL(IF('Bank Schedule'!$K$2:$K$825="Vacant", ROW('Bank Schedule'!$K$2:$K$825)), ROW(125:125))), "")</f>
        <v/>
      </c>
      <c r="X128" s="11" t="str">
        <f t="array" ref="X128">IFERROR(INDEX('Bank Schedule'!Y:Y, SMALL(IF('Bank Schedule'!$K$2:$K$825="Vacant", ROW('Bank Schedule'!$K$2:$K$825)), ROW(125:125))), "")</f>
        <v/>
      </c>
      <c r="Y128" s="11" t="str">
        <f t="array" ref="Y128">IFERROR(INDEX('Bank Schedule'!Z:Z, SMALL(IF('Bank Schedule'!$K$2:$K$825="Vacant", ROW('Bank Schedule'!$K$2:$K$825)), ROW(125:125))), "")</f>
        <v/>
      </c>
      <c r="Z128" s="11" t="str">
        <f t="array" ref="Z128">IFERROR(INDEX('Bank Schedule'!AA:AA, SMALL(IF('Bank Schedule'!$K$2:$K$825="Vacant", ROW('Bank Schedule'!$K$2:$K$825)), ROW(125:125))), "")</f>
        <v/>
      </c>
      <c r="AA128" s="11" t="str">
        <f t="array" ref="AA128">IFERROR(INDEX('Bank Schedule'!AB:AB, SMALL(IF('Bank Schedule'!$K$2:$K$825="Vacant", ROW('Bank Schedule'!$K$2:$K$825)), ROW(125:125))), "")</f>
        <v/>
      </c>
      <c r="AB128" s="25" t="str">
        <f t="array" ref="AB128">IFERROR(INDEX('Bank Schedule'!AC:AC, SMALL(IF('Bank Schedule'!$K$2:$K$825="Vacant", ROW('Bank Schedule'!$K$2:$K$825)), ROW(125:125))), "")</f>
        <v/>
      </c>
      <c r="AC128" s="299" t="str">
        <f t="array" ref="AC128">IFERROR(INDEX('Bank Schedule'!AD:AD, SMALL(IF('Bank Schedule'!$K$2:$K$825="Vacant", ROW('Bank Schedule'!$K$2:$K$825)), ROW(125:125))), "")</f>
        <v/>
      </c>
      <c r="AD128" s="11" t="str">
        <f t="array" ref="AD128">IFERROR(INDEX('Bank Schedule'!AE:AE, SMALL(IF('Bank Schedule'!$K$2:$K$825="Vacant", ROW('Bank Schedule'!$K$2:$K$825)), ROW(125:125))), "")</f>
        <v/>
      </c>
      <c r="AE128" s="11" t="str">
        <f t="array" ref="AE128">IFERROR(INDEX('Bank Schedule'!AF:AF, SMALL(IF('Bank Schedule'!$K$2:$K$825="Vacant", ROW('Bank Schedule'!$K$2:$K$825)), ROW(125:125))), "")</f>
        <v/>
      </c>
      <c r="AF128" s="11" t="str">
        <f t="array" ref="AF128">IFERROR(INDEX('Bank Schedule'!AG:AG, SMALL(IF('Bank Schedule'!$K$2:$K$825="Vacant", ROW('Bank Schedule'!$K$2:$K$825)), ROW(125:125))), "")</f>
        <v/>
      </c>
      <c r="AG128" s="4"/>
    </row>
    <row r="129" spans="1:35" ht="28.5" hidden="1" customHeight="1">
      <c r="A129" s="2" t="str">
        <f t="array" ref="A129">IFERROR(INDEX('Bank Schedule'!A:A, SMALL(IF('Bank Schedule'!$K$2:$K$825="Vacant", ROW('Bank Schedule'!$K$2:$K$825)), ROW(126:126))), "")</f>
        <v/>
      </c>
      <c r="B129" s="11" t="str">
        <f t="array" ref="B129">IFERROR(INDEX('Bank Schedule'!B:B, SMALL(IF('Bank Schedule'!$K$2:$K$825="Vacant", ROW('Bank Schedule'!$K$2:$K$825)), ROW(126:126))), "")</f>
        <v/>
      </c>
      <c r="C129" s="11" t="str">
        <f t="array" ref="C129">IFERROR(INDEX('Bank Schedule'!C:C, SMALL(IF('Bank Schedule'!$K$2:$K$825="Vacant", ROW('Bank Schedule'!$K$2:$K$825)), ROW(126:126))), "")</f>
        <v/>
      </c>
      <c r="D129" s="11" t="str">
        <f t="array" ref="D129">IFERROR(INDEX('Bank Schedule'!D:D, SMALL(IF('Bank Schedule'!$K$2:$K$825="Vacant", ROW('Bank Schedule'!$K$2:$K$825)), ROW(126:126))), "")</f>
        <v/>
      </c>
      <c r="E129" s="25" t="str">
        <f t="array" ref="E129">IFERROR(INDEX('Bank Schedule'!E:E, SMALL(IF('Bank Schedule'!$K$2:$K$825="Vacant", ROW('Bank Schedule'!$K$2:$K$825)), ROW(126:126))), "")</f>
        <v/>
      </c>
      <c r="F129" s="25" t="str">
        <f t="array" ref="F129">IFERROR(INDEX('Bank Schedule'!F:F, SMALL(IF('Bank Schedule'!$K$2:$K$825="Vacant", ROW('Bank Schedule'!$K$2:$K$825)), ROW(126:126))), "")</f>
        <v/>
      </c>
      <c r="G129" s="25" t="str">
        <f t="array" ref="G129">IFERROR(INDEX('Bank Schedule'!G:G, SMALL(IF('Bank Schedule'!$K$2:$K$825="Vacant", ROW('Bank Schedule'!$K$2:$K$825)), ROW(126:126))), "")</f>
        <v/>
      </c>
      <c r="H129" s="55" t="str">
        <f t="array" ref="H129">IFERROR(INDEX('Bank Schedule'!H:H, SMALL(IF('Bank Schedule'!$K$2:$K$825="Vacant", ROW('Bank Schedule'!$K$2:$K$825)), ROW(126:126))), "")</f>
        <v/>
      </c>
      <c r="I129" s="55" t="str">
        <f t="array" ref="I129">IFERROR(INDEX('Bank Schedule'!I:I, SMALL(IF('Bank Schedule'!$K$2:$K$825="Vacant", ROW('Bank Schedule'!$K$2:$K$825)), ROW(126:126))), "")</f>
        <v/>
      </c>
      <c r="J129" s="11" t="str">
        <f t="array" ref="J129">IFERROR(INDEX('Bank Schedule'!K:K, SMALL(IF('Bank Schedule'!$K$2:$K$825="Vacant", ROW('Bank Schedule'!$K$2:$K$825)), ROW(126:126))), "")</f>
        <v/>
      </c>
      <c r="K129" s="11" t="str">
        <f t="array" ref="K129">IFERROR(INDEX('Bank Schedule'!L:L, SMALL(IF('Bank Schedule'!$K$2:$K$825="Vacant", ROW('Bank Schedule'!$K$2:$K$825)), ROW(126:126))), "")</f>
        <v/>
      </c>
      <c r="L129" s="11" t="str">
        <f t="array" ref="L129">IFERROR(INDEX('Bank Schedule'!M:M, SMALL(IF('Bank Schedule'!$K$2:$K$825="Vacant", ROW('Bank Schedule'!$K$2:$K$825)), ROW(126:126))), "")</f>
        <v/>
      </c>
      <c r="M129" s="106" t="str">
        <f t="array" ref="M129">IFERROR(INDEX('Bank Schedule'!N:N, SMALL(IF('Bank Schedule'!$K$2:$K$825="Vacant", ROW('Bank Schedule'!$K$2:$K$825)), ROW(126:126))), "")</f>
        <v/>
      </c>
      <c r="N129" s="11" t="str">
        <f t="array" ref="N129">IFERROR(INDEX('Bank Schedule'!O:O, SMALL(IF('Bank Schedule'!$K$2:$K$825="Vacant", ROW('Bank Schedule'!$K$2:$K$825)), ROW(126:126))), "")</f>
        <v/>
      </c>
      <c r="O129" s="11" t="str">
        <f t="array" ref="O129">IFERROR(INDEX('Bank Schedule'!P:P, SMALL(IF('Bank Schedule'!$K$2:$K$825="Vacant", ROW('Bank Schedule'!$K$2:$K$825)), ROW(126:126))), "")</f>
        <v/>
      </c>
      <c r="P129" s="11" t="str">
        <f t="array" ref="P129">IFERROR(INDEX('Bank Schedule'!Q:Q, SMALL(IF('Bank Schedule'!$K$2:$K$825="Vacant", ROW('Bank Schedule'!$K$2:$K$825)), ROW(126:126))), "")</f>
        <v/>
      </c>
      <c r="Q129" s="11" t="str">
        <f t="array" ref="Q129">IFERROR(INDEX('Bank Schedule'!R:R, SMALL(IF('Bank Schedule'!$K$2:$K$825="Vacant", ROW('Bank Schedule'!$K$2:$K$825)), ROW(126:126))), "")</f>
        <v/>
      </c>
      <c r="R129" s="11" t="str">
        <f t="array" ref="R129">IFERROR(INDEX('Bank Schedule'!S:S, SMALL(IF('Bank Schedule'!$K$2:$K$825="Vacant", ROW('Bank Schedule'!$K$2:$K$825)), ROW(126:126))), "")</f>
        <v/>
      </c>
      <c r="S129" s="320" t="str">
        <f t="array" ref="S129">IFERROR(INDEX('Bank Schedule'!T:T, SMALL(IF('Bank Schedule'!$K$2:$K$825="Vacant", ROW('Bank Schedule'!$K$2:$K$825)), ROW(126:126))), "")</f>
        <v/>
      </c>
      <c r="T129" s="320" t="str">
        <f t="array" ref="T129">IFERROR(INDEX('Bank Schedule'!U:U, SMALL(IF('Bank Schedule'!$K$2:$K$825="Vacant", ROW('Bank Schedule'!$K$2:$K$825)), ROW(126:126))), "")</f>
        <v/>
      </c>
      <c r="U129" s="320" t="str">
        <f t="array" ref="U129">IFERROR(INDEX('Bank Schedule'!V:V, SMALL(IF('Bank Schedule'!$K$2:$K$825="Vacant", ROW('Bank Schedule'!$K$2:$K$825)), ROW(126:126))), "")</f>
        <v/>
      </c>
      <c r="V129" s="320" t="str">
        <f t="array" ref="V129">IFERROR(INDEX('Bank Schedule'!W:W, SMALL(IF('Bank Schedule'!$K$2:$K$825="Vacant", ROW('Bank Schedule'!$K$2:$K$825)), ROW(126:126))), "")</f>
        <v/>
      </c>
      <c r="W129" s="319" t="str">
        <f t="array" ref="W129">IFERROR(INDEX('Bank Schedule'!X:X, SMALL(IF('Bank Schedule'!$K$2:$K$825="Vacant", ROW('Bank Schedule'!$K$2:$K$825)), ROW(126:126))), "")</f>
        <v/>
      </c>
      <c r="X129" s="11" t="str">
        <f t="array" ref="X129">IFERROR(INDEX('Bank Schedule'!Y:Y, SMALL(IF('Bank Schedule'!$K$2:$K$825="Vacant", ROW('Bank Schedule'!$K$2:$K$825)), ROW(126:126))), "")</f>
        <v/>
      </c>
      <c r="Y129" s="11" t="str">
        <f t="array" ref="Y129">IFERROR(INDEX('Bank Schedule'!Z:Z, SMALL(IF('Bank Schedule'!$K$2:$K$825="Vacant", ROW('Bank Schedule'!$K$2:$K$825)), ROW(126:126))), "")</f>
        <v/>
      </c>
      <c r="Z129" s="11" t="str">
        <f t="array" ref="Z129">IFERROR(INDEX('Bank Schedule'!AA:AA, SMALL(IF('Bank Schedule'!$K$2:$K$825="Vacant", ROW('Bank Schedule'!$K$2:$K$825)), ROW(126:126))), "")</f>
        <v/>
      </c>
      <c r="AA129" s="11" t="str">
        <f t="array" ref="AA129">IFERROR(INDEX('Bank Schedule'!AB:AB, SMALL(IF('Bank Schedule'!$K$2:$K$825="Vacant", ROW('Bank Schedule'!$K$2:$K$825)), ROW(126:126))), "")</f>
        <v/>
      </c>
      <c r="AB129" s="25" t="str">
        <f t="array" ref="AB129">IFERROR(INDEX('Bank Schedule'!AC:AC, SMALL(IF('Bank Schedule'!$K$2:$K$825="Vacant", ROW('Bank Schedule'!$K$2:$K$825)), ROW(126:126))), "")</f>
        <v/>
      </c>
      <c r="AC129" s="299" t="str">
        <f t="array" ref="AC129">IFERROR(INDEX('Bank Schedule'!AD:AD, SMALL(IF('Bank Schedule'!$K$2:$K$825="Vacant", ROW('Bank Schedule'!$K$2:$K$825)), ROW(126:126))), "")</f>
        <v/>
      </c>
      <c r="AD129" s="11" t="str">
        <f t="array" ref="AD129">IFERROR(INDEX('Bank Schedule'!AE:AE, SMALL(IF('Bank Schedule'!$K$2:$K$825="Vacant", ROW('Bank Schedule'!$K$2:$K$825)), ROW(126:126))), "")</f>
        <v/>
      </c>
      <c r="AE129" s="11" t="str">
        <f t="array" ref="AE129">IFERROR(INDEX('Bank Schedule'!AF:AF, SMALL(IF('Bank Schedule'!$K$2:$K$825="Vacant", ROW('Bank Schedule'!$K$2:$K$825)), ROW(126:126))), "")</f>
        <v/>
      </c>
      <c r="AF129" s="11" t="str">
        <f t="array" ref="AF129">IFERROR(INDEX('Bank Schedule'!AG:AG, SMALL(IF('Bank Schedule'!$K$2:$K$825="Vacant", ROW('Bank Schedule'!$K$2:$K$825)), ROW(126:126))), "")</f>
        <v/>
      </c>
      <c r="AG129" s="4"/>
    </row>
    <row r="130" spans="1:35" ht="28.5" customHeight="1">
      <c r="A130" s="2" t="str">
        <f t="array" ref="A130">IFERROR(INDEX('Bank Schedule'!A:A, SMALL(IF('Bank Schedule'!$K$2:$K$825="Vacant", ROW('Bank Schedule'!$K$2:$K$825)), ROW(127:127))), "")</f>
        <v/>
      </c>
      <c r="B130" s="11" t="str">
        <f t="array" ref="B130">IFERROR(INDEX('Bank Schedule'!B:B, SMALL(IF('Bank Schedule'!$K$2:$K$825="Vacant", ROW('Bank Schedule'!$K$2:$K$825)), ROW(127:127))), "")</f>
        <v/>
      </c>
      <c r="C130" s="11" t="str">
        <f t="array" ref="C130">IFERROR(INDEX('Bank Schedule'!C:C, SMALL(IF('Bank Schedule'!$K$2:$K$825="Vacant", ROW('Bank Schedule'!$K$2:$K$825)), ROW(127:127))), "")</f>
        <v/>
      </c>
      <c r="D130" s="11" t="str">
        <f t="array" ref="D130">IFERROR(INDEX('Bank Schedule'!D:D, SMALL(IF('Bank Schedule'!$K$2:$K$825="Vacant", ROW('Bank Schedule'!$K$2:$K$825)), ROW(127:127))), "")</f>
        <v/>
      </c>
      <c r="E130" s="25" t="str">
        <f t="array" ref="E130">IFERROR(INDEX('Bank Schedule'!E:E, SMALL(IF('Bank Schedule'!$K$2:$K$825="Vacant", ROW('Bank Schedule'!$K$2:$K$825)), ROW(127:127))), "")</f>
        <v/>
      </c>
      <c r="F130" s="25" t="str">
        <f t="array" ref="F130">IFERROR(INDEX('Bank Schedule'!F:F, SMALL(IF('Bank Schedule'!$K$2:$K$825="Vacant", ROW('Bank Schedule'!$K$2:$K$825)), ROW(127:127))), "")</f>
        <v/>
      </c>
      <c r="G130" s="25" t="str">
        <f t="array" ref="G130">IFERROR(INDEX('Bank Schedule'!G:G, SMALL(IF('Bank Schedule'!$K$2:$K$825="Vacant", ROW('Bank Schedule'!$K$2:$K$825)), ROW(127:127))), "")</f>
        <v/>
      </c>
      <c r="H130" s="55" t="str">
        <f t="array" ref="H130">IFERROR(INDEX('Bank Schedule'!H:H, SMALL(IF('Bank Schedule'!$K$2:$K$825="Vacant", ROW('Bank Schedule'!$K$2:$K$825)), ROW(127:127))), "")</f>
        <v/>
      </c>
      <c r="I130" s="55" t="str">
        <f t="array" ref="I130">IFERROR(INDEX('Bank Schedule'!I:I, SMALL(IF('Bank Schedule'!$K$2:$K$825="Vacant", ROW('Bank Schedule'!$K$2:$K$825)), ROW(127:127))), "")</f>
        <v/>
      </c>
      <c r="J130" s="11" t="str">
        <f t="array" ref="J130">IFERROR(INDEX('Bank Schedule'!K:K, SMALL(IF('Bank Schedule'!$K$2:$K$825="Vacant", ROW('Bank Schedule'!$K$2:$K$825)), ROW(127:127))), "")</f>
        <v/>
      </c>
      <c r="K130" s="11" t="str">
        <f t="array" ref="K130">IFERROR(INDEX('Bank Schedule'!L:L, SMALL(IF('Bank Schedule'!$K$2:$K$825="Vacant", ROW('Bank Schedule'!$K$2:$K$825)), ROW(127:127))), "")</f>
        <v/>
      </c>
      <c r="L130" s="11" t="str">
        <f t="array" ref="L130">IFERROR(INDEX('Bank Schedule'!M:M, SMALL(IF('Bank Schedule'!$K$2:$K$825="Vacant", ROW('Bank Schedule'!$K$2:$K$825)), ROW(127:127))), "")</f>
        <v/>
      </c>
      <c r="M130" s="106" t="str">
        <f t="array" ref="M130">IFERROR(INDEX('Bank Schedule'!N:N, SMALL(IF('Bank Schedule'!$K$2:$K$825="Vacant", ROW('Bank Schedule'!$K$2:$K$825)), ROW(127:127))), "")</f>
        <v/>
      </c>
      <c r="N130" s="11" t="str">
        <f t="array" ref="N130">IFERROR(INDEX('Bank Schedule'!O:O, SMALL(IF('Bank Schedule'!$K$2:$K$825="Vacant", ROW('Bank Schedule'!$K$2:$K$825)), ROW(127:127))), "")</f>
        <v/>
      </c>
      <c r="O130" s="11" t="str">
        <f t="array" ref="O130">IFERROR(INDEX('Bank Schedule'!P:P, SMALL(IF('Bank Schedule'!$K$2:$K$825="Vacant", ROW('Bank Schedule'!$K$2:$K$825)), ROW(127:127))), "")</f>
        <v/>
      </c>
      <c r="P130" s="11" t="str">
        <f t="array" ref="P130">IFERROR(INDEX('Bank Schedule'!Q:Q, SMALL(IF('Bank Schedule'!$K$2:$K$825="Vacant", ROW('Bank Schedule'!$K$2:$K$825)), ROW(127:127))), "")</f>
        <v/>
      </c>
      <c r="Q130" s="11" t="str">
        <f t="array" ref="Q130">IFERROR(INDEX('Bank Schedule'!R:R, SMALL(IF('Bank Schedule'!$K$2:$K$825="Vacant", ROW('Bank Schedule'!$K$2:$K$825)), ROW(127:127))), "")</f>
        <v/>
      </c>
      <c r="R130" s="11" t="str">
        <f t="array" ref="R130">IFERROR(INDEX('Bank Schedule'!S:S, SMALL(IF('Bank Schedule'!$K$2:$K$825="Vacant", ROW('Bank Schedule'!$K$2:$K$825)), ROW(127:127))), "")</f>
        <v/>
      </c>
      <c r="S130" s="320" t="str">
        <f t="array" ref="S130">IFERROR(INDEX('Bank Schedule'!T:T, SMALL(IF('Bank Schedule'!$K$2:$K$825="Vacant", ROW('Bank Schedule'!$K$2:$K$825)), ROW(127:127))), "")</f>
        <v/>
      </c>
      <c r="T130" s="320" t="str">
        <f t="array" ref="T130">IFERROR(INDEX('Bank Schedule'!U:U, SMALL(IF('Bank Schedule'!$K$2:$K$825="Vacant", ROW('Bank Schedule'!$K$2:$K$825)), ROW(127:127))), "")</f>
        <v/>
      </c>
      <c r="U130" s="320" t="str">
        <f t="array" ref="U130">IFERROR(INDEX('Bank Schedule'!V:V, SMALL(IF('Bank Schedule'!$K$2:$K$825="Vacant", ROW('Bank Schedule'!$K$2:$K$825)), ROW(127:127))), "")</f>
        <v/>
      </c>
      <c r="V130" s="320" t="str">
        <f t="array" ref="V130">IFERROR(INDEX('Bank Schedule'!W:W, SMALL(IF('Bank Schedule'!$K$2:$K$825="Vacant", ROW('Bank Schedule'!$K$2:$K$825)), ROW(127:127))), "")</f>
        <v/>
      </c>
      <c r="W130" s="319" t="str">
        <f t="array" ref="W130">IFERROR(INDEX('Bank Schedule'!X:X, SMALL(IF('Bank Schedule'!$K$2:$K$825="Vacant", ROW('Bank Schedule'!$K$2:$K$825)), ROW(127:127))), "")</f>
        <v/>
      </c>
      <c r="X130" s="11" t="str">
        <f t="array" ref="X130">IFERROR(INDEX('Bank Schedule'!Y:Y, SMALL(IF('Bank Schedule'!$K$2:$K$825="Vacant", ROW('Bank Schedule'!$K$2:$K$825)), ROW(127:127))), "")</f>
        <v/>
      </c>
      <c r="Y130" s="11" t="str">
        <f t="array" ref="Y130">IFERROR(INDEX('Bank Schedule'!Z:Z, SMALL(IF('Bank Schedule'!$K$2:$K$825="Vacant", ROW('Bank Schedule'!$K$2:$K$825)), ROW(127:127))), "")</f>
        <v/>
      </c>
      <c r="Z130" s="11" t="str">
        <f t="array" ref="Z130">IFERROR(INDEX('Bank Schedule'!AA:AA, SMALL(IF('Bank Schedule'!$K$2:$K$825="Vacant", ROW('Bank Schedule'!$K$2:$K$825)), ROW(127:127))), "")</f>
        <v/>
      </c>
      <c r="AA130" s="11" t="str">
        <f t="array" ref="AA130">IFERROR(INDEX('Bank Schedule'!AB:AB, SMALL(IF('Bank Schedule'!$K$2:$K$825="Vacant", ROW('Bank Schedule'!$K$2:$K$825)), ROW(127:127))), "")</f>
        <v/>
      </c>
      <c r="AB130" s="25" t="str">
        <f t="array" ref="AB130">IFERROR(INDEX('Bank Schedule'!AC:AC, SMALL(IF('Bank Schedule'!$K$2:$K$825="Vacant", ROW('Bank Schedule'!$K$2:$K$825)), ROW(127:127))), "")</f>
        <v/>
      </c>
      <c r="AC130" s="299" t="str">
        <f t="array" ref="AC130">IFERROR(INDEX('Bank Schedule'!AD:AD, SMALL(IF('Bank Schedule'!$K$2:$K$825="Vacant", ROW('Bank Schedule'!$K$2:$K$825)), ROW(127:127))), "")</f>
        <v/>
      </c>
      <c r="AD130" s="11" t="str">
        <f t="array" ref="AD130">IFERROR(INDEX('Bank Schedule'!AE:AE, SMALL(IF('Bank Schedule'!$K$2:$K$825="Vacant", ROW('Bank Schedule'!$K$2:$K$825)), ROW(127:127))), "")</f>
        <v/>
      </c>
      <c r="AE130" s="11" t="str">
        <f t="array" ref="AE130">IFERROR(INDEX('Bank Schedule'!AF:AF, SMALL(IF('Bank Schedule'!$K$2:$K$825="Vacant", ROW('Bank Schedule'!$K$2:$K$825)), ROW(127:127))), "")</f>
        <v/>
      </c>
      <c r="AF130" s="11" t="str">
        <f t="array" ref="AF130">IFERROR(INDEX('Bank Schedule'!AG:AG, SMALL(IF('Bank Schedule'!$K$2:$K$825="Vacant", ROW('Bank Schedule'!$K$2:$K$825)), ROW(127:127))), "")</f>
        <v/>
      </c>
      <c r="AG130" s="4"/>
    </row>
    <row r="131" spans="1:35" ht="28.5" customHeight="1">
      <c r="A131" s="2" t="str">
        <f t="array" ref="A131">IFERROR(INDEX('Bank Schedule'!A:A, SMALL(IF('Bank Schedule'!$K$2:$K$825="Vacant", ROW('Bank Schedule'!$K$2:$K$825)), ROW(128:128))), "")</f>
        <v/>
      </c>
      <c r="B131" s="11" t="str">
        <f t="array" ref="B131">IFERROR(INDEX('Bank Schedule'!B:B, SMALL(IF('Bank Schedule'!$K$2:$K$825="Vacant", ROW('Bank Schedule'!$K$2:$K$825)), ROW(128:128))), "")</f>
        <v/>
      </c>
      <c r="C131" s="11" t="str">
        <f t="array" ref="C131">IFERROR(INDEX('Bank Schedule'!C:C, SMALL(IF('Bank Schedule'!$K$2:$K$825="Vacant", ROW('Bank Schedule'!$K$2:$K$825)), ROW(128:128))), "")</f>
        <v/>
      </c>
      <c r="D131" s="11" t="str">
        <f t="array" ref="D131">IFERROR(INDEX('Bank Schedule'!D:D, SMALL(IF('Bank Schedule'!$K$2:$K$825="Vacant", ROW('Bank Schedule'!$K$2:$K$825)), ROW(128:128))), "")</f>
        <v/>
      </c>
      <c r="E131" s="25" t="str">
        <f t="array" ref="E131">IFERROR(INDEX('Bank Schedule'!E:E, SMALL(IF('Bank Schedule'!$K$2:$K$825="Vacant", ROW('Bank Schedule'!$K$2:$K$825)), ROW(128:128))), "")</f>
        <v/>
      </c>
      <c r="F131" s="25" t="str">
        <f t="array" ref="F131">IFERROR(INDEX('Bank Schedule'!F:F, SMALL(IF('Bank Schedule'!$K$2:$K$825="Vacant", ROW('Bank Schedule'!$K$2:$K$825)), ROW(128:128))), "")</f>
        <v/>
      </c>
      <c r="G131" s="25" t="str">
        <f t="array" ref="G131">IFERROR(INDEX('Bank Schedule'!G:G, SMALL(IF('Bank Schedule'!$K$2:$K$825="Vacant", ROW('Bank Schedule'!$K$2:$K$825)), ROW(128:128))), "")</f>
        <v/>
      </c>
      <c r="H131" s="55" t="str">
        <f t="array" ref="H131">IFERROR(INDEX('Bank Schedule'!H:H, SMALL(IF('Bank Schedule'!$K$2:$K$825="Vacant", ROW('Bank Schedule'!$K$2:$K$825)), ROW(128:128))), "")</f>
        <v/>
      </c>
      <c r="I131" s="55" t="str">
        <f t="array" ref="I131">IFERROR(INDEX('Bank Schedule'!I:I, SMALL(IF('Bank Schedule'!$K$2:$K$825="Vacant", ROW('Bank Schedule'!$K$2:$K$825)), ROW(128:128))), "")</f>
        <v/>
      </c>
      <c r="J131" s="11" t="str">
        <f t="array" ref="J131">IFERROR(INDEX('Bank Schedule'!K:K, SMALL(IF('Bank Schedule'!$K$2:$K$825="Vacant", ROW('Bank Schedule'!$K$2:$K$825)), ROW(128:128))), "")</f>
        <v/>
      </c>
      <c r="K131" s="11" t="str">
        <f t="array" ref="K131">IFERROR(INDEX('Bank Schedule'!L:L, SMALL(IF('Bank Schedule'!$K$2:$K$825="Vacant", ROW('Bank Schedule'!$K$2:$K$825)), ROW(128:128))), "")</f>
        <v/>
      </c>
      <c r="L131" s="11" t="str">
        <f t="array" ref="L131">IFERROR(INDEX('Bank Schedule'!M:M, SMALL(IF('Bank Schedule'!$K$2:$K$825="Vacant", ROW('Bank Schedule'!$K$2:$K$825)), ROW(128:128))), "")</f>
        <v/>
      </c>
      <c r="M131" s="106" t="str">
        <f t="array" ref="M131">IFERROR(INDEX('Bank Schedule'!N:N, SMALL(IF('Bank Schedule'!$K$2:$K$825="Vacant", ROW('Bank Schedule'!$K$2:$K$825)), ROW(128:128))), "")</f>
        <v/>
      </c>
      <c r="N131" s="11" t="str">
        <f t="array" ref="N131">IFERROR(INDEX('Bank Schedule'!O:O, SMALL(IF('Bank Schedule'!$K$2:$K$825="Vacant", ROW('Bank Schedule'!$K$2:$K$825)), ROW(128:128))), "")</f>
        <v/>
      </c>
      <c r="O131" s="11" t="str">
        <f t="array" ref="O131">IFERROR(INDEX('Bank Schedule'!P:P, SMALL(IF('Bank Schedule'!$K$2:$K$825="Vacant", ROW('Bank Schedule'!$K$2:$K$825)), ROW(128:128))), "")</f>
        <v/>
      </c>
      <c r="P131" s="11" t="str">
        <f t="array" ref="P131">IFERROR(INDEX('Bank Schedule'!Q:Q, SMALL(IF('Bank Schedule'!$K$2:$K$825="Vacant", ROW('Bank Schedule'!$K$2:$K$825)), ROW(128:128))), "")</f>
        <v/>
      </c>
      <c r="Q131" s="11" t="str">
        <f t="array" ref="Q131">IFERROR(INDEX('Bank Schedule'!R:R, SMALL(IF('Bank Schedule'!$K$2:$K$825="Vacant", ROW('Bank Schedule'!$K$2:$K$825)), ROW(128:128))), "")</f>
        <v/>
      </c>
      <c r="R131" s="11" t="str">
        <f t="array" ref="R131">IFERROR(INDEX('Bank Schedule'!S:S, SMALL(IF('Bank Schedule'!$K$2:$K$825="Vacant", ROW('Bank Schedule'!$K$2:$K$825)), ROW(128:128))), "")</f>
        <v/>
      </c>
      <c r="S131" s="320" t="str">
        <f t="array" ref="S131">IFERROR(INDEX('Bank Schedule'!T:T, SMALL(IF('Bank Schedule'!$K$2:$K$825="Vacant", ROW('Bank Schedule'!$K$2:$K$825)), ROW(128:128))), "")</f>
        <v/>
      </c>
      <c r="T131" s="320" t="str">
        <f t="array" ref="T131">IFERROR(INDEX('Bank Schedule'!U:U, SMALL(IF('Bank Schedule'!$K$2:$K$825="Vacant", ROW('Bank Schedule'!$K$2:$K$825)), ROW(128:128))), "")</f>
        <v/>
      </c>
      <c r="U131" s="320" t="str">
        <f t="array" ref="U131">IFERROR(INDEX('Bank Schedule'!V:V, SMALL(IF('Bank Schedule'!$K$2:$K$825="Vacant", ROW('Bank Schedule'!$K$2:$K$825)), ROW(128:128))), "")</f>
        <v/>
      </c>
      <c r="V131" s="320" t="str">
        <f t="array" ref="V131">IFERROR(INDEX('Bank Schedule'!W:W, SMALL(IF('Bank Schedule'!$K$2:$K$825="Vacant", ROW('Bank Schedule'!$K$2:$K$825)), ROW(128:128))), "")</f>
        <v/>
      </c>
      <c r="W131" s="319" t="str">
        <f t="array" ref="W131">IFERROR(INDEX('Bank Schedule'!X:X, SMALL(IF('Bank Schedule'!$K$2:$K$825="Vacant", ROW('Bank Schedule'!$K$2:$K$825)), ROW(128:128))), "")</f>
        <v/>
      </c>
      <c r="X131" s="11" t="str">
        <f t="array" ref="X131">IFERROR(INDEX('Bank Schedule'!Y:Y, SMALL(IF('Bank Schedule'!$K$2:$K$825="Vacant", ROW('Bank Schedule'!$K$2:$K$825)), ROW(128:128))), "")</f>
        <v/>
      </c>
      <c r="Y131" s="11" t="str">
        <f t="array" ref="Y131">IFERROR(INDEX('Bank Schedule'!Z:Z, SMALL(IF('Bank Schedule'!$K$2:$K$825="Vacant", ROW('Bank Schedule'!$K$2:$K$825)), ROW(128:128))), "")</f>
        <v/>
      </c>
      <c r="Z131" s="11" t="str">
        <f t="array" ref="Z131">IFERROR(INDEX('Bank Schedule'!AA:AA, SMALL(IF('Bank Schedule'!$K$2:$K$825="Vacant", ROW('Bank Schedule'!$K$2:$K$825)), ROW(128:128))), "")</f>
        <v/>
      </c>
      <c r="AA131" s="11" t="str">
        <f t="array" ref="AA131">IFERROR(INDEX('Bank Schedule'!AB:AB, SMALL(IF('Bank Schedule'!$K$2:$K$825="Vacant", ROW('Bank Schedule'!$K$2:$K$825)), ROW(128:128))), "")</f>
        <v/>
      </c>
      <c r="AB131" s="25" t="str">
        <f t="array" ref="AB131">IFERROR(INDEX('Bank Schedule'!AC:AC, SMALL(IF('Bank Schedule'!$K$2:$K$825="Vacant", ROW('Bank Schedule'!$K$2:$K$825)), ROW(128:128))), "")</f>
        <v/>
      </c>
      <c r="AC131" s="299" t="str">
        <f t="array" ref="AC131">IFERROR(INDEX('Bank Schedule'!AD:AD, SMALL(IF('Bank Schedule'!$K$2:$K$825="Vacant", ROW('Bank Schedule'!$K$2:$K$825)), ROW(128:128))), "")</f>
        <v/>
      </c>
      <c r="AD131" s="11" t="str">
        <f t="array" ref="AD131">IFERROR(INDEX('Bank Schedule'!AE:AE, SMALL(IF('Bank Schedule'!$K$2:$K$825="Vacant", ROW('Bank Schedule'!$K$2:$K$825)), ROW(128:128))), "")</f>
        <v/>
      </c>
      <c r="AE131" s="11" t="str">
        <f t="array" ref="AE131">IFERROR(INDEX('Bank Schedule'!AF:AF, SMALL(IF('Bank Schedule'!$K$2:$K$825="Vacant", ROW('Bank Schedule'!$K$2:$K$825)), ROW(128:128))), "")</f>
        <v/>
      </c>
      <c r="AF131" s="11" t="str">
        <f t="array" ref="AF131">IFERROR(INDEX('Bank Schedule'!AG:AG, SMALL(IF('Bank Schedule'!$K$2:$K$825="Vacant", ROW('Bank Schedule'!$K$2:$K$825)), ROW(128:128))), "")</f>
        <v/>
      </c>
      <c r="AG131" s="4"/>
    </row>
    <row r="132" spans="1:35" ht="28.5" customHeight="1">
      <c r="A132" s="2" t="str">
        <f t="array" ref="A132">IFERROR(INDEX('Bank Schedule'!A:A, SMALL(IF('Bank Schedule'!$K$2:$K$825="Vacant", ROW('Bank Schedule'!$K$2:$K$825)), ROW(129:129))), "")</f>
        <v/>
      </c>
      <c r="B132" s="11" t="str">
        <f t="array" ref="B132">IFERROR(INDEX('Bank Schedule'!B:B, SMALL(IF('Bank Schedule'!$K$2:$K$825="Vacant", ROW('Bank Schedule'!$K$2:$K$825)), ROW(129:129))), "")</f>
        <v/>
      </c>
      <c r="C132" s="11" t="str">
        <f t="array" ref="C132">IFERROR(INDEX('Bank Schedule'!C:C, SMALL(IF('Bank Schedule'!$K$2:$K$825="Vacant", ROW('Bank Schedule'!$K$2:$K$825)), ROW(129:129))), "")</f>
        <v/>
      </c>
      <c r="D132" s="11" t="str">
        <f t="array" ref="D132">IFERROR(INDEX('Bank Schedule'!D:D, SMALL(IF('Bank Schedule'!$K$2:$K$825="Vacant", ROW('Bank Schedule'!$K$2:$K$825)), ROW(129:129))), "")</f>
        <v/>
      </c>
      <c r="E132" s="25" t="str">
        <f t="array" ref="E132">IFERROR(INDEX('Bank Schedule'!E:E, SMALL(IF('Bank Schedule'!$K$2:$K$825="Vacant", ROW('Bank Schedule'!$K$2:$K$825)), ROW(129:129))), "")</f>
        <v/>
      </c>
      <c r="F132" s="25" t="str">
        <f t="array" ref="F132">IFERROR(INDEX('Bank Schedule'!F:F, SMALL(IF('Bank Schedule'!$K$2:$K$825="Vacant", ROW('Bank Schedule'!$K$2:$K$825)), ROW(129:129))), "")</f>
        <v/>
      </c>
      <c r="G132" s="25" t="str">
        <f t="array" ref="G132">IFERROR(INDEX('Bank Schedule'!G:G, SMALL(IF('Bank Schedule'!$K$2:$K$825="Vacant", ROW('Bank Schedule'!$K$2:$K$825)), ROW(129:129))), "")</f>
        <v/>
      </c>
      <c r="H132" s="55" t="str">
        <f t="array" ref="H132">IFERROR(INDEX('Bank Schedule'!H:H, SMALL(IF('Bank Schedule'!$K$2:$K$825="Vacant", ROW('Bank Schedule'!$K$2:$K$825)), ROW(129:129))), "")</f>
        <v/>
      </c>
      <c r="I132" s="55" t="str">
        <f t="array" ref="I132">IFERROR(INDEX('Bank Schedule'!I:I, SMALL(IF('Bank Schedule'!$K$2:$K$825="Vacant", ROW('Bank Schedule'!$K$2:$K$825)), ROW(129:129))), "")</f>
        <v/>
      </c>
      <c r="J132" s="11" t="str">
        <f t="array" ref="J132">IFERROR(INDEX('Bank Schedule'!K:K, SMALL(IF('Bank Schedule'!$K$2:$K$825="Vacant", ROW('Bank Schedule'!$K$2:$K$825)), ROW(129:129))), "")</f>
        <v/>
      </c>
      <c r="K132" s="11" t="str">
        <f t="array" ref="K132">IFERROR(INDEX('Bank Schedule'!L:L, SMALL(IF('Bank Schedule'!$K$2:$K$825="Vacant", ROW('Bank Schedule'!$K$2:$K$825)), ROW(129:129))), "")</f>
        <v/>
      </c>
      <c r="L132" s="11" t="str">
        <f t="array" ref="L132">IFERROR(INDEX('Bank Schedule'!M:M, SMALL(IF('Bank Schedule'!$K$2:$K$825="Vacant", ROW('Bank Schedule'!$K$2:$K$825)), ROW(129:129))), "")</f>
        <v/>
      </c>
      <c r="M132" s="106" t="str">
        <f t="array" ref="M132">IFERROR(INDEX('Bank Schedule'!N:N, SMALL(IF('Bank Schedule'!$K$2:$K$825="Vacant", ROW('Bank Schedule'!$K$2:$K$825)), ROW(129:129))), "")</f>
        <v/>
      </c>
      <c r="N132" s="11" t="str">
        <f t="array" ref="N132">IFERROR(INDEX('Bank Schedule'!O:O, SMALL(IF('Bank Schedule'!$K$2:$K$825="Vacant", ROW('Bank Schedule'!$K$2:$K$825)), ROW(129:129))), "")</f>
        <v/>
      </c>
      <c r="O132" s="11" t="str">
        <f t="array" ref="O132">IFERROR(INDEX('Bank Schedule'!P:P, SMALL(IF('Bank Schedule'!$K$2:$K$825="Vacant", ROW('Bank Schedule'!$K$2:$K$825)), ROW(129:129))), "")</f>
        <v/>
      </c>
      <c r="P132" s="11" t="str">
        <f t="array" ref="P132">IFERROR(INDEX('Bank Schedule'!Q:Q, SMALL(IF('Bank Schedule'!$K$2:$K$825="Vacant", ROW('Bank Schedule'!$K$2:$K$825)), ROW(129:129))), "")</f>
        <v/>
      </c>
      <c r="Q132" s="11" t="str">
        <f t="array" ref="Q132">IFERROR(INDEX('Bank Schedule'!R:R, SMALL(IF('Bank Schedule'!$K$2:$K$825="Vacant", ROW('Bank Schedule'!$K$2:$K$825)), ROW(129:129))), "")</f>
        <v/>
      </c>
      <c r="R132" s="11" t="str">
        <f t="array" ref="R132">IFERROR(INDEX('Bank Schedule'!S:S, SMALL(IF('Bank Schedule'!$K$2:$K$825="Vacant", ROW('Bank Schedule'!$K$2:$K$825)), ROW(129:129))), "")</f>
        <v/>
      </c>
      <c r="S132" s="320" t="str">
        <f t="array" ref="S132">IFERROR(INDEX('Bank Schedule'!T:T, SMALL(IF('Bank Schedule'!$K$2:$K$825="Vacant", ROW('Bank Schedule'!$K$2:$K$825)), ROW(129:129))), "")</f>
        <v/>
      </c>
      <c r="T132" s="320" t="str">
        <f t="array" ref="T132">IFERROR(INDEX('Bank Schedule'!U:U, SMALL(IF('Bank Schedule'!$K$2:$K$825="Vacant", ROW('Bank Schedule'!$K$2:$K$825)), ROW(129:129))), "")</f>
        <v/>
      </c>
      <c r="U132" s="320" t="str">
        <f t="array" ref="U132">IFERROR(INDEX('Bank Schedule'!V:V, SMALL(IF('Bank Schedule'!$K$2:$K$825="Vacant", ROW('Bank Schedule'!$K$2:$K$825)), ROW(129:129))), "")</f>
        <v/>
      </c>
      <c r="V132" s="320" t="str">
        <f t="array" ref="V132">IFERROR(INDEX('Bank Schedule'!W:W, SMALL(IF('Bank Schedule'!$K$2:$K$825="Vacant", ROW('Bank Schedule'!$K$2:$K$825)), ROW(129:129))), "")</f>
        <v/>
      </c>
      <c r="W132" s="319" t="str">
        <f t="array" ref="W132">IFERROR(INDEX('Bank Schedule'!X:X, SMALL(IF('Bank Schedule'!$K$2:$K$825="Vacant", ROW('Bank Schedule'!$K$2:$K$825)), ROW(129:129))), "")</f>
        <v/>
      </c>
      <c r="X132" s="11" t="str">
        <f t="array" ref="X132">IFERROR(INDEX('Bank Schedule'!Y:Y, SMALL(IF('Bank Schedule'!$K$2:$K$825="Vacant", ROW('Bank Schedule'!$K$2:$K$825)), ROW(129:129))), "")</f>
        <v/>
      </c>
      <c r="Y132" s="11" t="str">
        <f t="array" ref="Y132">IFERROR(INDEX('Bank Schedule'!Z:Z, SMALL(IF('Bank Schedule'!$K$2:$K$825="Vacant", ROW('Bank Schedule'!$K$2:$K$825)), ROW(129:129))), "")</f>
        <v/>
      </c>
      <c r="Z132" s="11" t="str">
        <f t="array" ref="Z132">IFERROR(INDEX('Bank Schedule'!AA:AA, SMALL(IF('Bank Schedule'!$K$2:$K$825="Vacant", ROW('Bank Schedule'!$K$2:$K$825)), ROW(129:129))), "")</f>
        <v/>
      </c>
      <c r="AA132" s="11" t="str">
        <f t="array" ref="AA132">IFERROR(INDEX('Bank Schedule'!AB:AB, SMALL(IF('Bank Schedule'!$K$2:$K$825="Vacant", ROW('Bank Schedule'!$K$2:$K$825)), ROW(129:129))), "")</f>
        <v/>
      </c>
      <c r="AB132" s="25" t="str">
        <f t="array" ref="AB132">IFERROR(INDEX('Bank Schedule'!AC:AC, SMALL(IF('Bank Schedule'!$K$2:$K$825="Vacant", ROW('Bank Schedule'!$K$2:$K$825)), ROW(129:129))), "")</f>
        <v/>
      </c>
      <c r="AC132" s="299" t="str">
        <f t="array" ref="AC132">IFERROR(INDEX('Bank Schedule'!AD:AD, SMALL(IF('Bank Schedule'!$K$2:$K$825="Vacant", ROW('Bank Schedule'!$K$2:$K$825)), ROW(129:129))), "")</f>
        <v/>
      </c>
      <c r="AD132" s="11" t="str">
        <f t="array" ref="AD132">IFERROR(INDEX('Bank Schedule'!AE:AE, SMALL(IF('Bank Schedule'!$K$2:$K$825="Vacant", ROW('Bank Schedule'!$K$2:$K$825)), ROW(129:129))), "")</f>
        <v/>
      </c>
      <c r="AE132" s="11" t="str">
        <f t="array" ref="AE132">IFERROR(INDEX('Bank Schedule'!AF:AF, SMALL(IF('Bank Schedule'!$K$2:$K$825="Vacant", ROW('Bank Schedule'!$K$2:$K$825)), ROW(129:129))), "")</f>
        <v/>
      </c>
      <c r="AF132" s="11" t="str">
        <f t="array" ref="AF132">IFERROR(INDEX('Bank Schedule'!AG:AG, SMALL(IF('Bank Schedule'!$K$2:$K$825="Vacant", ROW('Bank Schedule'!$K$2:$K$825)), ROW(129:129))), "")</f>
        <v/>
      </c>
      <c r="AG132" s="4"/>
    </row>
    <row r="133" spans="1:35" ht="28.5" customHeight="1">
      <c r="A133" s="2" t="str">
        <f t="array" ref="A133">IFERROR(INDEX('Bank Schedule'!A:A, SMALL(IF('Bank Schedule'!$K$2:$K$825="Vacant", ROW('Bank Schedule'!$K$2:$K$825)), ROW(130:130))), "")</f>
        <v/>
      </c>
      <c r="B133" s="11" t="str">
        <f t="array" ref="B133">IFERROR(INDEX('Bank Schedule'!B:B, SMALL(IF('Bank Schedule'!$K$2:$K$825="Vacant", ROW('Bank Schedule'!$K$2:$K$825)), ROW(130:130))), "")</f>
        <v/>
      </c>
      <c r="C133" s="11" t="str">
        <f t="array" ref="C133">IFERROR(INDEX('Bank Schedule'!C:C, SMALL(IF('Bank Schedule'!$K$2:$K$825="Vacant", ROW('Bank Schedule'!$K$2:$K$825)), ROW(130:130))), "")</f>
        <v/>
      </c>
      <c r="D133" s="11" t="str">
        <f t="array" ref="D133">IFERROR(INDEX('Bank Schedule'!D:D, SMALL(IF('Bank Schedule'!$K$2:$K$825="Vacant", ROW('Bank Schedule'!$K$2:$K$825)), ROW(130:130))), "")</f>
        <v/>
      </c>
      <c r="E133" s="25" t="str">
        <f t="array" ref="E133">IFERROR(INDEX('Bank Schedule'!E:E, SMALL(IF('Bank Schedule'!$K$2:$K$825="Vacant", ROW('Bank Schedule'!$K$2:$K$825)), ROW(130:130))), "")</f>
        <v/>
      </c>
      <c r="F133" s="25" t="str">
        <f t="array" ref="F133">IFERROR(INDEX('Bank Schedule'!F:F, SMALL(IF('Bank Schedule'!$K$2:$K$825="Vacant", ROW('Bank Schedule'!$K$2:$K$825)), ROW(130:130))), "")</f>
        <v/>
      </c>
      <c r="G133" s="25" t="str">
        <f t="array" ref="G133">IFERROR(INDEX('Bank Schedule'!G:G, SMALL(IF('Bank Schedule'!$K$2:$K$825="Vacant", ROW('Bank Schedule'!$K$2:$K$825)), ROW(130:130))), "")</f>
        <v/>
      </c>
      <c r="H133" s="55" t="str">
        <f t="array" ref="H133">IFERROR(INDEX('Bank Schedule'!H:H, SMALL(IF('Bank Schedule'!$K$2:$K$825="Vacant", ROW('Bank Schedule'!$K$2:$K$825)), ROW(130:130))), "")</f>
        <v/>
      </c>
      <c r="I133" s="55" t="str">
        <f t="array" ref="I133">IFERROR(INDEX('Bank Schedule'!I:I, SMALL(IF('Bank Schedule'!$K$2:$K$825="Vacant", ROW('Bank Schedule'!$K$2:$K$825)), ROW(130:130))), "")</f>
        <v/>
      </c>
      <c r="J133" s="11" t="str">
        <f t="array" ref="J133">IFERROR(INDEX('Bank Schedule'!K:K, SMALL(IF('Bank Schedule'!$K$2:$K$825="Vacant", ROW('Bank Schedule'!$K$2:$K$825)), ROW(130:130))), "")</f>
        <v/>
      </c>
      <c r="K133" s="11" t="str">
        <f t="array" ref="K133">IFERROR(INDEX('Bank Schedule'!L:L, SMALL(IF('Bank Schedule'!$K$2:$K$825="Vacant", ROW('Bank Schedule'!$K$2:$K$825)), ROW(130:130))), "")</f>
        <v/>
      </c>
      <c r="L133" s="11" t="str">
        <f t="array" ref="L133">IFERROR(INDEX('Bank Schedule'!M:M, SMALL(IF('Bank Schedule'!$K$2:$K$825="Vacant", ROW('Bank Schedule'!$K$2:$K$825)), ROW(130:130))), "")</f>
        <v/>
      </c>
      <c r="M133" s="106" t="str">
        <f t="array" ref="M133">IFERROR(INDEX('Bank Schedule'!N:N, SMALL(IF('Bank Schedule'!$K$2:$K$825="Vacant", ROW('Bank Schedule'!$K$2:$K$825)), ROW(130:130))), "")</f>
        <v/>
      </c>
      <c r="N133" s="11" t="str">
        <f t="array" ref="N133">IFERROR(INDEX('Bank Schedule'!O:O, SMALL(IF('Bank Schedule'!$K$2:$K$825="Vacant", ROW('Bank Schedule'!$K$2:$K$825)), ROW(130:130))), "")</f>
        <v/>
      </c>
      <c r="O133" s="11" t="str">
        <f t="array" ref="O133">IFERROR(INDEX('Bank Schedule'!P:P, SMALL(IF('Bank Schedule'!$K$2:$K$825="Vacant", ROW('Bank Schedule'!$K$2:$K$825)), ROW(130:130))), "")</f>
        <v/>
      </c>
      <c r="P133" s="11" t="str">
        <f t="array" ref="P133">IFERROR(INDEX('Bank Schedule'!Q:Q, SMALL(IF('Bank Schedule'!$K$2:$K$825="Vacant", ROW('Bank Schedule'!$K$2:$K$825)), ROW(130:130))), "")</f>
        <v/>
      </c>
      <c r="Q133" s="11" t="str">
        <f t="array" ref="Q133">IFERROR(INDEX('Bank Schedule'!R:R, SMALL(IF('Bank Schedule'!$K$2:$K$825="Vacant", ROW('Bank Schedule'!$K$2:$K$825)), ROW(130:130))), "")</f>
        <v/>
      </c>
      <c r="R133" s="11" t="str">
        <f t="array" ref="R133">IFERROR(INDEX('Bank Schedule'!S:S, SMALL(IF('Bank Schedule'!$K$2:$K$825="Vacant", ROW('Bank Schedule'!$K$2:$K$825)), ROW(130:130))), "")</f>
        <v/>
      </c>
      <c r="S133" s="320" t="str">
        <f t="array" ref="S133">IFERROR(INDEX('Bank Schedule'!T:T, SMALL(IF('Bank Schedule'!$K$2:$K$825="Vacant", ROW('Bank Schedule'!$K$2:$K$825)), ROW(130:130))), "")</f>
        <v/>
      </c>
      <c r="T133" s="320" t="str">
        <f t="array" ref="T133">IFERROR(INDEX('Bank Schedule'!U:U, SMALL(IF('Bank Schedule'!$K$2:$K$825="Vacant", ROW('Bank Schedule'!$K$2:$K$825)), ROW(130:130))), "")</f>
        <v/>
      </c>
      <c r="U133" s="320" t="str">
        <f t="array" ref="U133">IFERROR(INDEX('Bank Schedule'!V:V, SMALL(IF('Bank Schedule'!$K$2:$K$825="Vacant", ROW('Bank Schedule'!$K$2:$K$825)), ROW(130:130))), "")</f>
        <v/>
      </c>
      <c r="V133" s="320" t="str">
        <f t="array" ref="V133">IFERROR(INDEX('Bank Schedule'!W:W, SMALL(IF('Bank Schedule'!$K$2:$K$825="Vacant", ROW('Bank Schedule'!$K$2:$K$825)), ROW(130:130))), "")</f>
        <v/>
      </c>
      <c r="W133" s="319" t="str">
        <f t="array" ref="W133">IFERROR(INDEX('Bank Schedule'!X:X, SMALL(IF('Bank Schedule'!$K$2:$K$825="Vacant", ROW('Bank Schedule'!$K$2:$K$825)), ROW(130:130))), "")</f>
        <v/>
      </c>
      <c r="X133" s="11" t="str">
        <f t="array" ref="X133">IFERROR(INDEX('Bank Schedule'!Y:Y, SMALL(IF('Bank Schedule'!$K$2:$K$825="Vacant", ROW('Bank Schedule'!$K$2:$K$825)), ROW(130:130))), "")</f>
        <v/>
      </c>
      <c r="Y133" s="11" t="str">
        <f t="array" ref="Y133">IFERROR(INDEX('Bank Schedule'!Z:Z, SMALL(IF('Bank Schedule'!$K$2:$K$825="Vacant", ROW('Bank Schedule'!$K$2:$K$825)), ROW(130:130))), "")</f>
        <v/>
      </c>
      <c r="Z133" s="11" t="str">
        <f t="array" ref="Z133">IFERROR(INDEX('Bank Schedule'!AA:AA, SMALL(IF('Bank Schedule'!$K$2:$K$825="Vacant", ROW('Bank Schedule'!$K$2:$K$825)), ROW(130:130))), "")</f>
        <v/>
      </c>
      <c r="AA133" s="11" t="str">
        <f t="array" ref="AA133">IFERROR(INDEX('Bank Schedule'!AB:AB, SMALL(IF('Bank Schedule'!$K$2:$K$825="Vacant", ROW('Bank Schedule'!$K$2:$K$825)), ROW(130:130))), "")</f>
        <v/>
      </c>
      <c r="AB133" s="25" t="str">
        <f t="array" ref="AB133">IFERROR(INDEX('Bank Schedule'!AC:AC, SMALL(IF('Bank Schedule'!$K$2:$K$825="Vacant", ROW('Bank Schedule'!$K$2:$K$825)), ROW(130:130))), "")</f>
        <v/>
      </c>
      <c r="AC133" s="299" t="str">
        <f t="array" ref="AC133">IFERROR(INDEX('Bank Schedule'!AD:AD, SMALL(IF('Bank Schedule'!$K$2:$K$825="Vacant", ROW('Bank Schedule'!$K$2:$K$825)), ROW(130:130))), "")</f>
        <v/>
      </c>
      <c r="AD133" s="11" t="str">
        <f t="array" ref="AD133">IFERROR(INDEX('Bank Schedule'!AE:AE, SMALL(IF('Bank Schedule'!$K$2:$K$825="Vacant", ROW('Bank Schedule'!$K$2:$K$825)), ROW(130:130))), "")</f>
        <v/>
      </c>
      <c r="AE133" s="11" t="str">
        <f t="array" ref="AE133">IFERROR(INDEX('Bank Schedule'!AF:AF, SMALL(IF('Bank Schedule'!$K$2:$K$825="Vacant", ROW('Bank Schedule'!$K$2:$K$825)), ROW(130:130))), "")</f>
        <v/>
      </c>
      <c r="AF133" s="11" t="str">
        <f t="array" ref="AF133">IFERROR(INDEX('Bank Schedule'!AG:AG, SMALL(IF('Bank Schedule'!$K$2:$K$825="Vacant", ROW('Bank Schedule'!$K$2:$K$825)), ROW(130:130))), "")</f>
        <v/>
      </c>
      <c r="AG133" s="4"/>
    </row>
    <row r="134" spans="1:35" ht="28.5" customHeight="1">
      <c r="A134" s="2" t="str">
        <f t="array" ref="A134">IFERROR(INDEX('Bank Schedule'!A:A, SMALL(IF('Bank Schedule'!$K$2:$K$825="Vacant", ROW('Bank Schedule'!$K$2:$K$825)), ROW(131:131))), "")</f>
        <v/>
      </c>
      <c r="B134" s="11" t="str">
        <f t="array" ref="B134">IFERROR(INDEX('Bank Schedule'!B:B, SMALL(IF('Bank Schedule'!$K$2:$K$825="Vacant", ROW('Bank Schedule'!$K$2:$K$825)), ROW(131:131))), "")</f>
        <v/>
      </c>
      <c r="C134" s="11" t="str">
        <f t="array" ref="C134">IFERROR(INDEX('Bank Schedule'!C:C, SMALL(IF('Bank Schedule'!$K$2:$K$825="Vacant", ROW('Bank Schedule'!$K$2:$K$825)), ROW(131:131))), "")</f>
        <v/>
      </c>
      <c r="D134" s="11" t="str">
        <f t="array" ref="D134">IFERROR(INDEX('Bank Schedule'!D:D, SMALL(IF('Bank Schedule'!$K$2:$K$825="Vacant", ROW('Bank Schedule'!$K$2:$K$825)), ROW(131:131))), "")</f>
        <v/>
      </c>
      <c r="E134" s="25" t="str">
        <f t="array" ref="E134">IFERROR(INDEX('Bank Schedule'!E:E, SMALL(IF('Bank Schedule'!$K$2:$K$825="Vacant", ROW('Bank Schedule'!$K$2:$K$825)), ROW(131:131))), "")</f>
        <v/>
      </c>
      <c r="F134" s="25" t="str">
        <f t="array" ref="F134">IFERROR(INDEX('Bank Schedule'!F:F, SMALL(IF('Bank Schedule'!$K$2:$K$825="Vacant", ROW('Bank Schedule'!$K$2:$K$825)), ROW(131:131))), "")</f>
        <v/>
      </c>
      <c r="G134" s="25" t="str">
        <f t="array" ref="G134">IFERROR(INDEX('Bank Schedule'!G:G, SMALL(IF('Bank Schedule'!$K$2:$K$825="Vacant", ROW('Bank Schedule'!$K$2:$K$825)), ROW(131:131))), "")</f>
        <v/>
      </c>
      <c r="H134" s="55" t="str">
        <f t="array" ref="H134">IFERROR(INDEX('Bank Schedule'!H:H, SMALL(IF('Bank Schedule'!$K$2:$K$825="Vacant", ROW('Bank Schedule'!$K$2:$K$825)), ROW(131:131))), "")</f>
        <v/>
      </c>
      <c r="I134" s="55" t="str">
        <f t="array" ref="I134">IFERROR(INDEX('Bank Schedule'!I:I, SMALL(IF('Bank Schedule'!$K$2:$K$825="Vacant", ROW('Bank Schedule'!$K$2:$K$825)), ROW(131:131))), "")</f>
        <v/>
      </c>
      <c r="J134" s="11" t="str">
        <f t="array" ref="J134">IFERROR(INDEX('Bank Schedule'!K:K, SMALL(IF('Bank Schedule'!$K$2:$K$825="Vacant", ROW('Bank Schedule'!$K$2:$K$825)), ROW(131:131))), "")</f>
        <v/>
      </c>
      <c r="K134" s="11" t="str">
        <f t="array" ref="K134">IFERROR(INDEX('Bank Schedule'!L:L, SMALL(IF('Bank Schedule'!$K$2:$K$825="Vacant", ROW('Bank Schedule'!$K$2:$K$825)), ROW(131:131))), "")</f>
        <v/>
      </c>
      <c r="L134" s="11" t="str">
        <f t="array" ref="L134">IFERROR(INDEX('Bank Schedule'!M:M, SMALL(IF('Bank Schedule'!$K$2:$K$825="Vacant", ROW('Bank Schedule'!$K$2:$K$825)), ROW(131:131))), "")</f>
        <v/>
      </c>
      <c r="M134" s="106" t="str">
        <f t="array" ref="M134">IFERROR(INDEX('Bank Schedule'!N:N, SMALL(IF('Bank Schedule'!$K$2:$K$825="Vacant", ROW('Bank Schedule'!$K$2:$K$825)), ROW(131:131))), "")</f>
        <v/>
      </c>
      <c r="N134" s="11" t="str">
        <f t="array" ref="N134">IFERROR(INDEX('Bank Schedule'!O:O, SMALL(IF('Bank Schedule'!$K$2:$K$825="Vacant", ROW('Bank Schedule'!$K$2:$K$825)), ROW(131:131))), "")</f>
        <v/>
      </c>
      <c r="O134" s="11" t="str">
        <f t="array" ref="O134">IFERROR(INDEX('Bank Schedule'!P:P, SMALL(IF('Bank Schedule'!$K$2:$K$825="Vacant", ROW('Bank Schedule'!$K$2:$K$825)), ROW(131:131))), "")</f>
        <v/>
      </c>
      <c r="P134" s="11" t="str">
        <f t="array" ref="P134">IFERROR(INDEX('Bank Schedule'!Q:Q, SMALL(IF('Bank Schedule'!$K$2:$K$825="Vacant", ROW('Bank Schedule'!$K$2:$K$825)), ROW(131:131))), "")</f>
        <v/>
      </c>
      <c r="Q134" s="11" t="str">
        <f t="array" ref="Q134">IFERROR(INDEX('Bank Schedule'!R:R, SMALL(IF('Bank Schedule'!$K$2:$K$825="Vacant", ROW('Bank Schedule'!$K$2:$K$825)), ROW(131:131))), "")</f>
        <v/>
      </c>
      <c r="R134" s="11" t="str">
        <f t="array" ref="R134">IFERROR(INDEX('Bank Schedule'!S:S, SMALL(IF('Bank Schedule'!$K$2:$K$825="Vacant", ROW('Bank Schedule'!$K$2:$K$825)), ROW(131:131))), "")</f>
        <v/>
      </c>
      <c r="S134" s="320" t="str">
        <f t="array" ref="S134">IFERROR(INDEX('Bank Schedule'!T:T, SMALL(IF('Bank Schedule'!$K$2:$K$825="Vacant", ROW('Bank Schedule'!$K$2:$K$825)), ROW(131:131))), "")</f>
        <v/>
      </c>
      <c r="T134" s="320" t="str">
        <f t="array" ref="T134">IFERROR(INDEX('Bank Schedule'!U:U, SMALL(IF('Bank Schedule'!$K$2:$K$825="Vacant", ROW('Bank Schedule'!$K$2:$K$825)), ROW(131:131))), "")</f>
        <v/>
      </c>
      <c r="U134" s="320" t="str">
        <f t="array" ref="U134">IFERROR(INDEX('Bank Schedule'!V:V, SMALL(IF('Bank Schedule'!$K$2:$K$825="Vacant", ROW('Bank Schedule'!$K$2:$K$825)), ROW(131:131))), "")</f>
        <v/>
      </c>
      <c r="V134" s="320" t="str">
        <f t="array" ref="V134">IFERROR(INDEX('Bank Schedule'!W:W, SMALL(IF('Bank Schedule'!$K$2:$K$825="Vacant", ROW('Bank Schedule'!$K$2:$K$825)), ROW(131:131))), "")</f>
        <v/>
      </c>
      <c r="W134" s="319" t="str">
        <f t="array" ref="W134">IFERROR(INDEX('Bank Schedule'!X:X, SMALL(IF('Bank Schedule'!$K$2:$K$825="Vacant", ROW('Bank Schedule'!$K$2:$K$825)), ROW(131:131))), "")</f>
        <v/>
      </c>
      <c r="X134" s="11" t="str">
        <f t="array" ref="X134">IFERROR(INDEX('Bank Schedule'!Y:Y, SMALL(IF('Bank Schedule'!$K$2:$K$825="Vacant", ROW('Bank Schedule'!$K$2:$K$825)), ROW(131:131))), "")</f>
        <v/>
      </c>
      <c r="Y134" s="11" t="str">
        <f t="array" ref="Y134">IFERROR(INDEX('Bank Schedule'!Z:Z, SMALL(IF('Bank Schedule'!$K$2:$K$825="Vacant", ROW('Bank Schedule'!$K$2:$K$825)), ROW(131:131))), "")</f>
        <v/>
      </c>
      <c r="Z134" s="11" t="str">
        <f t="array" ref="Z134">IFERROR(INDEX('Bank Schedule'!AA:AA, SMALL(IF('Bank Schedule'!$K$2:$K$825="Vacant", ROW('Bank Schedule'!$K$2:$K$825)), ROW(131:131))), "")</f>
        <v/>
      </c>
      <c r="AA134" s="11" t="str">
        <f t="array" ref="AA134">IFERROR(INDEX('Bank Schedule'!AB:AB, SMALL(IF('Bank Schedule'!$K$2:$K$825="Vacant", ROW('Bank Schedule'!$K$2:$K$825)), ROW(131:131))), "")</f>
        <v/>
      </c>
      <c r="AB134" s="25" t="str">
        <f t="array" ref="AB134">IFERROR(INDEX('Bank Schedule'!AC:AC, SMALL(IF('Bank Schedule'!$K$2:$K$825="Vacant", ROW('Bank Schedule'!$K$2:$K$825)), ROW(131:131))), "")</f>
        <v/>
      </c>
      <c r="AC134" s="299" t="str">
        <f t="array" ref="AC134">IFERROR(INDEX('Bank Schedule'!AD:AD, SMALL(IF('Bank Schedule'!$K$2:$K$825="Vacant", ROW('Bank Schedule'!$K$2:$K$825)), ROW(131:131))), "")</f>
        <v/>
      </c>
      <c r="AD134" s="11" t="str">
        <f t="array" ref="AD134">IFERROR(INDEX('Bank Schedule'!AE:AE, SMALL(IF('Bank Schedule'!$K$2:$K$825="Vacant", ROW('Bank Schedule'!$K$2:$K$825)), ROW(131:131))), "")</f>
        <v/>
      </c>
      <c r="AE134" s="11" t="str">
        <f t="array" ref="AE134">IFERROR(INDEX('Bank Schedule'!AF:AF, SMALL(IF('Bank Schedule'!$K$2:$K$825="Vacant", ROW('Bank Schedule'!$K$2:$K$825)), ROW(131:131))), "")</f>
        <v/>
      </c>
      <c r="AF134" s="11" t="str">
        <f t="array" ref="AF134">IFERROR(INDEX('Bank Schedule'!AG:AG, SMALL(IF('Bank Schedule'!$K$2:$K$825="Vacant", ROW('Bank Schedule'!$K$2:$K$825)), ROW(131:131))), "")</f>
        <v/>
      </c>
      <c r="AG134" s="4"/>
    </row>
    <row r="135" spans="1:35" ht="28.5" customHeight="1">
      <c r="A135" s="2" t="str">
        <f t="array" ref="A135">IFERROR(INDEX('Bank Schedule'!A:A, SMALL(IF('Bank Schedule'!$K$2:$K$825="Vacant", ROW('Bank Schedule'!$K$2:$K$825)), ROW(132:132))), "")</f>
        <v/>
      </c>
      <c r="B135" s="11" t="str">
        <f t="array" ref="B135">IFERROR(INDEX('Bank Schedule'!B:B, SMALL(IF('Bank Schedule'!$K$2:$K$825="Vacant", ROW('Bank Schedule'!$K$2:$K$825)), ROW(132:132))), "")</f>
        <v/>
      </c>
      <c r="C135" s="11" t="str">
        <f t="array" ref="C135">IFERROR(INDEX('Bank Schedule'!C:C, SMALL(IF('Bank Schedule'!$K$2:$K$825="Vacant", ROW('Bank Schedule'!$K$2:$K$825)), ROW(132:132))), "")</f>
        <v/>
      </c>
      <c r="D135" s="11" t="str">
        <f t="array" ref="D135">IFERROR(INDEX('Bank Schedule'!D:D, SMALL(IF('Bank Schedule'!$K$2:$K$825="Vacant", ROW('Bank Schedule'!$K$2:$K$825)), ROW(132:132))), "")</f>
        <v/>
      </c>
      <c r="E135" s="11" t="str">
        <f t="array" ref="E135">IFERROR(INDEX('Bank Schedule'!E:E, SMALL(IF('Bank Schedule'!$K$2:$K$825="Vacant", ROW('Bank Schedule'!$K$2:$K$825)), ROW(132:132))), "")</f>
        <v/>
      </c>
      <c r="F135" s="11" t="str">
        <f t="array" ref="F135">IFERROR(INDEX('Bank Schedule'!F:F, SMALL(IF('Bank Schedule'!$K$2:$K$825="Vacant", ROW('Bank Schedule'!$K$2:$K$825)), ROW(132:132))), "")</f>
        <v/>
      </c>
      <c r="G135" s="11" t="str">
        <f t="array" ref="G135">IFERROR(INDEX('Bank Schedule'!G:G, SMALL(IF('Bank Schedule'!$K$2:$K$825="Vacant", ROW('Bank Schedule'!$K$2:$K$825)), ROW(132:132))), "")</f>
        <v/>
      </c>
      <c r="H135" s="11" t="str">
        <f t="array" ref="H135">IFERROR(INDEX('Bank Schedule'!H:H, SMALL(IF('Bank Schedule'!$K$2:$K$825="Vacant", ROW('Bank Schedule'!$K$2:$K$825)), ROW(132:132))), "")</f>
        <v/>
      </c>
      <c r="I135" s="11" t="str">
        <f t="array" ref="I135">IFERROR(INDEX('Bank Schedule'!I:I, SMALL(IF('Bank Schedule'!$K$2:$K$825="Vacant", ROW('Bank Schedule'!$K$2:$K$825)), ROW(132:132))), "")</f>
        <v/>
      </c>
      <c r="J135" s="11" t="str">
        <f t="array" ref="J135">IFERROR(INDEX('Bank Schedule'!K:K, SMALL(IF('Bank Schedule'!$K$2:$K$825="Vacant", ROW('Bank Schedule'!$K$2:$K$825)), ROW(132:132))), "")</f>
        <v/>
      </c>
      <c r="K135" s="11" t="str">
        <f t="array" ref="K135">IFERROR(INDEX('Bank Schedule'!L:L, SMALL(IF('Bank Schedule'!$K$2:$K$825="Vacant", ROW('Bank Schedule'!$K$2:$K$825)), ROW(132:132))), "")</f>
        <v/>
      </c>
      <c r="L135" s="11" t="str">
        <f t="array" ref="L135">IFERROR(INDEX('Bank Schedule'!M:M, SMALL(IF('Bank Schedule'!$K$2:$K$825="Vacant", ROW('Bank Schedule'!$K$2:$K$825)), ROW(132:132))), "")</f>
        <v/>
      </c>
      <c r="M135" s="11" t="str">
        <f t="array" ref="M135">IFERROR(INDEX('Bank Schedule'!N:N, SMALL(IF('Bank Schedule'!$K$2:$K$825="Vacant", ROW('Bank Schedule'!$K$2:$K$825)), ROW(132:132))), "")</f>
        <v/>
      </c>
      <c r="N135" s="11" t="str">
        <f t="array" ref="N135">IFERROR(INDEX('Bank Schedule'!O:O, SMALL(IF('Bank Schedule'!$K$2:$K$825="Vacant", ROW('Bank Schedule'!$K$2:$K$825)), ROW(132:132))), "")</f>
        <v/>
      </c>
      <c r="O135" s="11" t="str">
        <f t="array" ref="O135">IFERROR(INDEX('Bank Schedule'!P:P, SMALL(IF('Bank Schedule'!$K$2:$K$825="Vacant", ROW('Bank Schedule'!$K$2:$K$825)), ROW(132:132))), "")</f>
        <v/>
      </c>
      <c r="P135" s="11" t="str">
        <f t="array" ref="P135">IFERROR(INDEX('Bank Schedule'!Q:Q, SMALL(IF('Bank Schedule'!$K$2:$K$825="Vacant", ROW('Bank Schedule'!$K$2:$K$825)), ROW(132:132))), "")</f>
        <v/>
      </c>
      <c r="Q135" s="11" t="str">
        <f t="array" ref="Q135">IFERROR(INDEX('Bank Schedule'!R:R, SMALL(IF('Bank Schedule'!$K$2:$K$825="Vacant", ROW('Bank Schedule'!$K$2:$K$825)), ROW(132:132))), "")</f>
        <v/>
      </c>
      <c r="R135" s="11" t="str">
        <f t="array" ref="R135">IFERROR(INDEX('Bank Schedule'!S:S, SMALL(IF('Bank Schedule'!$K$2:$K$825="Vacant", ROW('Bank Schedule'!$K$2:$K$825)), ROW(132:132))), "")</f>
        <v/>
      </c>
      <c r="S135" s="11" t="str">
        <f t="array" ref="S135">IFERROR(INDEX('Bank Schedule'!T:T, SMALL(IF('Bank Schedule'!$K$2:$K$825="Vacant", ROW('Bank Schedule'!$K$2:$K$825)), ROW(132:132))), "")</f>
        <v/>
      </c>
      <c r="T135" s="11" t="str">
        <f t="array" ref="T135">IFERROR(INDEX('Bank Schedule'!U:U, SMALL(IF('Bank Schedule'!$K$2:$K$825="Vacant", ROW('Bank Schedule'!$K$2:$K$825)), ROW(132:132))), "")</f>
        <v/>
      </c>
      <c r="U135" s="11" t="str">
        <f t="array" ref="U135">IFERROR(INDEX('Bank Schedule'!V:V, SMALL(IF('Bank Schedule'!$K$2:$K$825="Vacant", ROW('Bank Schedule'!$K$2:$K$825)), ROW(132:132))), "")</f>
        <v/>
      </c>
      <c r="V135" s="11" t="str">
        <f t="array" ref="V135">IFERROR(INDEX('Bank Schedule'!W:W, SMALL(IF('Bank Schedule'!$K$2:$K$825="Vacant", ROW('Bank Schedule'!$K$2:$K$825)), ROW(132:132))), "")</f>
        <v/>
      </c>
      <c r="W135" s="11" t="str">
        <f t="array" ref="W135">IFERROR(INDEX('Bank Schedule'!X:X, SMALL(IF('Bank Schedule'!$K$2:$K$825="Vacant", ROW('Bank Schedule'!$K$2:$K$825)), ROW(132:132))), "")</f>
        <v/>
      </c>
      <c r="X135" s="11" t="str">
        <f t="array" ref="X135">IFERROR(INDEX('Bank Schedule'!Y:Y, SMALL(IF('Bank Schedule'!$K$2:$K$825="Vacant", ROW('Bank Schedule'!$K$2:$K$825)), ROW(132:132))), "")</f>
        <v/>
      </c>
      <c r="Y135" s="11" t="str">
        <f t="array" ref="Y135">IFERROR(INDEX('Bank Schedule'!Z:Z, SMALL(IF('Bank Schedule'!$K$2:$K$825="Vacant", ROW('Bank Schedule'!$K$2:$K$825)), ROW(132:132))), "")</f>
        <v/>
      </c>
      <c r="Z135" s="11" t="str">
        <f t="array" ref="Z135">IFERROR(INDEX('Bank Schedule'!AA:AA, SMALL(IF('Bank Schedule'!$K$2:$K$825="Vacant", ROW('Bank Schedule'!$K$2:$K$825)), ROW(132:132))), "")</f>
        <v/>
      </c>
      <c r="AA135" s="11" t="str">
        <f t="array" ref="AA135">IFERROR(INDEX('Bank Schedule'!AB:AB, SMALL(IF('Bank Schedule'!$K$2:$K$825="Vacant", ROW('Bank Schedule'!$K$2:$K$825)), ROW(132:132))), "")</f>
        <v/>
      </c>
      <c r="AB135" s="11" t="str">
        <f t="array" ref="AB135">IFERROR(INDEX('Bank Schedule'!AC:AC, SMALL(IF('Bank Schedule'!$K$2:$K$825="Vacant", ROW('Bank Schedule'!$K$2:$K$825)), ROW(132:132))), "")</f>
        <v/>
      </c>
      <c r="AC135" s="299" t="str">
        <f t="array" ref="AC135">IFERROR(INDEX('Bank Schedule'!AD:AD, SMALL(IF('Bank Schedule'!$K$2:$K$825="Vacant", ROW('Bank Schedule'!$K$2:$K$825)), ROW(132:132))), "")</f>
        <v/>
      </c>
      <c r="AD135" s="11" t="str">
        <f t="array" ref="AD135">IFERROR(INDEX('Bank Schedule'!AE:AE, SMALL(IF('Bank Schedule'!$K$2:$K$825="Vacant", ROW('Bank Schedule'!$K$2:$K$825)), ROW(132:132))), "")</f>
        <v/>
      </c>
      <c r="AE135" s="11" t="str">
        <f t="array" ref="AE135">IFERROR(INDEX('Bank Schedule'!AF:AF, SMALL(IF('Bank Schedule'!$K$2:$K$825="Vacant", ROW('Bank Schedule'!$K$2:$K$825)), ROW(132:132))), "")</f>
        <v/>
      </c>
      <c r="AF135" s="11" t="str">
        <f t="array" ref="AF135">IFERROR(INDEX('Bank Schedule'!AG:AG, SMALL(IF('Bank Schedule'!$K$2:$K$825="Vacant", ROW('Bank Schedule'!$K$2:$K$825)), ROW(132:132))), "")</f>
        <v/>
      </c>
      <c r="AG135" s="4"/>
    </row>
    <row r="136" spans="1:35" ht="28.5" customHeight="1">
      <c r="A136" s="2" t="str">
        <f t="array" ref="A136">IFERROR(INDEX('Bank Schedule'!A:A, SMALL(IF('Bank Schedule'!$K$2:$K$825="Vacant", ROW('Bank Schedule'!$K$2:$K$825)), ROW(133:133))), "")</f>
        <v/>
      </c>
      <c r="B136" s="11" t="str">
        <f t="array" ref="B136">IFERROR(INDEX('Bank Schedule'!B:B, SMALL(IF('Bank Schedule'!$K$2:$K$825="Vacant", ROW('Bank Schedule'!$K$2:$K$825)), ROW(133:133))), "")</f>
        <v/>
      </c>
      <c r="C136" s="11" t="str">
        <f t="array" ref="C136">IFERROR(INDEX('Bank Schedule'!C:C, SMALL(IF('Bank Schedule'!$K$2:$K$825="Vacant", ROW('Bank Schedule'!$K$2:$K$825)), ROW(133:133))), "")</f>
        <v/>
      </c>
      <c r="D136" s="11" t="str">
        <f t="array" ref="D136">IFERROR(INDEX('Bank Schedule'!D:D, SMALL(IF('Bank Schedule'!$K$2:$K$825="Vacant", ROW('Bank Schedule'!$K$2:$K$825)), ROW(133:133))), "")</f>
        <v/>
      </c>
      <c r="E136" s="11" t="str">
        <f t="array" ref="E136">IFERROR(INDEX('Bank Schedule'!E:E, SMALL(IF('Bank Schedule'!$K$2:$K$825="Vacant", ROW('Bank Schedule'!$K$2:$K$825)), ROW(133:133))), "")</f>
        <v/>
      </c>
      <c r="F136" s="11" t="str">
        <f t="array" ref="F136">IFERROR(INDEX('Bank Schedule'!F:F, SMALL(IF('Bank Schedule'!$K$2:$K$825="Vacant", ROW('Bank Schedule'!$K$2:$K$825)), ROW(133:133))), "")</f>
        <v/>
      </c>
      <c r="G136" s="11" t="str">
        <f t="array" ref="G136">IFERROR(INDEX('Bank Schedule'!G:G, SMALL(IF('Bank Schedule'!$K$2:$K$825="Vacant", ROW('Bank Schedule'!$K$2:$K$825)), ROW(133:133))), "")</f>
        <v/>
      </c>
      <c r="H136" s="11" t="str">
        <f t="array" ref="H136">IFERROR(INDEX('Bank Schedule'!H:H, SMALL(IF('Bank Schedule'!$K$2:$K$825="Vacant", ROW('Bank Schedule'!$K$2:$K$825)), ROW(133:133))), "")</f>
        <v/>
      </c>
      <c r="I136" s="11" t="str">
        <f t="array" ref="I136">IFERROR(INDEX('Bank Schedule'!I:I, SMALL(IF('Bank Schedule'!$K$2:$K$825="Vacant", ROW('Bank Schedule'!$K$2:$K$825)), ROW(133:133))), "")</f>
        <v/>
      </c>
      <c r="J136" s="11" t="str">
        <f t="array" ref="J136">IFERROR(INDEX('Bank Schedule'!K:K, SMALL(IF('Bank Schedule'!$K$2:$K$825="Vacant", ROW('Bank Schedule'!$K$2:$K$825)), ROW(133:133))), "")</f>
        <v/>
      </c>
      <c r="K136" s="11" t="str">
        <f t="array" ref="K136">IFERROR(INDEX('Bank Schedule'!L:L, SMALL(IF('Bank Schedule'!$K$2:$K$825="Vacant", ROW('Bank Schedule'!$K$2:$K$825)), ROW(133:133))), "")</f>
        <v/>
      </c>
      <c r="L136" s="11" t="str">
        <f t="array" ref="L136">IFERROR(INDEX('Bank Schedule'!M:M, SMALL(IF('Bank Schedule'!$K$2:$K$825="Vacant", ROW('Bank Schedule'!$K$2:$K$825)), ROW(133:133))), "")</f>
        <v/>
      </c>
      <c r="M136" s="11" t="str">
        <f t="array" ref="M136">IFERROR(INDEX('Bank Schedule'!N:N, SMALL(IF('Bank Schedule'!$K$2:$K$825="Vacant", ROW('Bank Schedule'!$K$2:$K$825)), ROW(133:133))), "")</f>
        <v/>
      </c>
      <c r="N136" s="11" t="str">
        <f t="array" ref="N136">IFERROR(INDEX('Bank Schedule'!O:O, SMALL(IF('Bank Schedule'!$K$2:$K$825="Vacant", ROW('Bank Schedule'!$K$2:$K$825)), ROW(133:133))), "")</f>
        <v/>
      </c>
      <c r="O136" s="11" t="str">
        <f t="array" ref="O136">IFERROR(INDEX('Bank Schedule'!P:P, SMALL(IF('Bank Schedule'!$K$2:$K$825="Vacant", ROW('Bank Schedule'!$K$2:$K$825)), ROW(133:133))), "")</f>
        <v/>
      </c>
      <c r="P136" s="11" t="str">
        <f t="array" ref="P136">IFERROR(INDEX('Bank Schedule'!Q:Q, SMALL(IF('Bank Schedule'!$K$2:$K$825="Vacant", ROW('Bank Schedule'!$K$2:$K$825)), ROW(133:133))), "")</f>
        <v/>
      </c>
      <c r="Q136" s="11" t="str">
        <f t="array" ref="Q136">IFERROR(INDEX('Bank Schedule'!R:R, SMALL(IF('Bank Schedule'!$K$2:$K$825="Vacant", ROW('Bank Schedule'!$K$2:$K$825)), ROW(133:133))), "")</f>
        <v/>
      </c>
      <c r="R136" s="11" t="str">
        <f t="array" ref="R136">IFERROR(INDEX('Bank Schedule'!S:S, SMALL(IF('Bank Schedule'!$K$2:$K$825="Vacant", ROW('Bank Schedule'!$K$2:$K$825)), ROW(133:133))), "")</f>
        <v/>
      </c>
      <c r="S136" s="11" t="str">
        <f t="array" ref="S136">IFERROR(INDEX('Bank Schedule'!T:T, SMALL(IF('Bank Schedule'!$K$2:$K$825="Vacant", ROW('Bank Schedule'!$K$2:$K$825)), ROW(133:133))), "")</f>
        <v/>
      </c>
      <c r="T136" s="11" t="str">
        <f t="array" ref="T136">IFERROR(INDEX('Bank Schedule'!U:U, SMALL(IF('Bank Schedule'!$K$2:$K$825="Vacant", ROW('Bank Schedule'!$K$2:$K$825)), ROW(133:133))), "")</f>
        <v/>
      </c>
      <c r="U136" s="11" t="str">
        <f t="array" ref="U136">IFERROR(INDEX('Bank Schedule'!V:V, SMALL(IF('Bank Schedule'!$K$2:$K$825="Vacant", ROW('Bank Schedule'!$K$2:$K$825)), ROW(133:133))), "")</f>
        <v/>
      </c>
      <c r="V136" s="11" t="str">
        <f t="array" ref="V136">IFERROR(INDEX('Bank Schedule'!W:W, SMALL(IF('Bank Schedule'!$K$2:$K$825="Vacant", ROW('Bank Schedule'!$K$2:$K$825)), ROW(133:133))), "")</f>
        <v/>
      </c>
      <c r="W136" s="11" t="str">
        <f t="array" ref="W136">IFERROR(INDEX('Bank Schedule'!X:X, SMALL(IF('Bank Schedule'!$K$2:$K$825="Vacant", ROW('Bank Schedule'!$K$2:$K$825)), ROW(133:133))), "")</f>
        <v/>
      </c>
      <c r="X136" s="11" t="str">
        <f t="array" ref="X136">IFERROR(INDEX('Bank Schedule'!Y:Y, SMALL(IF('Bank Schedule'!$K$2:$K$825="Vacant", ROW('Bank Schedule'!$K$2:$K$825)), ROW(133:133))), "")</f>
        <v/>
      </c>
      <c r="Y136" s="11" t="str">
        <f t="array" ref="Y136">IFERROR(INDEX('Bank Schedule'!Z:Z, SMALL(IF('Bank Schedule'!$K$2:$K$825="Vacant", ROW('Bank Schedule'!$K$2:$K$825)), ROW(133:133))), "")</f>
        <v/>
      </c>
      <c r="Z136" s="11" t="str">
        <f t="array" ref="Z136">IFERROR(INDEX('Bank Schedule'!AA:AA, SMALL(IF('Bank Schedule'!$K$2:$K$825="Vacant", ROW('Bank Schedule'!$K$2:$K$825)), ROW(133:133))), "")</f>
        <v/>
      </c>
      <c r="AA136" s="11" t="str">
        <f t="array" ref="AA136">IFERROR(INDEX('Bank Schedule'!AB:AB, SMALL(IF('Bank Schedule'!$K$2:$K$825="Vacant", ROW('Bank Schedule'!$K$2:$K$825)), ROW(133:133))), "")</f>
        <v/>
      </c>
      <c r="AB136" s="11" t="str">
        <f t="array" ref="AB136">IFERROR(INDEX('Bank Schedule'!AC:AC, SMALL(IF('Bank Schedule'!$K$2:$K$825="Vacant", ROW('Bank Schedule'!$K$2:$K$825)), ROW(133:133))), "")</f>
        <v/>
      </c>
      <c r="AC136" s="299" t="str">
        <f t="array" ref="AC136">IFERROR(INDEX('Bank Schedule'!AD:AD, SMALL(IF('Bank Schedule'!$K$2:$K$825="Vacant", ROW('Bank Schedule'!$K$2:$K$825)), ROW(133:133))), "")</f>
        <v/>
      </c>
      <c r="AD136" s="11" t="str">
        <f t="array" ref="AD136">IFERROR(INDEX('Bank Schedule'!AE:AE, SMALL(IF('Bank Schedule'!$K$2:$K$825="Vacant", ROW('Bank Schedule'!$K$2:$K$825)), ROW(133:133))), "")</f>
        <v/>
      </c>
      <c r="AE136" s="11" t="str">
        <f t="array" ref="AE136">IFERROR(INDEX('Bank Schedule'!AF:AF, SMALL(IF('Bank Schedule'!$K$2:$K$825="Vacant", ROW('Bank Schedule'!$K$2:$K$825)), ROW(133:133))), "")</f>
        <v/>
      </c>
      <c r="AF136" s="11" t="str">
        <f t="array" ref="AF136">IFERROR(INDEX('Bank Schedule'!AG:AG, SMALL(IF('Bank Schedule'!$K$2:$K$825="Vacant", ROW('Bank Schedule'!$K$2:$K$825)), ROW(133:133))), "")</f>
        <v/>
      </c>
      <c r="AG136" s="4"/>
    </row>
    <row r="137" spans="1:35" ht="28.5" customHeight="1">
      <c r="A137" s="2" t="str">
        <f t="array" ref="A137">IFERROR(INDEX('Bank Schedule'!A:A, SMALL(IF('Bank Schedule'!$K$2:$K$825="Vacant", ROW('Bank Schedule'!$K$2:$K$825)), ROW(134:134))), "")</f>
        <v/>
      </c>
      <c r="B137" s="11" t="str">
        <f t="array" ref="B137">IFERROR(INDEX('Bank Schedule'!B:B, SMALL(IF('Bank Schedule'!$K$2:$K$825="Vacant", ROW('Bank Schedule'!$K$2:$K$825)), ROW(134:134))), "")</f>
        <v/>
      </c>
      <c r="C137" s="11" t="str">
        <f t="array" ref="C137">IFERROR(INDEX('Bank Schedule'!C:C, SMALL(IF('Bank Schedule'!$K$2:$K$825="Vacant", ROW('Bank Schedule'!$K$2:$K$825)), ROW(134:134))), "")</f>
        <v/>
      </c>
      <c r="D137" s="11" t="str">
        <f t="array" ref="D137">IFERROR(INDEX('Bank Schedule'!D:D, SMALL(IF('Bank Schedule'!$K$2:$K$825="Vacant", ROW('Bank Schedule'!$K$2:$K$825)), ROW(134:134))), "")</f>
        <v/>
      </c>
      <c r="E137" s="11" t="str">
        <f t="array" ref="E137">IFERROR(INDEX('Bank Schedule'!E:E, SMALL(IF('Bank Schedule'!$K$2:$K$825="Vacant", ROW('Bank Schedule'!$K$2:$K$825)), ROW(134:134))), "")</f>
        <v/>
      </c>
      <c r="F137" s="11" t="str">
        <f t="array" ref="F137">IFERROR(INDEX('Bank Schedule'!F:F, SMALL(IF('Bank Schedule'!$K$2:$K$825="Vacant", ROW('Bank Schedule'!$K$2:$K$825)), ROW(134:134))), "")</f>
        <v/>
      </c>
      <c r="G137" s="11" t="str">
        <f t="array" ref="G137">IFERROR(INDEX('Bank Schedule'!G:G, SMALL(IF('Bank Schedule'!$K$2:$K$825="Vacant", ROW('Bank Schedule'!$K$2:$K$825)), ROW(134:134))), "")</f>
        <v/>
      </c>
      <c r="H137" s="11" t="str">
        <f t="array" ref="H137">IFERROR(INDEX('Bank Schedule'!H:H, SMALL(IF('Bank Schedule'!$K$2:$K$825="Vacant", ROW('Bank Schedule'!$K$2:$K$825)), ROW(134:134))), "")</f>
        <v/>
      </c>
      <c r="I137" s="11" t="str">
        <f t="array" ref="I137">IFERROR(INDEX('Bank Schedule'!I:I, SMALL(IF('Bank Schedule'!$K$2:$K$825="Vacant", ROW('Bank Schedule'!$K$2:$K$825)), ROW(134:134))), "")</f>
        <v/>
      </c>
      <c r="J137" s="11" t="str">
        <f t="array" ref="J137">IFERROR(INDEX('Bank Schedule'!K:K, SMALL(IF('Bank Schedule'!$K$2:$K$825="Vacant", ROW('Bank Schedule'!$K$2:$K$825)), ROW(134:134))), "")</f>
        <v/>
      </c>
      <c r="K137" s="11" t="str">
        <f t="array" ref="K137">IFERROR(INDEX('Bank Schedule'!L:L, SMALL(IF('Bank Schedule'!$K$2:$K$825="Vacant", ROW('Bank Schedule'!$K$2:$K$825)), ROW(134:134))), "")</f>
        <v/>
      </c>
      <c r="L137" s="11" t="str">
        <f t="array" ref="L137">IFERROR(INDEX('Bank Schedule'!M:M, SMALL(IF('Bank Schedule'!$K$2:$K$825="Vacant", ROW('Bank Schedule'!$K$2:$K$825)), ROW(134:134))), "")</f>
        <v/>
      </c>
      <c r="M137" s="11" t="str">
        <f t="array" ref="M137">IFERROR(INDEX('Bank Schedule'!N:N, SMALL(IF('Bank Schedule'!$K$2:$K$825="Vacant", ROW('Bank Schedule'!$K$2:$K$825)), ROW(134:134))), "")</f>
        <v/>
      </c>
      <c r="N137" s="11" t="str">
        <f t="array" ref="N137">IFERROR(INDEX('Bank Schedule'!O:O, SMALL(IF('Bank Schedule'!$K$2:$K$825="Vacant", ROW('Bank Schedule'!$K$2:$K$825)), ROW(134:134))), "")</f>
        <v/>
      </c>
      <c r="O137" s="11" t="str">
        <f t="array" ref="O137">IFERROR(INDEX('Bank Schedule'!P:P, SMALL(IF('Bank Schedule'!$K$2:$K$825="Vacant", ROW('Bank Schedule'!$K$2:$K$825)), ROW(134:134))), "")</f>
        <v/>
      </c>
      <c r="P137" s="11" t="str">
        <f t="array" ref="P137">IFERROR(INDEX('Bank Schedule'!Q:Q, SMALL(IF('Bank Schedule'!$K$2:$K$825="Vacant", ROW('Bank Schedule'!$K$2:$K$825)), ROW(134:134))), "")</f>
        <v/>
      </c>
      <c r="Q137" s="11" t="str">
        <f t="array" ref="Q137">IFERROR(INDEX('Bank Schedule'!R:R, SMALL(IF('Bank Schedule'!$K$2:$K$825="Vacant", ROW('Bank Schedule'!$K$2:$K$825)), ROW(134:134))), "")</f>
        <v/>
      </c>
      <c r="R137" s="11" t="str">
        <f t="array" ref="R137">IFERROR(INDEX('Bank Schedule'!S:S, SMALL(IF('Bank Schedule'!$K$2:$K$825="Vacant", ROW('Bank Schedule'!$K$2:$K$825)), ROW(134:134))), "")</f>
        <v/>
      </c>
      <c r="S137" s="11" t="str">
        <f t="array" ref="S137">IFERROR(INDEX('Bank Schedule'!T:T, SMALL(IF('Bank Schedule'!$K$2:$K$825="Vacant", ROW('Bank Schedule'!$K$2:$K$825)), ROW(134:134))), "")</f>
        <v/>
      </c>
      <c r="T137" s="11" t="str">
        <f t="array" ref="T137">IFERROR(INDEX('Bank Schedule'!U:U, SMALL(IF('Bank Schedule'!$K$2:$K$825="Vacant", ROW('Bank Schedule'!$K$2:$K$825)), ROW(134:134))), "")</f>
        <v/>
      </c>
      <c r="U137" s="11" t="str">
        <f t="array" ref="U137">IFERROR(INDEX('Bank Schedule'!V:V, SMALL(IF('Bank Schedule'!$K$2:$K$825="Vacant", ROW('Bank Schedule'!$K$2:$K$825)), ROW(134:134))), "")</f>
        <v/>
      </c>
      <c r="V137" s="11" t="str">
        <f t="array" ref="V137">IFERROR(INDEX('Bank Schedule'!W:W, SMALL(IF('Bank Schedule'!$K$2:$K$825="Vacant", ROW('Bank Schedule'!$K$2:$K$825)), ROW(134:134))), "")</f>
        <v/>
      </c>
      <c r="W137" s="11" t="str">
        <f t="array" ref="W137">IFERROR(INDEX('Bank Schedule'!X:X, SMALL(IF('Bank Schedule'!$K$2:$K$825="Vacant", ROW('Bank Schedule'!$K$2:$K$825)), ROW(134:134))), "")</f>
        <v/>
      </c>
      <c r="X137" s="11" t="str">
        <f t="array" ref="X137">IFERROR(INDEX('Bank Schedule'!Y:Y, SMALL(IF('Bank Schedule'!$K$2:$K$825="Vacant", ROW('Bank Schedule'!$K$2:$K$825)), ROW(134:134))), "")</f>
        <v/>
      </c>
      <c r="Y137" s="11" t="str">
        <f t="array" ref="Y137">IFERROR(INDEX('Bank Schedule'!Z:Z, SMALL(IF('Bank Schedule'!$K$2:$K$825="Vacant", ROW('Bank Schedule'!$K$2:$K$825)), ROW(134:134))), "")</f>
        <v/>
      </c>
      <c r="Z137" s="11" t="str">
        <f t="array" ref="Z137">IFERROR(INDEX('Bank Schedule'!AA:AA, SMALL(IF('Bank Schedule'!$K$2:$K$825="Vacant", ROW('Bank Schedule'!$K$2:$K$825)), ROW(134:134))), "")</f>
        <v/>
      </c>
      <c r="AA137" s="11" t="str">
        <f t="array" ref="AA137">IFERROR(INDEX('Bank Schedule'!AB:AB, SMALL(IF('Bank Schedule'!$K$2:$K$825="Vacant", ROW('Bank Schedule'!$K$2:$K$825)), ROW(134:134))), "")</f>
        <v/>
      </c>
      <c r="AB137" s="11" t="str">
        <f t="array" ref="AB137">IFERROR(INDEX('Bank Schedule'!AC:AC, SMALL(IF('Bank Schedule'!$K$2:$K$825="Vacant", ROW('Bank Schedule'!$K$2:$K$825)), ROW(134:134))), "")</f>
        <v/>
      </c>
      <c r="AC137" s="299" t="str">
        <f t="array" ref="AC137">IFERROR(INDEX('Bank Schedule'!AD:AD, SMALL(IF('Bank Schedule'!$K$2:$K$825="Vacant", ROW('Bank Schedule'!$K$2:$K$825)), ROW(134:134))), "")</f>
        <v/>
      </c>
      <c r="AD137" s="11" t="str">
        <f t="array" ref="AD137">IFERROR(INDEX('Bank Schedule'!AE:AE, SMALL(IF('Bank Schedule'!$K$2:$K$825="Vacant", ROW('Bank Schedule'!$K$2:$K$825)), ROW(134:134))), "")</f>
        <v/>
      </c>
      <c r="AE137" s="11" t="str">
        <f t="array" ref="AE137">IFERROR(INDEX('Bank Schedule'!AF:AF, SMALL(IF('Bank Schedule'!$K$2:$K$825="Vacant", ROW('Bank Schedule'!$K$2:$K$825)), ROW(134:134))), "")</f>
        <v/>
      </c>
      <c r="AF137" s="11" t="str">
        <f t="array" ref="AF137">IFERROR(INDEX('Bank Schedule'!AG:AG, SMALL(IF('Bank Schedule'!$K$2:$K$825="Vacant", ROW('Bank Schedule'!$K$2:$K$825)), ROW(134:134))), "")</f>
        <v/>
      </c>
      <c r="AG137" s="4"/>
    </row>
    <row r="138" spans="1:35" ht="28.5" customHeight="1">
      <c r="A138" s="2" t="str">
        <f t="array" ref="A138">IFERROR(INDEX('Bank Schedule'!A:A, SMALL(IF('Bank Schedule'!$K$2:$K$825="Vacant", ROW('Bank Schedule'!$K$2:$K$825)), ROW(135:135))), "")</f>
        <v/>
      </c>
      <c r="B138" s="11" t="str">
        <f t="array" ref="B138">IFERROR(INDEX('Bank Schedule'!B:B, SMALL(IF('Bank Schedule'!$K$2:$K$825="Vacant", ROW('Bank Schedule'!$K$2:$K$825)), ROW(135:135))), "")</f>
        <v/>
      </c>
      <c r="C138" s="11" t="str">
        <f t="array" ref="C138">IFERROR(INDEX('Bank Schedule'!C:C, SMALL(IF('Bank Schedule'!$K$2:$K$825="Vacant", ROW('Bank Schedule'!$K$2:$K$825)), ROW(135:135))), "")</f>
        <v/>
      </c>
      <c r="D138" s="11" t="str">
        <f t="array" ref="D138">IFERROR(INDEX('Bank Schedule'!D:D, SMALL(IF('Bank Schedule'!$K$2:$K$825="Vacant", ROW('Bank Schedule'!$K$2:$K$825)), ROW(135:135))), "")</f>
        <v/>
      </c>
      <c r="E138" s="11" t="str">
        <f t="array" ref="E138">IFERROR(INDEX('Bank Schedule'!E:E, SMALL(IF('Bank Schedule'!$K$2:$K$825="Vacant", ROW('Bank Schedule'!$K$2:$K$825)), ROW(135:135))), "")</f>
        <v/>
      </c>
      <c r="F138" s="11" t="str">
        <f t="array" ref="F138">IFERROR(INDEX('Bank Schedule'!F:F, SMALL(IF('Bank Schedule'!$K$2:$K$825="Vacant", ROW('Bank Schedule'!$K$2:$K$825)), ROW(135:135))), "")</f>
        <v/>
      </c>
      <c r="G138" s="11" t="str">
        <f t="array" ref="G138">IFERROR(INDEX('Bank Schedule'!G:G, SMALL(IF('Bank Schedule'!$K$2:$K$825="Vacant", ROW('Bank Schedule'!$K$2:$K$825)), ROW(135:135))), "")</f>
        <v/>
      </c>
      <c r="H138" s="11" t="str">
        <f t="array" ref="H138">IFERROR(INDEX('Bank Schedule'!H:H, SMALL(IF('Bank Schedule'!$K$2:$K$825="Vacant", ROW('Bank Schedule'!$K$2:$K$825)), ROW(135:135))), "")</f>
        <v/>
      </c>
      <c r="I138" s="11" t="str">
        <f t="array" ref="I138">IFERROR(INDEX('Bank Schedule'!I:I, SMALL(IF('Bank Schedule'!$K$2:$K$825="Vacant", ROW('Bank Schedule'!$K$2:$K$825)), ROW(135:135))), "")</f>
        <v/>
      </c>
      <c r="J138" s="11" t="str">
        <f t="array" ref="J138">IFERROR(INDEX('Bank Schedule'!K:K, SMALL(IF('Bank Schedule'!$K$2:$K$825="Vacant", ROW('Bank Schedule'!$K$2:$K$825)), ROW(135:135))), "")</f>
        <v/>
      </c>
      <c r="K138" s="11" t="str">
        <f t="array" ref="K138">IFERROR(INDEX('Bank Schedule'!L:L, SMALL(IF('Bank Schedule'!$K$2:$K$825="Vacant", ROW('Bank Schedule'!$K$2:$K$825)), ROW(135:135))), "")</f>
        <v/>
      </c>
      <c r="L138" s="11" t="str">
        <f t="array" ref="L138">IFERROR(INDEX('Bank Schedule'!M:M, SMALL(IF('Bank Schedule'!$K$2:$K$825="Vacant", ROW('Bank Schedule'!$K$2:$K$825)), ROW(135:135))), "")</f>
        <v/>
      </c>
      <c r="M138" s="11" t="str">
        <f t="array" ref="M138">IFERROR(INDEX('Bank Schedule'!N:N, SMALL(IF('Bank Schedule'!$K$2:$K$825="Vacant", ROW('Bank Schedule'!$K$2:$K$825)), ROW(135:135))), "")</f>
        <v/>
      </c>
      <c r="N138" s="11" t="str">
        <f t="array" ref="N138">IFERROR(INDEX('Bank Schedule'!O:O, SMALL(IF('Bank Schedule'!$K$2:$K$825="Vacant", ROW('Bank Schedule'!$K$2:$K$825)), ROW(135:135))), "")</f>
        <v/>
      </c>
      <c r="O138" s="11" t="str">
        <f t="array" ref="O138">IFERROR(INDEX('Bank Schedule'!P:P, SMALL(IF('Bank Schedule'!$K$2:$K$825="Vacant", ROW('Bank Schedule'!$K$2:$K$825)), ROW(135:135))), "")</f>
        <v/>
      </c>
      <c r="P138" s="11" t="str">
        <f t="array" ref="P138">IFERROR(INDEX('Bank Schedule'!Q:Q, SMALL(IF('Bank Schedule'!$K$2:$K$825="Vacant", ROW('Bank Schedule'!$K$2:$K$825)), ROW(135:135))), "")</f>
        <v/>
      </c>
      <c r="Q138" s="11" t="str">
        <f t="array" ref="Q138">IFERROR(INDEX('Bank Schedule'!R:R, SMALL(IF('Bank Schedule'!$K$2:$K$825="Vacant", ROW('Bank Schedule'!$K$2:$K$825)), ROW(135:135))), "")</f>
        <v/>
      </c>
      <c r="R138" s="11" t="str">
        <f t="array" ref="R138">IFERROR(INDEX('Bank Schedule'!S:S, SMALL(IF('Bank Schedule'!$K$2:$K$825="Vacant", ROW('Bank Schedule'!$K$2:$K$825)), ROW(135:135))), "")</f>
        <v/>
      </c>
      <c r="S138" s="11" t="str">
        <f t="array" ref="S138">IFERROR(INDEX('Bank Schedule'!T:T, SMALL(IF('Bank Schedule'!$K$2:$K$825="Vacant", ROW('Bank Schedule'!$K$2:$K$825)), ROW(135:135))), "")</f>
        <v/>
      </c>
      <c r="T138" s="11" t="str">
        <f t="array" ref="T138">IFERROR(INDEX('Bank Schedule'!U:U, SMALL(IF('Bank Schedule'!$K$2:$K$825="Vacant", ROW('Bank Schedule'!$K$2:$K$825)), ROW(135:135))), "")</f>
        <v/>
      </c>
      <c r="U138" s="11" t="str">
        <f t="array" ref="U138">IFERROR(INDEX('Bank Schedule'!V:V, SMALL(IF('Bank Schedule'!$K$2:$K$825="Vacant", ROW('Bank Schedule'!$K$2:$K$825)), ROW(135:135))), "")</f>
        <v/>
      </c>
      <c r="V138" s="11" t="str">
        <f t="array" ref="V138">IFERROR(INDEX('Bank Schedule'!W:W, SMALL(IF('Bank Schedule'!$K$2:$K$825="Vacant", ROW('Bank Schedule'!$K$2:$K$825)), ROW(135:135))), "")</f>
        <v/>
      </c>
      <c r="W138" s="11" t="str">
        <f t="array" ref="W138">IFERROR(INDEX('Bank Schedule'!X:X, SMALL(IF('Bank Schedule'!$K$2:$K$825="Vacant", ROW('Bank Schedule'!$K$2:$K$825)), ROW(135:135))), "")</f>
        <v/>
      </c>
      <c r="X138" s="11" t="str">
        <f t="array" ref="X138">IFERROR(INDEX('Bank Schedule'!Y:Y, SMALL(IF('Bank Schedule'!$K$2:$K$825="Vacant", ROW('Bank Schedule'!$K$2:$K$825)), ROW(135:135))), "")</f>
        <v/>
      </c>
      <c r="Y138" s="11" t="str">
        <f t="array" ref="Y138">IFERROR(INDEX('Bank Schedule'!Z:Z, SMALL(IF('Bank Schedule'!$K$2:$K$825="Vacant", ROW('Bank Schedule'!$K$2:$K$825)), ROW(135:135))), "")</f>
        <v/>
      </c>
      <c r="Z138" s="11" t="str">
        <f t="array" ref="Z138">IFERROR(INDEX('Bank Schedule'!AA:AA, SMALL(IF('Bank Schedule'!$K$2:$K$825="Vacant", ROW('Bank Schedule'!$K$2:$K$825)), ROW(135:135))), "")</f>
        <v/>
      </c>
      <c r="AA138" s="11" t="str">
        <f t="array" ref="AA138">IFERROR(INDEX('Bank Schedule'!AB:AB, SMALL(IF('Bank Schedule'!$K$2:$K$825="Vacant", ROW('Bank Schedule'!$K$2:$K$825)), ROW(135:135))), "")</f>
        <v/>
      </c>
      <c r="AB138" s="11" t="str">
        <f t="array" ref="AB138">IFERROR(INDEX('Bank Schedule'!AC:AC, SMALL(IF('Bank Schedule'!$K$2:$K$825="Vacant", ROW('Bank Schedule'!$K$2:$K$825)), ROW(135:135))), "")</f>
        <v/>
      </c>
      <c r="AC138" s="11" t="str">
        <f t="array" ref="AC138">IFERROR(INDEX('Bank Schedule'!AD:AD, SMALL(IF('Bank Schedule'!$K$2:$K$825="Vacant", ROW('Bank Schedule'!$K$2:$K$825)), ROW(135:135))), "")</f>
        <v/>
      </c>
      <c r="AD138" s="11" t="str">
        <f t="array" ref="AD138">IFERROR(INDEX('Bank Schedule'!AE:AE, SMALL(IF('Bank Schedule'!$K$2:$K$825="Vacant", ROW('Bank Schedule'!$K$2:$K$825)), ROW(135:135))), "")</f>
        <v/>
      </c>
      <c r="AE138" s="11" t="str">
        <f t="array" ref="AE138">IFERROR(INDEX('Bank Schedule'!AF:AF, SMALL(IF('Bank Schedule'!$K$2:$K$825="Vacant", ROW('Bank Schedule'!$K$2:$K$825)), ROW(135:135))), "")</f>
        <v/>
      </c>
      <c r="AF138" s="11" t="str">
        <f t="array" ref="AF138">IFERROR(INDEX('Bank Schedule'!AG:AG, SMALL(IF('Bank Schedule'!$K$2:$K$825="Vacant", ROW('Bank Schedule'!$K$2:$K$825)), ROW(135:135))), "")</f>
        <v/>
      </c>
      <c r="AG138" s="4"/>
    </row>
    <row r="139" spans="1:35" ht="28.5" customHeight="1">
      <c r="A139" s="2" t="str">
        <f t="array" ref="A139">IFERROR(INDEX('Bank Schedule'!A:A, SMALL(IF('Bank Schedule'!$K$2:$K$825="Vacant", ROW('Bank Schedule'!$K$2:$K$825)), ROW(136:136))), "")</f>
        <v/>
      </c>
      <c r="B139" s="11" t="str">
        <f t="array" ref="B139">IFERROR(INDEX('Bank Schedule'!B:B, SMALL(IF('Bank Schedule'!$K$2:$K$825="Vacant", ROW('Bank Schedule'!$K$2:$K$825)), ROW(136:136))), "")</f>
        <v/>
      </c>
      <c r="C139" s="11" t="str">
        <f t="array" ref="C139">IFERROR(INDEX('Bank Schedule'!C:C, SMALL(IF('Bank Schedule'!$K$2:$K$825="Vacant", ROW('Bank Schedule'!$K$2:$K$825)), ROW(136:136))), "")</f>
        <v/>
      </c>
      <c r="D139" s="11" t="str">
        <f t="array" ref="D139">IFERROR(INDEX('Bank Schedule'!D:D, SMALL(IF('Bank Schedule'!$K$2:$K$825="Vacant", ROW('Bank Schedule'!$K$2:$K$825)), ROW(136:136))), "")</f>
        <v/>
      </c>
      <c r="E139" s="11" t="str">
        <f t="array" ref="E139">IFERROR(INDEX('Bank Schedule'!E:E, SMALL(IF('Bank Schedule'!$K$2:$K$825="Vacant", ROW('Bank Schedule'!$K$2:$K$825)), ROW(136:136))), "")</f>
        <v/>
      </c>
      <c r="F139" s="11" t="str">
        <f t="array" ref="F139">IFERROR(INDEX('Bank Schedule'!F:F, SMALL(IF('Bank Schedule'!$K$2:$K$825="Vacant", ROW('Bank Schedule'!$K$2:$K$825)), ROW(136:136))), "")</f>
        <v/>
      </c>
      <c r="G139" s="11" t="str">
        <f t="array" ref="G139">IFERROR(INDEX('Bank Schedule'!G:G, SMALL(IF('Bank Schedule'!$K$2:$K$825="Vacant", ROW('Bank Schedule'!$K$2:$K$825)), ROW(136:136))), "")</f>
        <v/>
      </c>
      <c r="H139" s="11" t="str">
        <f t="array" ref="H139">IFERROR(INDEX('Bank Schedule'!H:H, SMALL(IF('Bank Schedule'!$K$2:$K$825="Vacant", ROW('Bank Schedule'!$K$2:$K$825)), ROW(136:136))), "")</f>
        <v/>
      </c>
      <c r="I139" s="11" t="str">
        <f t="array" ref="I139">IFERROR(INDEX('Bank Schedule'!I:I, SMALL(IF('Bank Schedule'!$K$2:$K$825="Vacant", ROW('Bank Schedule'!$K$2:$K$825)), ROW(136:136))), "")</f>
        <v/>
      </c>
      <c r="J139" s="11" t="str">
        <f t="array" ref="J139">IFERROR(INDEX('Bank Schedule'!K:K, SMALL(IF('Bank Schedule'!$K$2:$K$825="Vacant", ROW('Bank Schedule'!$K$2:$K$825)), ROW(136:136))), "")</f>
        <v/>
      </c>
      <c r="K139" s="11" t="str">
        <f t="array" ref="K139">IFERROR(INDEX('Bank Schedule'!L:L, SMALL(IF('Bank Schedule'!$K$2:$K$825="Vacant", ROW('Bank Schedule'!$K$2:$K$825)), ROW(136:136))), "")</f>
        <v/>
      </c>
      <c r="L139" s="11" t="str">
        <f t="array" ref="L139">IFERROR(INDEX('Bank Schedule'!M:M, SMALL(IF('Bank Schedule'!$K$2:$K$825="Vacant", ROW('Bank Schedule'!$K$2:$K$825)), ROW(136:136))), "")</f>
        <v/>
      </c>
      <c r="M139" s="11" t="str">
        <f t="array" ref="M139">IFERROR(INDEX('Bank Schedule'!N:N, SMALL(IF('Bank Schedule'!$K$2:$K$825="Vacant", ROW('Bank Schedule'!$K$2:$K$825)), ROW(136:136))), "")</f>
        <v/>
      </c>
      <c r="N139" s="11" t="str">
        <f t="array" ref="N139">IFERROR(INDEX('Bank Schedule'!O:O, SMALL(IF('Bank Schedule'!$K$2:$K$825="Vacant", ROW('Bank Schedule'!$K$2:$K$825)), ROW(136:136))), "")</f>
        <v/>
      </c>
      <c r="O139" s="11" t="str">
        <f t="array" ref="O139">IFERROR(INDEX('Bank Schedule'!P:P, SMALL(IF('Bank Schedule'!$K$2:$K$825="Vacant", ROW('Bank Schedule'!$K$2:$K$825)), ROW(136:136))), "")</f>
        <v/>
      </c>
      <c r="P139" s="11" t="str">
        <f t="array" ref="P139">IFERROR(INDEX('Bank Schedule'!Q:Q, SMALL(IF('Bank Schedule'!$K$2:$K$825="Vacant", ROW('Bank Schedule'!$K$2:$K$825)), ROW(136:136))), "")</f>
        <v/>
      </c>
      <c r="Q139" s="11" t="str">
        <f t="array" ref="Q139">IFERROR(INDEX('Bank Schedule'!R:R, SMALL(IF('Bank Schedule'!$K$2:$K$825="Vacant", ROW('Bank Schedule'!$K$2:$K$825)), ROW(136:136))), "")</f>
        <v/>
      </c>
      <c r="R139" s="11" t="str">
        <f t="array" ref="R139">IFERROR(INDEX('Bank Schedule'!S:S, SMALL(IF('Bank Schedule'!$K$2:$K$825="Vacant", ROW('Bank Schedule'!$K$2:$K$825)), ROW(136:136))), "")</f>
        <v/>
      </c>
      <c r="S139" s="11" t="str">
        <f t="array" ref="S139">IFERROR(INDEX('Bank Schedule'!T:T, SMALL(IF('Bank Schedule'!$K$2:$K$825="Vacant", ROW('Bank Schedule'!$K$2:$K$825)), ROW(136:136))), "")</f>
        <v/>
      </c>
      <c r="T139" s="11" t="str">
        <f t="array" ref="T139">IFERROR(INDEX('Bank Schedule'!U:U, SMALL(IF('Bank Schedule'!$K$2:$K$825="Vacant", ROW('Bank Schedule'!$K$2:$K$825)), ROW(136:136))), "")</f>
        <v/>
      </c>
      <c r="U139" s="11" t="str">
        <f t="array" ref="U139">IFERROR(INDEX('Bank Schedule'!V:V, SMALL(IF('Bank Schedule'!$K$2:$K$825="Vacant", ROW('Bank Schedule'!$K$2:$K$825)), ROW(136:136))), "")</f>
        <v/>
      </c>
      <c r="V139" s="11" t="str">
        <f t="array" ref="V139">IFERROR(INDEX('Bank Schedule'!W:W, SMALL(IF('Bank Schedule'!$K$2:$K$825="Vacant", ROW('Bank Schedule'!$K$2:$K$825)), ROW(136:136))), "")</f>
        <v/>
      </c>
      <c r="W139" s="11" t="str">
        <f t="array" ref="W139">IFERROR(INDEX('Bank Schedule'!X:X, SMALL(IF('Bank Schedule'!$K$2:$K$825="Vacant", ROW('Bank Schedule'!$K$2:$K$825)), ROW(136:136))), "")</f>
        <v/>
      </c>
      <c r="X139" s="11" t="str">
        <f t="array" ref="X139">IFERROR(INDEX('Bank Schedule'!Y:Y, SMALL(IF('Bank Schedule'!$K$2:$K$825="Vacant", ROW('Bank Schedule'!$K$2:$K$825)), ROW(136:136))), "")</f>
        <v/>
      </c>
      <c r="Y139" s="11" t="str">
        <f t="array" ref="Y139">IFERROR(INDEX('Bank Schedule'!Z:Z, SMALL(IF('Bank Schedule'!$K$2:$K$825="Vacant", ROW('Bank Schedule'!$K$2:$K$825)), ROW(136:136))), "")</f>
        <v/>
      </c>
      <c r="Z139" s="11" t="str">
        <f t="array" ref="Z139">IFERROR(INDEX('Bank Schedule'!AA:AA, SMALL(IF('Bank Schedule'!$K$2:$K$825="Vacant", ROW('Bank Schedule'!$K$2:$K$825)), ROW(136:136))), "")</f>
        <v/>
      </c>
      <c r="AA139" s="11" t="str">
        <f t="array" ref="AA139">IFERROR(INDEX('Bank Schedule'!AB:AB, SMALL(IF('Bank Schedule'!$K$2:$K$825="Vacant", ROW('Bank Schedule'!$K$2:$K$825)), ROW(136:136))), "")</f>
        <v/>
      </c>
      <c r="AB139" s="11" t="str">
        <f t="array" ref="AB139">IFERROR(INDEX('Bank Schedule'!AC:AC, SMALL(IF('Bank Schedule'!$K$2:$K$825="Vacant", ROW('Bank Schedule'!$K$2:$K$825)), ROW(136:136))), "")</f>
        <v/>
      </c>
      <c r="AC139" s="11" t="str">
        <f t="array" ref="AC139">IFERROR(INDEX('Bank Schedule'!AD:AD, SMALL(IF('Bank Schedule'!$K$2:$K$825="Vacant", ROW('Bank Schedule'!$K$2:$K$825)), ROW(136:136))), "")</f>
        <v/>
      </c>
      <c r="AD139" s="11" t="str">
        <f t="array" ref="AD139">IFERROR(INDEX('Bank Schedule'!AE:AE, SMALL(IF('Bank Schedule'!$K$2:$K$825="Vacant", ROW('Bank Schedule'!$K$2:$K$825)), ROW(136:136))), "")</f>
        <v/>
      </c>
      <c r="AE139" s="11" t="str">
        <f t="array" ref="AE139">IFERROR(INDEX('Bank Schedule'!AF:AF, SMALL(IF('Bank Schedule'!$K$2:$K$825="Vacant", ROW('Bank Schedule'!$K$2:$K$825)), ROW(136:136))), "")</f>
        <v/>
      </c>
      <c r="AF139" s="11" t="str">
        <f t="array" ref="AF139">IFERROR(INDEX('Bank Schedule'!AG:AG, SMALL(IF('Bank Schedule'!$K$2:$K$825="Vacant", ROW('Bank Schedule'!$K$2:$K$825)), ROW(136:136))), "")</f>
        <v/>
      </c>
      <c r="AG139" s="4" t="str">
        <f t="array" ref="AG139">IFERROR(INDEX('Bank Schedule'!AE:AE, SMALL(IF('Bank Schedule'!$K$2:$K$825="Vacant", ROW('Bank Schedule'!$K$2:$K$825)), ROW(136:136))), "")</f>
        <v/>
      </c>
      <c r="AH139" s="2"/>
      <c r="AI139" s="110"/>
    </row>
    <row r="140" spans="1:35" ht="28.5" customHeight="1">
      <c r="A140" s="2" t="str">
        <f t="array" ref="A140">IFERROR(INDEX('Bank Schedule'!A:A, SMALL(IF('Bank Schedule'!$K$2:$K$825="Vacant", ROW('Bank Schedule'!$K$2:$K$825)), ROW(137:137))), "")</f>
        <v/>
      </c>
      <c r="B140" s="11" t="str">
        <f t="array" ref="B140">IFERROR(INDEX('Bank Schedule'!B:B, SMALL(IF('Bank Schedule'!$K$2:$K$825="Vacant", ROW('Bank Schedule'!$K$2:$K$825)), ROW(137:137))), "")</f>
        <v/>
      </c>
      <c r="C140" s="11" t="str">
        <f t="array" ref="C140">IFERROR(INDEX('Bank Schedule'!C:C, SMALL(IF('Bank Schedule'!$K$2:$K$825="Vacant", ROW('Bank Schedule'!$K$2:$K$825)), ROW(137:137))), "")</f>
        <v/>
      </c>
      <c r="D140" s="11" t="str">
        <f t="array" ref="D140">IFERROR(INDEX('Bank Schedule'!D:D, SMALL(IF('Bank Schedule'!$K$2:$K$825="Vacant", ROW('Bank Schedule'!$K$2:$K$825)), ROW(137:137))), "")</f>
        <v/>
      </c>
      <c r="E140" s="11" t="str">
        <f t="array" ref="E140">IFERROR(INDEX('Bank Schedule'!E:E, SMALL(IF('Bank Schedule'!$K$2:$K$825="Vacant", ROW('Bank Schedule'!$K$2:$K$825)), ROW(137:137))), "")</f>
        <v/>
      </c>
      <c r="F140" s="11" t="str">
        <f t="array" ref="F140">IFERROR(INDEX('Bank Schedule'!F:F, SMALL(IF('Bank Schedule'!$K$2:$K$825="Vacant", ROW('Bank Schedule'!$K$2:$K$825)), ROW(137:137))), "")</f>
        <v/>
      </c>
      <c r="G140" s="11" t="str">
        <f t="array" ref="G140">IFERROR(INDEX('Bank Schedule'!G:G, SMALL(IF('Bank Schedule'!$K$2:$K$825="Vacant", ROW('Bank Schedule'!$K$2:$K$825)), ROW(137:137))), "")</f>
        <v/>
      </c>
      <c r="H140" s="11" t="str">
        <f t="array" ref="H140">IFERROR(INDEX('Bank Schedule'!H:H, SMALL(IF('Bank Schedule'!$K$2:$K$825="Vacant", ROW('Bank Schedule'!$K$2:$K$825)), ROW(137:137))), "")</f>
        <v/>
      </c>
      <c r="I140" s="11" t="str">
        <f t="array" ref="I140">IFERROR(INDEX('Bank Schedule'!I:I, SMALL(IF('Bank Schedule'!$K$2:$K$825="Vacant", ROW('Bank Schedule'!$K$2:$K$825)), ROW(137:137))), "")</f>
        <v/>
      </c>
      <c r="J140" s="11" t="str">
        <f t="array" ref="J140">IFERROR(INDEX('Bank Schedule'!K:K, SMALL(IF('Bank Schedule'!$K$2:$K$825="Vacant", ROW('Bank Schedule'!$K$2:$K$825)), ROW(137:137))), "")</f>
        <v/>
      </c>
      <c r="K140" s="11" t="str">
        <f t="array" ref="K140">IFERROR(INDEX('Bank Schedule'!L:L, SMALL(IF('Bank Schedule'!$K$2:$K$825="Vacant", ROW('Bank Schedule'!$K$2:$K$825)), ROW(137:137))), "")</f>
        <v/>
      </c>
      <c r="L140" s="11" t="str">
        <f t="array" ref="L140">IFERROR(INDEX('Bank Schedule'!M:M, SMALL(IF('Bank Schedule'!$K$2:$K$825="Vacant", ROW('Bank Schedule'!$K$2:$K$825)), ROW(137:137))), "")</f>
        <v/>
      </c>
      <c r="M140" s="11" t="str">
        <f t="array" ref="M140">IFERROR(INDEX('Bank Schedule'!N:N, SMALL(IF('Bank Schedule'!$K$2:$K$825="Vacant", ROW('Bank Schedule'!$K$2:$K$825)), ROW(137:137))), "")</f>
        <v/>
      </c>
      <c r="N140" s="11" t="str">
        <f t="array" ref="N140">IFERROR(INDEX('Bank Schedule'!O:O, SMALL(IF('Bank Schedule'!$K$2:$K$825="Vacant", ROW('Bank Schedule'!$K$2:$K$825)), ROW(137:137))), "")</f>
        <v/>
      </c>
      <c r="O140" s="11" t="str">
        <f t="array" ref="O140">IFERROR(INDEX('Bank Schedule'!P:P, SMALL(IF('Bank Schedule'!$K$2:$K$825="Vacant", ROW('Bank Schedule'!$K$2:$K$825)), ROW(137:137))), "")</f>
        <v/>
      </c>
      <c r="P140" s="11" t="str">
        <f t="array" ref="P140">IFERROR(INDEX('Bank Schedule'!Q:Q, SMALL(IF('Bank Schedule'!$K$2:$K$825="Vacant", ROW('Bank Schedule'!$K$2:$K$825)), ROW(137:137))), "")</f>
        <v/>
      </c>
      <c r="Q140" s="11" t="str">
        <f t="array" ref="Q140">IFERROR(INDEX('Bank Schedule'!R:R, SMALL(IF('Bank Schedule'!$K$2:$K$825="Vacant", ROW('Bank Schedule'!$K$2:$K$825)), ROW(137:137))), "")</f>
        <v/>
      </c>
      <c r="R140" s="11" t="str">
        <f t="array" ref="R140">IFERROR(INDEX('Bank Schedule'!S:S, SMALL(IF('Bank Schedule'!$K$2:$K$825="Vacant", ROW('Bank Schedule'!$K$2:$K$825)), ROW(137:137))), "")</f>
        <v/>
      </c>
      <c r="S140" s="11" t="str">
        <f t="array" ref="S140">IFERROR(INDEX('Bank Schedule'!T:T, SMALL(IF('Bank Schedule'!$K$2:$K$825="Vacant", ROW('Bank Schedule'!$K$2:$K$825)), ROW(137:137))), "")</f>
        <v/>
      </c>
      <c r="T140" s="11" t="str">
        <f t="array" ref="T140">IFERROR(INDEX('Bank Schedule'!U:U, SMALL(IF('Bank Schedule'!$K$2:$K$825="Vacant", ROW('Bank Schedule'!$K$2:$K$825)), ROW(137:137))), "")</f>
        <v/>
      </c>
      <c r="U140" s="11" t="str">
        <f t="array" ref="U140">IFERROR(INDEX('Bank Schedule'!V:V, SMALL(IF('Bank Schedule'!$K$2:$K$825="Vacant", ROW('Bank Schedule'!$K$2:$K$825)), ROW(137:137))), "")</f>
        <v/>
      </c>
      <c r="V140" s="11" t="str">
        <f t="array" ref="V140">IFERROR(INDEX('Bank Schedule'!W:W, SMALL(IF('Bank Schedule'!$K$2:$K$825="Vacant", ROW('Bank Schedule'!$K$2:$K$825)), ROW(137:137))), "")</f>
        <v/>
      </c>
      <c r="W140" s="11" t="str">
        <f t="array" ref="W140">IFERROR(INDEX('Bank Schedule'!X:X, SMALL(IF('Bank Schedule'!$K$2:$K$825="Vacant", ROW('Bank Schedule'!$K$2:$K$825)), ROW(137:137))), "")</f>
        <v/>
      </c>
      <c r="X140" s="11" t="str">
        <f t="array" ref="X140">IFERROR(INDEX('Bank Schedule'!Y:Y, SMALL(IF('Bank Schedule'!$K$2:$K$825="Vacant", ROW('Bank Schedule'!$K$2:$K$825)), ROW(137:137))), "")</f>
        <v/>
      </c>
      <c r="Y140" s="11" t="str">
        <f t="array" ref="Y140">IFERROR(INDEX('Bank Schedule'!Z:Z, SMALL(IF('Bank Schedule'!$K$2:$K$825="Vacant", ROW('Bank Schedule'!$K$2:$K$825)), ROW(137:137))), "")</f>
        <v/>
      </c>
      <c r="Z140" s="11" t="str">
        <f t="array" ref="Z140">IFERROR(INDEX('Bank Schedule'!AA:AA, SMALL(IF('Bank Schedule'!$K$2:$K$825="Vacant", ROW('Bank Schedule'!$K$2:$K$825)), ROW(137:137))), "")</f>
        <v/>
      </c>
      <c r="AA140" s="11" t="str">
        <f t="array" ref="AA140">IFERROR(INDEX('Bank Schedule'!AB:AB, SMALL(IF('Bank Schedule'!$K$2:$K$825="Vacant", ROW('Bank Schedule'!$K$2:$K$825)), ROW(137:137))), "")</f>
        <v/>
      </c>
      <c r="AB140" s="11" t="str">
        <f t="array" ref="AB140">IFERROR(INDEX('Bank Schedule'!AC:AC, SMALL(IF('Bank Schedule'!$K$2:$K$825="Vacant", ROW('Bank Schedule'!$K$2:$K$825)), ROW(137:137))), "")</f>
        <v/>
      </c>
      <c r="AC140" s="11" t="str">
        <f t="array" ref="AC140">IFERROR(INDEX('Bank Schedule'!AD:AD, SMALL(IF('Bank Schedule'!$K$2:$K$825="Vacant", ROW('Bank Schedule'!$K$2:$K$825)), ROW(137:137))), "")</f>
        <v/>
      </c>
      <c r="AD140" s="11" t="str">
        <f t="array" ref="AD140">IFERROR(INDEX('Bank Schedule'!AE:AE, SMALL(IF('Bank Schedule'!$K$2:$K$825="Vacant", ROW('Bank Schedule'!$K$2:$K$825)), ROW(137:137))), "")</f>
        <v/>
      </c>
      <c r="AE140" s="11" t="str">
        <f t="array" ref="AE140">IFERROR(INDEX('Bank Schedule'!AF:AF, SMALL(IF('Bank Schedule'!$K$2:$K$825="Vacant", ROW('Bank Schedule'!$K$2:$K$825)), ROW(137:137))), "")</f>
        <v/>
      </c>
      <c r="AF140" s="11" t="str">
        <f t="array" ref="AF140">IFERROR(INDEX('Bank Schedule'!AG:AG, SMALL(IF('Bank Schedule'!$K$2:$K$825="Vacant", ROW('Bank Schedule'!$K$2:$K$825)), ROW(137:137))), "")</f>
        <v/>
      </c>
      <c r="AG140" s="4" t="str">
        <f t="array" ref="AG140">IFERROR(INDEX('Bank Schedule'!AE:AE, SMALL(IF('Bank Schedule'!$K$2:$K$825="Vacant", ROW('Bank Schedule'!$K$2:$K$825)), ROW(137:137))), "")</f>
        <v/>
      </c>
      <c r="AH140" s="2"/>
      <c r="AI140" s="110"/>
    </row>
    <row r="141" spans="1:35" ht="28.5" customHeight="1">
      <c r="A141" s="2" t="str">
        <f t="array" ref="A141">IFERROR(INDEX('Bank Schedule'!A:A, SMALL(IF('Bank Schedule'!$K$2:$K$825="Vacant", ROW('Bank Schedule'!$K$2:$K$825)), ROW(138:138))), "")</f>
        <v/>
      </c>
      <c r="B141" s="11" t="str">
        <f t="array" ref="B141">IFERROR(INDEX('Bank Schedule'!B:B, SMALL(IF('Bank Schedule'!$K$2:$K$825="Vacant", ROW('Bank Schedule'!$K$2:$K$825)), ROW(138:138))), "")</f>
        <v/>
      </c>
      <c r="C141" s="11" t="str">
        <f t="array" ref="C141">IFERROR(INDEX('Bank Schedule'!C:C, SMALL(IF('Bank Schedule'!$K$2:$K$825="Vacant", ROW('Bank Schedule'!$K$2:$K$825)), ROW(138:138))), "")</f>
        <v/>
      </c>
      <c r="D141" s="2" t="str">
        <f t="array" ref="D141">IFERROR(INDEX('Bank Schedule'!D:D, SMALL(IF('Bank Schedule'!$K$2:$K$825="Vacant", ROW('Bank Schedule'!$K$2:$K$825)), ROW(138:138))), "")</f>
        <v/>
      </c>
      <c r="E141" s="4" t="str">
        <f t="array" ref="E141">IFERROR(INDEX('Bank Schedule'!E:E, SMALL(IF('Bank Schedule'!$K$2:$K$825="Vacant", ROW('Bank Schedule'!$K$2:$K$825)), ROW(138:138))), "")</f>
        <v/>
      </c>
      <c r="F141" s="4" t="str">
        <f t="array" ref="F141">IFERROR(INDEX('Bank Schedule'!F:F, SMALL(IF('Bank Schedule'!$K$2:$K$825="Vacant", ROW('Bank Schedule'!$K$2:$K$825)), ROW(138:138))), "")</f>
        <v/>
      </c>
      <c r="G141" s="14" t="str">
        <f t="array" ref="G141">IFERROR(INDEX('Bank Schedule'!G:G, SMALL(IF('Bank Schedule'!$K$2:$K$825="Vacant", ROW('Bank Schedule'!$K$2:$K$825)), ROW(138:138))), "")</f>
        <v/>
      </c>
      <c r="H141" s="23" t="str">
        <f t="array" ref="H141">IFERROR(INDEX('Bank Schedule'!H:H, SMALL(IF('Bank Schedule'!$K$2:$K$825="Vacant", ROW('Bank Schedule'!$K$2:$K$825)), ROW(138:138))), "")</f>
        <v/>
      </c>
      <c r="I141" s="7" t="str">
        <f t="array" ref="I141">IFERROR(INDEX('Bank Schedule'!I:I, SMALL(IF('Bank Schedule'!$K$2:$K$825="Vacant", ROW('Bank Schedule'!$K$2:$K$825)), ROW(138:138))), "")</f>
        <v/>
      </c>
      <c r="J141" s="14" t="str">
        <f t="array" ref="J141">IFERROR(INDEX('Bank Schedule'!K:K, SMALL(IF('Bank Schedule'!$K$2:$K$825="Vacant", ROW('Bank Schedule'!$K$2:$K$825)), ROW(138:138))), "")</f>
        <v/>
      </c>
      <c r="K141" s="25" t="str">
        <f t="array" ref="K141">IFERROR(INDEX('Bank Schedule'!#REF!, SMALL(IF('Bank Schedule'!$K$2:$K$825="Vacant", ROW('Bank Schedule'!$K$2:$K$825)), ROW(138:138))), "")</f>
        <v/>
      </c>
      <c r="L141" s="8" t="str">
        <f t="array" ref="L141">IFERROR(INDEX('Bank Schedule'!L:L, SMALL(IF('Bank Schedule'!$K$2:$K$825="Vacant", ROW('Bank Schedule'!$K$2:$K$825)), ROW(138:138))), "")</f>
        <v/>
      </c>
      <c r="M141" s="9" t="str">
        <f t="array" ref="M141">IFERROR(INDEX('Bank Schedule'!M:M, SMALL(IF('Bank Schedule'!$K$2:$K$825="Vacant", ROW('Bank Schedule'!$K$2:$K$825)), ROW(138:138))), "")</f>
        <v/>
      </c>
      <c r="N141" s="9" t="str">
        <f t="array" ref="N141">IFERROR(INDEX('Bank Schedule'!N:N, SMALL(IF('Bank Schedule'!$K$2:$K$825="Vacant", ROW('Bank Schedule'!$K$2:$K$825)), ROW(138:138))), "")</f>
        <v/>
      </c>
      <c r="O141" s="9" t="str">
        <f t="array" ref="O141">IFERROR(INDEX('Bank Schedule'!O:O, SMALL(IF('Bank Schedule'!$K$2:$K$825="Vacant", ROW('Bank Schedule'!$K$2:$K$825)), ROW(138:138))), "")</f>
        <v/>
      </c>
      <c r="P141" s="9" t="str">
        <f t="array" ref="P141">IFERROR(INDEX('Bank Schedule'!P:P, SMALL(IF('Bank Schedule'!$K$2:$K$825="Vacant", ROW('Bank Schedule'!$K$2:$K$825)), ROW(138:138))), "")</f>
        <v/>
      </c>
      <c r="Q141" s="9" t="str">
        <f t="array" ref="Q141">IFERROR(INDEX('Bank Schedule'!#REF!, SMALL(IF('Bank Schedule'!$K$2:$K$825="Vacant", ROW('Bank Schedule'!$K$2:$K$825)), ROW(138:138))), "")</f>
        <v/>
      </c>
      <c r="R141" s="10" t="str">
        <f t="array" ref="R141">IFERROR(INDEX('Bank Schedule'!Q:Q, SMALL(IF('Bank Schedule'!$K$2:$K$825="Vacant", ROW('Bank Schedule'!$K$2:$K$825)), ROW(138:138))), "")</f>
        <v/>
      </c>
      <c r="S141" s="10" t="str">
        <f t="array" ref="S141">IFERROR(INDEX('Bank Schedule'!R:R, SMALL(IF('Bank Schedule'!$K$2:$K$825="Vacant", ROW('Bank Schedule'!$K$2:$K$825)), ROW(138:138))), "")</f>
        <v/>
      </c>
      <c r="T141" s="10" t="str">
        <f t="array" ref="T141">IFERROR(INDEX('Bank Schedule'!S:S, SMALL(IF('Bank Schedule'!$K$2:$K$825="Vacant", ROW('Bank Schedule'!$K$2:$K$825)), ROW(138:138))), "")</f>
        <v/>
      </c>
      <c r="U141" s="106" t="str">
        <f t="array" ref="U141">IFERROR(INDEX('Bank Schedule'!#REF!, SMALL(IF('Bank Schedule'!$K$2:$K$825="Vacant", ROW('Bank Schedule'!$K$2:$K$825)), ROW(138:138))), "")</f>
        <v/>
      </c>
      <c r="V141" s="10" t="str">
        <f t="array" ref="V141">IFERROR(INDEX('Bank Schedule'!#REF!, SMALL(IF('Bank Schedule'!$K$2:$K$825="Vacant", ROW('Bank Schedule'!$K$2:$K$825)), ROW(138:138))), "")</f>
        <v/>
      </c>
      <c r="W141" s="10" t="str">
        <f t="array" ref="W141">IFERROR(INDEX('Bank Schedule'!#REF!, SMALL(IF('Bank Schedule'!$K$2:$K$825="Vacant", ROW('Bank Schedule'!$K$2:$K$825)), ROW(138:138))), "")</f>
        <v/>
      </c>
      <c r="X141" s="23" t="str">
        <f t="array" ref="X141">IFERROR(INDEX('Bank Schedule'!T:T, SMALL(IF('Bank Schedule'!$K$2:$K$825="Vacant", ROW('Bank Schedule'!$K$2:$K$825)), ROW(138:138))), "")</f>
        <v/>
      </c>
      <c r="Y141" s="10" t="str">
        <f t="array" ref="Y141">IFERROR(INDEX('Bank Schedule'!U:U, SMALL(IF('Bank Schedule'!$K$2:$K$825="Vacant", ROW('Bank Schedule'!$K$2:$K$825)), ROW(138:138))), "")</f>
        <v/>
      </c>
      <c r="Z141" s="229" t="str">
        <f t="array" ref="Z141">IFERROR(INDEX('Bank Schedule'!V:V, SMALL(IF('Bank Schedule'!$K$2:$K$825="Vacant", ROW('Bank Schedule'!$K$2:$K$825)), ROW(138:138))), "")</f>
        <v/>
      </c>
      <c r="AA141" s="10" t="str">
        <f t="array" ref="AA141">IFERROR(INDEX('Bank Schedule'!W:W, SMALL(IF('Bank Schedule'!$K$2:$K$825="Vacant", ROW('Bank Schedule'!$K$2:$K$825)), ROW(138:138))), "")</f>
        <v/>
      </c>
      <c r="AB141" s="10" t="str">
        <f t="array" ref="AB141">IFERROR(INDEX('Bank Schedule'!Y:Y, SMALL(IF('Bank Schedule'!$K$2:$K$825="Vacant", ROW('Bank Schedule'!$K$2:$K$825)), ROW(138:138))), "")</f>
        <v/>
      </c>
      <c r="AC141" s="61" t="str">
        <f t="array" ref="AC141">IFERROR(INDEX('Bank Schedule'!Z:Z, SMALL(IF('Bank Schedule'!$K$2:$K$825="Vacant", ROW('Bank Schedule'!$K$2:$K$825)), ROW(138:138))), "")</f>
        <v/>
      </c>
      <c r="AD141" s="228" t="str">
        <f t="array" ref="AD141">IFERROR(INDEX('Bank Schedule'!AA:AA, SMALL(IF('Bank Schedule'!$K$2:$K$825="Vacant", ROW('Bank Schedule'!$K$2:$K$825)), ROW(138:138))), "")</f>
        <v/>
      </c>
      <c r="AE141" s="14" t="str">
        <f t="array" ref="AE141">IFERROR(INDEX('Bank Schedule'!AB:AB, SMALL(IF('Bank Schedule'!$K$2:$K$825="Vacant", ROW('Bank Schedule'!$K$2:$K$825)), ROW(138:138))), "")</f>
        <v/>
      </c>
      <c r="AF141" s="4" t="str">
        <f t="array" ref="AF141">IFERROR(INDEX('Bank Schedule'!AC:AC, SMALL(IF('Bank Schedule'!$K$2:$K$825="Vacant", ROW('Bank Schedule'!$K$2:$K$825)), ROW(138:138))), "")</f>
        <v/>
      </c>
      <c r="AG141" s="4" t="str">
        <f t="array" ref="AG141">IFERROR(INDEX('Bank Schedule'!AE:AE, SMALL(IF('Bank Schedule'!$K$2:$K$825="Vacant", ROW('Bank Schedule'!$K$2:$K$825)), ROW(138:138))), "")</f>
        <v/>
      </c>
      <c r="AH141" s="2"/>
      <c r="AI141" s="110"/>
    </row>
    <row r="142" spans="1:35" ht="28.5" customHeight="1">
      <c r="A142" s="2" t="str">
        <f t="array" ref="A142">IFERROR(INDEX('Bank Schedule'!A:A, SMALL(IF('Bank Schedule'!$K$2:$K$825="Vacant", ROW('Bank Schedule'!$K$2:$K$825)), ROW(139:139))), "")</f>
        <v/>
      </c>
      <c r="B142" s="11" t="str">
        <f t="array" ref="B142">IFERROR(INDEX('Bank Schedule'!B:B, SMALL(IF('Bank Schedule'!$K$2:$K$825="Vacant", ROW('Bank Schedule'!$K$2:$K$825)), ROW(139:139))), "")</f>
        <v/>
      </c>
      <c r="C142" s="11" t="str">
        <f t="array" ref="C142">IFERROR(INDEX('Bank Schedule'!C:C, SMALL(IF('Bank Schedule'!$K$2:$K$825="Vacant", ROW('Bank Schedule'!$K$2:$K$825)), ROW(139:139))), "")</f>
        <v/>
      </c>
      <c r="D142" s="2" t="str">
        <f t="array" ref="D142">IFERROR(INDEX('Bank Schedule'!D:D, SMALL(IF('Bank Schedule'!$K$2:$K$825="Vacant", ROW('Bank Schedule'!$K$2:$K$825)), ROW(139:139))), "")</f>
        <v/>
      </c>
      <c r="E142" s="4" t="str">
        <f t="array" ref="E142">IFERROR(INDEX('Bank Schedule'!E:E, SMALL(IF('Bank Schedule'!$K$2:$K$825="Vacant", ROW('Bank Schedule'!$K$2:$K$825)), ROW(139:139))), "")</f>
        <v/>
      </c>
      <c r="F142" s="4" t="str">
        <f t="array" ref="F142">IFERROR(INDEX('Bank Schedule'!F:F, SMALL(IF('Bank Schedule'!$K$2:$K$825="Vacant", ROW('Bank Schedule'!$K$2:$K$825)), ROW(139:139))), "")</f>
        <v/>
      </c>
      <c r="G142" s="14" t="str">
        <f t="array" ref="G142">IFERROR(INDEX('Bank Schedule'!G:G, SMALL(IF('Bank Schedule'!$K$2:$K$825="Vacant", ROW('Bank Schedule'!$K$2:$K$825)), ROW(139:139))), "")</f>
        <v/>
      </c>
      <c r="H142" s="23" t="str">
        <f t="array" ref="H142">IFERROR(INDEX('Bank Schedule'!H:H, SMALL(IF('Bank Schedule'!$K$2:$K$825="Vacant", ROW('Bank Schedule'!$K$2:$K$825)), ROW(139:139))), "")</f>
        <v/>
      </c>
      <c r="I142" s="7" t="str">
        <f t="array" ref="I142">IFERROR(INDEX('Bank Schedule'!I:I, SMALL(IF('Bank Schedule'!$K$2:$K$825="Vacant", ROW('Bank Schedule'!$K$2:$K$825)), ROW(139:139))), "")</f>
        <v/>
      </c>
      <c r="J142" s="14" t="str">
        <f t="array" ref="J142">IFERROR(INDEX('Bank Schedule'!K:K, SMALL(IF('Bank Schedule'!$K$2:$K$825="Vacant", ROW('Bank Schedule'!$K$2:$K$825)), ROW(139:139))), "")</f>
        <v/>
      </c>
      <c r="K142" s="25" t="str">
        <f t="array" ref="K142">IFERROR(INDEX('Bank Schedule'!#REF!, SMALL(IF('Bank Schedule'!$K$2:$K$825="Vacant", ROW('Bank Schedule'!$K$2:$K$825)), ROW(139:139))), "")</f>
        <v/>
      </c>
      <c r="L142" s="8" t="str">
        <f t="array" ref="L142">IFERROR(INDEX('Bank Schedule'!L:L, SMALL(IF('Bank Schedule'!$K$2:$K$825="Vacant", ROW('Bank Schedule'!$K$2:$K$825)), ROW(139:139))), "")</f>
        <v/>
      </c>
      <c r="M142" s="9" t="str">
        <f t="array" ref="M142">IFERROR(INDEX('Bank Schedule'!M:M, SMALL(IF('Bank Schedule'!$K$2:$K$825="Vacant", ROW('Bank Schedule'!$K$2:$K$825)), ROW(139:139))), "")</f>
        <v/>
      </c>
      <c r="N142" s="9" t="str">
        <f t="array" ref="N142">IFERROR(INDEX('Bank Schedule'!N:N, SMALL(IF('Bank Schedule'!$K$2:$K$825="Vacant", ROW('Bank Schedule'!$K$2:$K$825)), ROW(139:139))), "")</f>
        <v/>
      </c>
      <c r="O142" s="9" t="str">
        <f t="array" ref="O142">IFERROR(INDEX('Bank Schedule'!O:O, SMALL(IF('Bank Schedule'!$K$2:$K$825="Vacant", ROW('Bank Schedule'!$K$2:$K$825)), ROW(139:139))), "")</f>
        <v/>
      </c>
      <c r="P142" s="9" t="str">
        <f t="array" ref="P142">IFERROR(INDEX('Bank Schedule'!P:P, SMALL(IF('Bank Schedule'!$K$2:$K$825="Vacant", ROW('Bank Schedule'!$K$2:$K$825)), ROW(139:139))), "")</f>
        <v/>
      </c>
      <c r="Q142" s="9" t="str">
        <f t="array" ref="Q142">IFERROR(INDEX('Bank Schedule'!#REF!, SMALL(IF('Bank Schedule'!$K$2:$K$825="Vacant", ROW('Bank Schedule'!$K$2:$K$825)), ROW(139:139))), "")</f>
        <v/>
      </c>
      <c r="R142" s="10" t="str">
        <f t="array" ref="R142">IFERROR(INDEX('Bank Schedule'!Q:Q, SMALL(IF('Bank Schedule'!$K$2:$K$825="Vacant", ROW('Bank Schedule'!$K$2:$K$825)), ROW(139:139))), "")</f>
        <v/>
      </c>
      <c r="S142" s="10" t="str">
        <f t="array" ref="S142">IFERROR(INDEX('Bank Schedule'!R:R, SMALL(IF('Bank Schedule'!$K$2:$K$825="Vacant", ROW('Bank Schedule'!$K$2:$K$825)), ROW(139:139))), "")</f>
        <v/>
      </c>
      <c r="T142" s="10" t="str">
        <f t="array" ref="T142">IFERROR(INDEX('Bank Schedule'!S:S, SMALL(IF('Bank Schedule'!$K$2:$K$825="Vacant", ROW('Bank Schedule'!$K$2:$K$825)), ROW(139:139))), "")</f>
        <v/>
      </c>
      <c r="U142" s="106" t="str">
        <f t="array" ref="U142">IFERROR(INDEX('Bank Schedule'!#REF!, SMALL(IF('Bank Schedule'!$K$2:$K$825="Vacant", ROW('Bank Schedule'!$K$2:$K$825)), ROW(139:139))), "")</f>
        <v/>
      </c>
      <c r="V142" s="10" t="str">
        <f t="array" ref="V142">IFERROR(INDEX('Bank Schedule'!#REF!, SMALL(IF('Bank Schedule'!$K$2:$K$825="Vacant", ROW('Bank Schedule'!$K$2:$K$825)), ROW(139:139))), "")</f>
        <v/>
      </c>
      <c r="W142" s="10" t="str">
        <f t="array" ref="W142">IFERROR(INDEX('Bank Schedule'!#REF!, SMALL(IF('Bank Schedule'!$K$2:$K$825="Vacant", ROW('Bank Schedule'!$K$2:$K$825)), ROW(139:139))), "")</f>
        <v/>
      </c>
      <c r="X142" s="23" t="str">
        <f t="array" ref="X142">IFERROR(INDEX('Bank Schedule'!T:T, SMALL(IF('Bank Schedule'!$K$2:$K$825="Vacant", ROW('Bank Schedule'!$K$2:$K$825)), ROW(139:139))), "")</f>
        <v/>
      </c>
      <c r="Y142" s="10" t="str">
        <f t="array" ref="Y142">IFERROR(INDEX('Bank Schedule'!U:U, SMALL(IF('Bank Schedule'!$K$2:$K$825="Vacant", ROW('Bank Schedule'!$K$2:$K$825)), ROW(139:139))), "")</f>
        <v/>
      </c>
      <c r="Z142" s="229" t="str">
        <f t="array" ref="Z142">IFERROR(INDEX('Bank Schedule'!V:V, SMALL(IF('Bank Schedule'!$K$2:$K$825="Vacant", ROW('Bank Schedule'!$K$2:$K$825)), ROW(139:139))), "")</f>
        <v/>
      </c>
      <c r="AA142" s="10" t="str">
        <f t="array" ref="AA142">IFERROR(INDEX('Bank Schedule'!W:W, SMALL(IF('Bank Schedule'!$K$2:$K$825="Vacant", ROW('Bank Schedule'!$K$2:$K$825)), ROW(139:139))), "")</f>
        <v/>
      </c>
      <c r="AB142" s="10" t="str">
        <f t="array" ref="AB142">IFERROR(INDEX('Bank Schedule'!Y:Y, SMALL(IF('Bank Schedule'!$K$2:$K$825="Vacant", ROW('Bank Schedule'!$K$2:$K$825)), ROW(139:139))), "")</f>
        <v/>
      </c>
      <c r="AC142" s="61" t="str">
        <f t="array" ref="AC142">IFERROR(INDEX('Bank Schedule'!Z:Z, SMALL(IF('Bank Schedule'!$K$2:$K$825="Vacant", ROW('Bank Schedule'!$K$2:$K$825)), ROW(139:139))), "")</f>
        <v/>
      </c>
      <c r="AD142" s="228" t="str">
        <f t="array" ref="AD142">IFERROR(INDEX('Bank Schedule'!AA:AA, SMALL(IF('Bank Schedule'!$K$2:$K$825="Vacant", ROW('Bank Schedule'!$K$2:$K$825)), ROW(139:139))), "")</f>
        <v/>
      </c>
      <c r="AE142" s="14" t="str">
        <f t="array" ref="AE142">IFERROR(INDEX('Bank Schedule'!AB:AB, SMALL(IF('Bank Schedule'!$K$2:$K$825="Vacant", ROW('Bank Schedule'!$K$2:$K$825)), ROW(139:139))), "")</f>
        <v/>
      </c>
      <c r="AF142" s="4" t="str">
        <f t="array" ref="AF142">IFERROR(INDEX('Bank Schedule'!AC:AC, SMALL(IF('Bank Schedule'!$K$2:$K$825="Vacant", ROW('Bank Schedule'!$K$2:$K$825)), ROW(139:139))), "")</f>
        <v/>
      </c>
      <c r="AG142" s="4" t="str">
        <f t="array" ref="AG142">IFERROR(INDEX('Bank Schedule'!AE:AE, SMALL(IF('Bank Schedule'!$K$2:$K$825="Vacant", ROW('Bank Schedule'!$K$2:$K$825)), ROW(139:139))), "")</f>
        <v/>
      </c>
      <c r="AH142" s="2"/>
      <c r="AI142" s="110"/>
    </row>
    <row r="143" spans="1:35" ht="23.25" customHeight="1" thickBot="1">
      <c r="A143" s="2" t="str">
        <f t="array" ref="A143">IFERROR(INDEX('Bank Schedule'!A:A, SMALL(IF('Bank Schedule'!$K$2:$K$825="Vacant", ROW('Bank Schedule'!$K$2:$K$825)), ROW(140:140))), "")</f>
        <v/>
      </c>
      <c r="B143" s="11" t="str">
        <f t="array" ref="B143">IFERROR(INDEX('Bank Schedule'!B:B, SMALL(IF('Bank Schedule'!$K$2:$K$825="Vacant", ROW('Bank Schedule'!$K$2:$K$825)), ROW(140:140))), "")</f>
        <v/>
      </c>
      <c r="C143" s="11" t="str">
        <f t="array" ref="C143">IFERROR(INDEX('Bank Schedule'!C:C, SMALL(IF('Bank Schedule'!$K$2:$K$825="Vacant", ROW('Bank Schedule'!$K$2:$K$825)), ROW(140:140))), "")</f>
        <v/>
      </c>
      <c r="D143" s="11" t="str">
        <f t="array" ref="D143">IFERROR(INDEX('Bank Schedule'!D:D, SMALL(IF('Bank Schedule'!$K$2:$K$825="Vacant", ROW('Bank Schedule'!$K$2:$K$825)), ROW(140:140))), "")</f>
        <v/>
      </c>
      <c r="E143" s="11" t="str">
        <f t="array" ref="E143">IFERROR(INDEX('Bank Schedule'!E:E, SMALL(IF('Bank Schedule'!$K$2:$K$825="Vacant", ROW('Bank Schedule'!$K$2:$K$825)), ROW(140:140))), "")</f>
        <v/>
      </c>
      <c r="F143" s="11" t="str">
        <f t="array" ref="F143">IFERROR(INDEX('Bank Schedule'!F:F, SMALL(IF('Bank Schedule'!$K$2:$K$825="Vacant", ROW('Bank Schedule'!$K$2:$K$825)), ROW(140:140))), "")</f>
        <v/>
      </c>
      <c r="G143" s="11" t="str">
        <f t="array" ref="G143">IFERROR(INDEX('Bank Schedule'!G:G, SMALL(IF('Bank Schedule'!$K$2:$K$825="Vacant", ROW('Bank Schedule'!$K$2:$K$825)), ROW(140:140))), "")</f>
        <v/>
      </c>
      <c r="H143" s="11" t="str">
        <f t="array" ref="H143">IFERROR(INDEX('Bank Schedule'!H:H, SMALL(IF('Bank Schedule'!$K$2:$K$825="Vacant", ROW('Bank Schedule'!$K$2:$K$825)), ROW(140:140))), "")</f>
        <v/>
      </c>
      <c r="I143" s="11" t="str">
        <f t="array" ref="I143">IFERROR(INDEX('Bank Schedule'!I:I, SMALL(IF('Bank Schedule'!$K$2:$K$825="Vacant", ROW('Bank Schedule'!$K$2:$K$825)), ROW(140:140))), "")</f>
        <v/>
      </c>
      <c r="J143" s="11" t="str">
        <f t="array" ref="J143">IFERROR(INDEX('Bank Schedule'!K:K, SMALL(IF('Bank Schedule'!$K$2:$K$825="Vacant", ROW('Bank Schedule'!$K$2:$K$825)), ROW(140:140))), "")</f>
        <v/>
      </c>
      <c r="K143" s="11" t="str">
        <f t="array" ref="K143">IFERROR(INDEX('Bank Schedule'!#REF!, SMALL(IF('Bank Schedule'!$K$2:$K$825="Vacant", ROW('Bank Schedule'!$K$2:$K$825)), ROW(140:140))), "")</f>
        <v/>
      </c>
      <c r="L143" s="11" t="str">
        <f t="array" ref="L143">IFERROR(INDEX('Bank Schedule'!L:L, SMALL(IF('Bank Schedule'!$K$2:$K$825="Vacant", ROW('Bank Schedule'!$K$2:$K$825)), ROW(140:140))), "")</f>
        <v/>
      </c>
      <c r="M143" s="11" t="str">
        <f t="array" ref="M143">IFERROR(INDEX('Bank Schedule'!M:M, SMALL(IF('Bank Schedule'!$K$2:$K$825="Vacant", ROW('Bank Schedule'!$K$2:$K$825)), ROW(140:140))), "")</f>
        <v/>
      </c>
      <c r="N143" s="11" t="str">
        <f t="array" ref="N143">IFERROR(INDEX('Bank Schedule'!N:N, SMALL(IF('Bank Schedule'!$K$2:$K$825="Vacant", ROW('Bank Schedule'!$K$2:$K$825)), ROW(140:140))), "")</f>
        <v/>
      </c>
      <c r="O143" s="11" t="str">
        <f t="array" ref="O143">IFERROR(INDEX('Bank Schedule'!O:O, SMALL(IF('Bank Schedule'!$K$2:$K$825="Vacant", ROW('Bank Schedule'!$K$2:$K$825)), ROW(140:140))), "")</f>
        <v/>
      </c>
      <c r="P143" s="11" t="str">
        <f t="array" ref="P143">IFERROR(INDEX('Bank Schedule'!P:P, SMALL(IF('Bank Schedule'!$K$2:$K$825="Vacant", ROW('Bank Schedule'!$K$2:$K$825)), ROW(140:140))), "")</f>
        <v/>
      </c>
      <c r="Q143" s="11" t="str">
        <f t="array" ref="Q143">IFERROR(INDEX('Bank Schedule'!#REF!, SMALL(IF('Bank Schedule'!$K$2:$K$825="Vacant", ROW('Bank Schedule'!$K$2:$K$825)), ROW(140:140))), "")</f>
        <v/>
      </c>
      <c r="R143" s="11" t="str">
        <f t="array" ref="R143">IFERROR(INDEX('Bank Schedule'!Q:Q, SMALL(IF('Bank Schedule'!$K$2:$K$825="Vacant", ROW('Bank Schedule'!$K$2:$K$825)), ROW(140:140))), "")</f>
        <v/>
      </c>
      <c r="S143" s="11" t="str">
        <f t="array" ref="S143">IFERROR(INDEX('Bank Schedule'!R:R, SMALL(IF('Bank Schedule'!$K$2:$K$825="Vacant", ROW('Bank Schedule'!$K$2:$K$825)), ROW(140:140))), "")</f>
        <v/>
      </c>
      <c r="T143" s="11" t="str">
        <f t="array" ref="T143">IFERROR(INDEX('Bank Schedule'!S:S, SMALL(IF('Bank Schedule'!$K$2:$K$825="Vacant", ROW('Bank Schedule'!$K$2:$K$825)), ROW(140:140))), "")</f>
        <v/>
      </c>
      <c r="U143" s="11" t="str">
        <f t="array" ref="U143">IFERROR(INDEX('Bank Schedule'!#REF!, SMALL(IF('Bank Schedule'!$K$2:$K$825="Vacant", ROW('Bank Schedule'!$K$2:$K$825)), ROW(140:140))), "")</f>
        <v/>
      </c>
      <c r="V143" s="11" t="str">
        <f t="array" ref="V143">IFERROR(INDEX('Bank Schedule'!#REF!, SMALL(IF('Bank Schedule'!$K$2:$K$825="Vacant", ROW('Bank Schedule'!$K$2:$K$825)), ROW(140:140))), "")</f>
        <v/>
      </c>
      <c r="W143" s="11" t="str">
        <f t="array" ref="W143">IFERROR(INDEX('Bank Schedule'!#REF!, SMALL(IF('Bank Schedule'!$K$2:$K$825="Vacant", ROW('Bank Schedule'!$K$2:$K$825)), ROW(140:140))), "")</f>
        <v/>
      </c>
      <c r="X143" s="11" t="str">
        <f t="array" ref="X143">IFERROR(INDEX('Bank Schedule'!T:T, SMALL(IF('Bank Schedule'!$K$2:$K$825="Vacant", ROW('Bank Schedule'!$K$2:$K$825)), ROW(140:140))), "")</f>
        <v/>
      </c>
      <c r="Y143" s="11" t="str">
        <f t="array" ref="Y143">IFERROR(INDEX('Bank Schedule'!U:U, SMALL(IF('Bank Schedule'!$K$2:$K$825="Vacant", ROW('Bank Schedule'!$K$2:$K$825)), ROW(140:140))), "")</f>
        <v/>
      </c>
      <c r="Z143" s="11" t="str">
        <f t="array" ref="Z143">IFERROR(INDEX('Bank Schedule'!V:V, SMALL(IF('Bank Schedule'!$K$2:$K$825="Vacant", ROW('Bank Schedule'!$K$2:$K$825)), ROW(140:140))), "")</f>
        <v/>
      </c>
      <c r="AA143" s="11" t="str">
        <f t="array" ref="AA143">IFERROR(INDEX('Bank Schedule'!W:W, SMALL(IF('Bank Schedule'!$K$2:$K$825="Vacant", ROW('Bank Schedule'!$K$2:$K$825)), ROW(140:140))), "")</f>
        <v/>
      </c>
      <c r="AB143" s="11" t="str">
        <f t="array" ref="AB143">IFERROR(INDEX('Bank Schedule'!Y:Y, SMALL(IF('Bank Schedule'!$K$2:$K$825="Vacant", ROW('Bank Schedule'!$K$2:$K$825)), ROW(140:140))), "")</f>
        <v/>
      </c>
      <c r="AC143" s="11"/>
      <c r="AD143" s="264"/>
      <c r="AE143" s="264"/>
      <c r="AF143" s="11" t="str">
        <f t="array" ref="AF143">IFERROR(INDEX('Bank Schedule'!AC:AC, SMALL(IF('Bank Schedule'!$K$2:$K$825="Vacant", ROW('Bank Schedule'!$K$2:$K$825)), ROW(140:140))), "")</f>
        <v/>
      </c>
      <c r="AG143" s="11" t="str">
        <f t="array" ref="AG143">IFERROR(INDEX('Bank Schedule'!AE:AE, SMALL(IF('Bank Schedule'!$K$2:$K$825="Vacant", ROW('Bank Schedule'!$K$2:$K$825)), ROW(140:140))), "")</f>
        <v/>
      </c>
    </row>
    <row r="144" spans="1:35" ht="23.25" customHeight="1" thickBot="1">
      <c r="A144" s="2" t="str">
        <f t="array" ref="A144">IFERROR(INDEX('Bank Schedule'!A:A, SMALL(IF('Bank Schedule'!$K$2:$K$825="Vacant", ROW('Bank Schedule'!$K$2:$K$825)), ROW(141:141))), "")</f>
        <v/>
      </c>
      <c r="B144" s="11" t="str">
        <f t="array" ref="B144">IFERROR(INDEX('Bank Schedule'!B:B, SMALL(IF('Bank Schedule'!$K$2:$K$825="Vacant", ROW('Bank Schedule'!$K$2:$K$825)), ROW(141:141))), "")</f>
        <v/>
      </c>
      <c r="C144" s="11" t="str">
        <f t="array" ref="C144">IFERROR(INDEX('Bank Schedule'!C:C, SMALL(IF('Bank Schedule'!$K$2:$K$825="Vacant", ROW('Bank Schedule'!$K$2:$K$825)), ROW(141:141))), "")</f>
        <v/>
      </c>
      <c r="D144" s="11" t="str">
        <f t="array" ref="D144">IFERROR(INDEX('Bank Schedule'!D:D, SMALL(IF('Bank Schedule'!$K$2:$K$825="Vacant", ROW('Bank Schedule'!$K$2:$K$825)), ROW(141:141))), "")</f>
        <v/>
      </c>
      <c r="E144" s="11"/>
      <c r="F144" s="11"/>
      <c r="G144" s="11"/>
      <c r="H144" s="265">
        <f>SUM(H4:H142)</f>
        <v>0</v>
      </c>
      <c r="I144" s="266"/>
      <c r="J144" s="267" t="s">
        <v>876</v>
      </c>
      <c r="K144" s="268">
        <v>0</v>
      </c>
      <c r="L144" s="268">
        <v>0</v>
      </c>
      <c r="M144" s="269"/>
      <c r="N144" s="270"/>
      <c r="O144" s="268"/>
      <c r="P144" s="268"/>
      <c r="Q144" s="268"/>
      <c r="R144" s="268"/>
      <c r="S144" s="271"/>
      <c r="T144" s="271"/>
      <c r="U144" s="272"/>
      <c r="V144" s="268"/>
      <c r="W144" s="268"/>
      <c r="X144" s="267" t="s">
        <v>877</v>
      </c>
      <c r="Y144" s="267"/>
      <c r="Z144" s="273">
        <f>SUM(X4:X144)</f>
        <v>0</v>
      </c>
      <c r="AA144" s="11"/>
      <c r="AB144" s="273">
        <f>SUM(S3:S143)</f>
        <v>0</v>
      </c>
      <c r="AD144" s="274">
        <f>SUM(AD4:AD143)</f>
        <v>0</v>
      </c>
      <c r="AE144" s="274">
        <f>SUM(AE4:AE143)</f>
        <v>0</v>
      </c>
      <c r="AG144" s="11"/>
    </row>
    <row r="145" spans="1:36" ht="23.25" customHeight="1">
      <c r="A145" s="2" t="str">
        <f t="array" ref="A145">IFERROR(INDEX('Bank Schedule'!A:A, SMALL(IF('Bank Schedule'!$K$2:$K$825="Vacant", ROW('Bank Schedule'!$K$2:$K$825)), ROW(142:142))), "")</f>
        <v/>
      </c>
      <c r="B145" s="11" t="str">
        <f t="array" ref="B145">IFERROR(INDEX('Bank Schedule'!B:B, SMALL(IF('Bank Schedule'!$K$2:$K$825="Vacant", ROW('Bank Schedule'!$K$2:$K$825)), ROW(142:142))), "")</f>
        <v/>
      </c>
      <c r="C145" s="11" t="str">
        <f t="array" ref="C145">IFERROR(INDEX('Bank Schedule'!C:C, SMALL(IF('Bank Schedule'!$K$2:$K$825="Vacant", ROW('Bank Schedule'!$K$2:$K$825)), ROW(142:142))), "")</f>
        <v/>
      </c>
      <c r="D145" s="11" t="str">
        <f t="array" ref="D145">IFERROR(INDEX('Bank Schedule'!D:D, SMALL(IF('Bank Schedule'!$K$2:$K$825="Vacant", ROW('Bank Schedule'!$K$2:$K$825)), ROW(142:142))), "")</f>
        <v/>
      </c>
      <c r="E145" s="11"/>
      <c r="F145" s="11"/>
      <c r="G145" s="11"/>
      <c r="AC145" s="11"/>
      <c r="AD145" s="11"/>
      <c r="AE145" s="11"/>
    </row>
    <row r="146" spans="1:36" ht="23.25" customHeight="1">
      <c r="A146" s="2" t="str">
        <f t="array" ref="A146">IFERROR(INDEX('Bank Schedule'!A:A, SMALL(IF('Bank Schedule'!$K$2:$K$825="Vacant", ROW('Bank Schedule'!$K$2:$K$825)), ROW(143:143))), "")</f>
        <v/>
      </c>
      <c r="B146" s="11" t="str">
        <f t="array" ref="B146">IFERROR(INDEX('Bank Schedule'!B:B, SMALL(IF('Bank Schedule'!$K$2:$K$825="Vacant", ROW('Bank Schedule'!$K$2:$K$825)), ROW(143:143))), "")</f>
        <v/>
      </c>
      <c r="C146" s="11" t="str">
        <f t="array" ref="C146">IFERROR(INDEX('Bank Schedule'!C:C, SMALL(IF('Bank Schedule'!$K$2:$K$825="Vacant", ROW('Bank Schedule'!$K$2:$K$825)), ROW(143:143))), "")</f>
        <v/>
      </c>
      <c r="D146" s="11" t="str">
        <f t="array" ref="D146">IFERROR(INDEX('Bank Schedule'!D:D, SMALL(IF('Bank Schedule'!$K$2:$K$825="Vacant", ROW('Bank Schedule'!$K$2:$K$825)), ROW(143:143))), "")</f>
        <v/>
      </c>
      <c r="E146" s="11"/>
      <c r="F146" s="11"/>
      <c r="G146" s="11"/>
      <c r="H146" s="11"/>
      <c r="I146" s="11"/>
      <c r="K146">
        <v>0</v>
      </c>
      <c r="L146">
        <v>0</v>
      </c>
      <c r="M146" s="275">
        <v>43840</v>
      </c>
      <c r="S146" s="276"/>
      <c r="T146" s="276"/>
      <c r="U146" s="277"/>
      <c r="AA146" s="11"/>
      <c r="AB146" s="11"/>
      <c r="AC146" s="11"/>
      <c r="AD146" s="11"/>
      <c r="AE146" s="11"/>
      <c r="AF146" s="278" t="s">
        <v>878</v>
      </c>
      <c r="AG146" s="279"/>
      <c r="AH146" s="264"/>
      <c r="AI146" s="264"/>
    </row>
    <row r="147" spans="1:36" ht="23.25" customHeight="1">
      <c r="A147" s="2" t="str">
        <f t="array" ref="A147">IFERROR(INDEX('Bank Schedule'!A:A, SMALL(IF('Bank Schedule'!$K$2:$K$825="Vacant", ROW('Bank Schedule'!$K$2:$K$825)), ROW(144:144))), "")</f>
        <v/>
      </c>
      <c r="B147" s="11" t="str">
        <f t="array" ref="B147">IFERROR(INDEX('Bank Schedule'!B:B, SMALL(IF('Bank Schedule'!$K$2:$K$825="Vacant", ROW('Bank Schedule'!$K$2:$K$825)), ROW(144:144))), "")</f>
        <v/>
      </c>
      <c r="C147" s="11" t="str">
        <f t="array" ref="C147">IFERROR(INDEX('Bank Schedule'!C:C, SMALL(IF('Bank Schedule'!$K$2:$K$825="Vacant", ROW('Bank Schedule'!$K$2:$K$825)), ROW(144:144))), "")</f>
        <v/>
      </c>
      <c r="D147" s="2" t="str">
        <f t="array" ref="D147">IFERROR(INDEX('Bank Schedule'!D:D, SMALL(IF('Bank Schedule'!$K$2:$K$825="Vacant", ROW('Bank Schedule'!$K$2:$K$825)), ROW(144:144))), "")</f>
        <v/>
      </c>
      <c r="E147" s="4"/>
      <c r="F147" s="4"/>
      <c r="G147" s="14"/>
      <c r="H147" s="7"/>
      <c r="I147" s="7"/>
      <c r="K147">
        <v>0</v>
      </c>
      <c r="L147">
        <v>0</v>
      </c>
      <c r="M147" s="275">
        <v>45143</v>
      </c>
      <c r="S147" s="276"/>
      <c r="T147" s="276"/>
      <c r="U147" s="277"/>
      <c r="AA147" s="55"/>
      <c r="AB147" s="55"/>
      <c r="AC147" s="14"/>
      <c r="AD147" s="4"/>
      <c r="AF147" s="280">
        <f>COUNTIF(AB$3:AB$141, AG147)</f>
        <v>0</v>
      </c>
      <c r="AG147" s="281">
        <v>0</v>
      </c>
      <c r="AH147" s="297" t="s">
        <v>879</v>
      </c>
      <c r="AI147" s="264"/>
    </row>
    <row r="148" spans="1:36" ht="23.25" customHeight="1">
      <c r="A148" s="2" t="str">
        <f t="array" ref="A148">IFERROR(INDEX('Bank Schedule'!A:A, SMALL(IF('Bank Schedule'!$K$2:$K$825="Vacant", ROW('Bank Schedule'!$K$2:$K$825)), ROW(145:145))), "")</f>
        <v/>
      </c>
      <c r="B148" s="11" t="str">
        <f t="array" ref="B148">IFERROR(INDEX('Bank Schedule'!B:B, SMALL(IF('Bank Schedule'!$K$2:$K$825="Vacant", ROW('Bank Schedule'!$K$2:$K$825)), ROW(145:145))), "")</f>
        <v/>
      </c>
      <c r="C148" s="11" t="str">
        <f t="array" ref="C148">IFERROR(INDEX('Bank Schedule'!C:C, SMALL(IF('Bank Schedule'!$K$2:$K$825="Vacant", ROW('Bank Schedule'!$K$2:$K$825)), ROW(145:145))), "")</f>
        <v/>
      </c>
      <c r="D148" s="2" t="str">
        <f t="array" ref="D148">IFERROR(INDEX('Bank Schedule'!D:D, SMALL(IF('Bank Schedule'!$K$2:$K$825="Vacant", ROW('Bank Schedule'!$K$2:$K$825)), ROW(145:145))), "")</f>
        <v/>
      </c>
      <c r="E148" s="4"/>
      <c r="F148" s="4"/>
      <c r="G148" s="14"/>
      <c r="H148" s="7"/>
      <c r="I148" s="7"/>
      <c r="K148">
        <v>0</v>
      </c>
      <c r="L148">
        <v>0</v>
      </c>
      <c r="M148" s="275">
        <v>44577</v>
      </c>
      <c r="S148" s="276"/>
      <c r="T148" s="276"/>
      <c r="U148" s="277"/>
      <c r="AA148" s="55"/>
      <c r="AB148" s="55"/>
      <c r="AC148" s="14"/>
      <c r="AD148" s="4"/>
      <c r="AF148" s="282">
        <f>COUNTIF(AB$3:AB$142, AG148)</f>
        <v>0</v>
      </c>
      <c r="AG148" s="283" t="s">
        <v>698</v>
      </c>
      <c r="AH148" s="264"/>
      <c r="AI148" s="264"/>
    </row>
    <row r="149" spans="1:36" ht="23.25" customHeight="1">
      <c r="A149" s="2" t="str">
        <f t="array" ref="A149">IFERROR(INDEX('Bank Schedule'!A:A, SMALL(IF('Bank Schedule'!$K$2:$K$825="Vacant", ROW('Bank Schedule'!$K$2:$K$825)), ROW(146:146))), "")</f>
        <v/>
      </c>
      <c r="B149" s="11" t="str">
        <f t="array" ref="B149">IFERROR(INDEX('Bank Schedule'!B:B, SMALL(IF('Bank Schedule'!$K$2:$K$825="Vacant", ROW('Bank Schedule'!$K$2:$K$825)), ROW(146:146))), "")</f>
        <v/>
      </c>
      <c r="C149" s="11" t="str">
        <f t="array" ref="C149">IFERROR(INDEX('Bank Schedule'!C:C, SMALL(IF('Bank Schedule'!$K$2:$K$825="Vacant", ROW('Bank Schedule'!$K$2:$K$825)), ROW(146:146))), "")</f>
        <v/>
      </c>
      <c r="D149" s="2" t="str">
        <f t="array" ref="D149">IFERROR(INDEX('Bank Schedule'!D:D, SMALL(IF('Bank Schedule'!$K$2:$K$825="Vacant", ROW('Bank Schedule'!$K$2:$K$825)), ROW(146:146))), "")</f>
        <v/>
      </c>
      <c r="E149" s="4"/>
      <c r="F149" s="4"/>
      <c r="G149" s="14"/>
      <c r="H149" s="7"/>
      <c r="I149" s="7"/>
      <c r="K149">
        <v>0</v>
      </c>
      <c r="L149">
        <v>0</v>
      </c>
      <c r="M149" s="275">
        <v>44603</v>
      </c>
      <c r="S149" s="276"/>
      <c r="T149" s="276"/>
      <c r="U149" s="277"/>
      <c r="AA149" s="55"/>
      <c r="AB149" s="55"/>
      <c r="AC149" s="14"/>
      <c r="AD149" s="4"/>
      <c r="AF149" s="282">
        <f>COUNTIF(AB$1:AB$144, AG149)</f>
        <v>0</v>
      </c>
      <c r="AG149" s="283" t="s">
        <v>510</v>
      </c>
      <c r="AH149" s="264"/>
      <c r="AI149" s="264"/>
    </row>
    <row r="150" spans="1:36" ht="23.25" customHeight="1">
      <c r="A150" s="2" t="str">
        <f t="array" ref="A150">IFERROR(INDEX('Bank Schedule'!A:A, SMALL(IF('Bank Schedule'!$K$2:$K$825="Vacant", ROW('Bank Schedule'!$K$2:$K$825)), ROW(147:147))), "")</f>
        <v/>
      </c>
      <c r="B150" s="11" t="str">
        <f t="array" ref="B150">IFERROR(INDEX('Bank Schedule'!B:B, SMALL(IF('Bank Schedule'!$K$2:$K$825="Vacant", ROW('Bank Schedule'!$K$2:$K$825)), ROW(147:147))), "")</f>
        <v/>
      </c>
      <c r="C150" s="11" t="str">
        <f t="array" ref="C150">IFERROR(INDEX('Bank Schedule'!C:C, SMALL(IF('Bank Schedule'!$K$2:$K$825="Vacant", ROW('Bank Schedule'!$K$2:$K$825)), ROW(147:147))), "")</f>
        <v/>
      </c>
      <c r="D150" s="2" t="str">
        <f t="array" ref="D150">IFERROR(INDEX('Bank Schedule'!D:D, SMALL(IF('Bank Schedule'!$K$2:$K$825="Vacant", ROW('Bank Schedule'!$K$2:$K$825)), ROW(147:147))), "")</f>
        <v/>
      </c>
      <c r="E150" s="4"/>
      <c r="F150" s="4"/>
      <c r="G150" s="14"/>
      <c r="H150" s="7"/>
      <c r="I150" s="7"/>
      <c r="K150">
        <v>45125</v>
      </c>
      <c r="L150">
        <v>45490</v>
      </c>
      <c r="M150" s="275">
        <v>0</v>
      </c>
      <c r="S150" s="276"/>
      <c r="T150" s="276"/>
      <c r="U150" s="277"/>
      <c r="AA150" s="55"/>
      <c r="AB150" s="55"/>
      <c r="AC150" s="14"/>
      <c r="AD150" s="4"/>
      <c r="AF150" s="282">
        <f>COUNTIF(AB$1:AB$143, AG150)</f>
        <v>0</v>
      </c>
      <c r="AG150" s="283" t="s">
        <v>880</v>
      </c>
      <c r="AH150" s="264"/>
      <c r="AI150" s="264"/>
    </row>
    <row r="151" spans="1:36" ht="23.25" customHeight="1">
      <c r="A151" s="2" t="str">
        <f t="array" ref="A151">IFERROR(INDEX('Bank Schedule'!A:A, SMALL(IF('Bank Schedule'!$K$2:$K$825="Vacant", ROW('Bank Schedule'!$K$2:$K$825)), ROW(148:148))), "")</f>
        <v/>
      </c>
      <c r="B151" s="11" t="str">
        <f t="array" ref="B151">IFERROR(INDEX('Bank Schedule'!B:B, SMALL(IF('Bank Schedule'!$K$2:$K$825="Vacant", ROW('Bank Schedule'!$K$2:$K$825)), ROW(148:148))), "")</f>
        <v/>
      </c>
      <c r="C151" s="11" t="str">
        <f t="array" ref="C151">IFERROR(INDEX('Bank Schedule'!C:C, SMALL(IF('Bank Schedule'!$K$2:$K$825="Vacant", ROW('Bank Schedule'!$K$2:$K$825)), ROW(148:148))), "")</f>
        <v/>
      </c>
      <c r="D151" s="2" t="str">
        <f t="array" ref="D151">IFERROR(INDEX('Bank Schedule'!D:D, SMALL(IF('Bank Schedule'!$K$2:$K$825="Vacant", ROW('Bank Schedule'!$K$2:$K$825)), ROW(148:148))), "")</f>
        <v/>
      </c>
      <c r="E151" s="4"/>
      <c r="F151" s="4"/>
      <c r="G151" s="14"/>
      <c r="H151" s="7"/>
      <c r="I151" s="7"/>
      <c r="K151">
        <v>45463</v>
      </c>
      <c r="L151">
        <v>0</v>
      </c>
      <c r="M151" s="275">
        <v>0</v>
      </c>
      <c r="S151" s="276"/>
      <c r="T151" s="276"/>
      <c r="U151" s="277"/>
      <c r="AA151" s="55"/>
      <c r="AB151" s="55"/>
      <c r="AC151" s="14"/>
      <c r="AD151" s="4"/>
      <c r="AF151" s="282">
        <f>COUNTIF(AB$1:AB$143, AG151)</f>
        <v>0</v>
      </c>
      <c r="AG151" s="283" t="s">
        <v>202</v>
      </c>
      <c r="AH151" s="264"/>
      <c r="AI151" s="264"/>
    </row>
    <row r="152" spans="1:36" ht="23.25" customHeight="1">
      <c r="A152" s="2" t="str">
        <f t="array" ref="A152">IFERROR(INDEX('Bank Schedule'!A:A, SMALL(IF('Bank Schedule'!$K$2:$K$825="Vacant", ROW('Bank Schedule'!$K$2:$K$825)), ROW(149:149))), "")</f>
        <v/>
      </c>
      <c r="B152" s="11" t="str">
        <f t="array" ref="B152">IFERROR(INDEX('Bank Schedule'!B:B, SMALL(IF('Bank Schedule'!$K$2:$K$825="Vacant", ROW('Bank Schedule'!$K$2:$K$825)), ROW(149:149))), "")</f>
        <v/>
      </c>
      <c r="C152" s="11" t="str">
        <f t="array" ref="C152">IFERROR(INDEX('Bank Schedule'!C:C, SMALL(IF('Bank Schedule'!$K$2:$K$825="Vacant", ROW('Bank Schedule'!$K$2:$K$825)), ROW(149:149))), "")</f>
        <v/>
      </c>
      <c r="D152" s="2" t="str">
        <f t="array" ref="D152">IFERROR(INDEX('Bank Schedule'!D:D, SMALL(IF('Bank Schedule'!$K$2:$K$825="Vacant", ROW('Bank Schedule'!$K$2:$K$825)), ROW(149:149))), "")</f>
        <v/>
      </c>
      <c r="E152" s="4"/>
      <c r="F152" s="4"/>
      <c r="G152" s="14"/>
      <c r="H152" s="7"/>
      <c r="I152" s="7"/>
      <c r="M152" s="275"/>
      <c r="S152" s="276"/>
      <c r="T152" s="276"/>
      <c r="U152" s="277"/>
      <c r="AA152" s="55"/>
      <c r="AB152" s="55"/>
      <c r="AC152" s="14"/>
      <c r="AD152" s="4"/>
      <c r="AF152" s="282"/>
      <c r="AG152" s="284"/>
      <c r="AH152" s="264"/>
      <c r="AI152" s="264"/>
    </row>
    <row r="153" spans="1:36" ht="23.25" customHeight="1" thickBot="1">
      <c r="A153" s="2" t="str">
        <f t="array" ref="A153">IFERROR(INDEX('Bank Schedule'!A:A, SMALL(IF('Bank Schedule'!$K$2:$K$825="Vacant", ROW('Bank Schedule'!$K$2:$K$825)), ROW(150:150))), "")</f>
        <v/>
      </c>
      <c r="B153" s="11" t="str">
        <f t="array" ref="B153">IFERROR(INDEX('Bank Schedule'!B:B, SMALL(IF('Bank Schedule'!$K$2:$K$825="Vacant", ROW('Bank Schedule'!$K$2:$K$825)), ROW(150:150))), "")</f>
        <v/>
      </c>
      <c r="C153" s="11" t="str">
        <f t="array" ref="C153">IFERROR(INDEX('Bank Schedule'!C:C, SMALL(IF('Bank Schedule'!$K$2:$K$825="Vacant", ROW('Bank Schedule'!$K$2:$K$825)), ROW(150:150))), "")</f>
        <v/>
      </c>
      <c r="D153" s="2" t="str">
        <f t="array" ref="D153">IFERROR(INDEX('Bank Schedule'!D:D, SMALL(IF('Bank Schedule'!$K$2:$K$825="Vacant", ROW('Bank Schedule'!$K$2:$K$825)), ROW(150:150))), "")</f>
        <v/>
      </c>
      <c r="E153" s="4"/>
      <c r="F153" s="4"/>
      <c r="G153" s="14"/>
      <c r="H153" s="7"/>
      <c r="I153" s="7"/>
      <c r="K153" s="25"/>
      <c r="L153" s="8"/>
      <c r="M153" s="9"/>
      <c r="N153" s="9"/>
      <c r="O153" s="9"/>
      <c r="P153" s="9"/>
      <c r="Q153" s="9"/>
      <c r="R153" s="10"/>
      <c r="S153" s="10"/>
      <c r="T153" s="10"/>
      <c r="U153" s="106"/>
      <c r="V153" s="10"/>
      <c r="W153" s="10"/>
      <c r="X153" s="10"/>
      <c r="Y153" s="10"/>
      <c r="Z153" s="61"/>
      <c r="AA153" s="55"/>
      <c r="AB153" s="55"/>
      <c r="AC153" s="14"/>
      <c r="AD153" s="4"/>
      <c r="AF153" s="285">
        <f>SUM(AF147:AF152)</f>
        <v>0</v>
      </c>
      <c r="AG153" s="286" t="s">
        <v>877</v>
      </c>
      <c r="AH153" s="264"/>
      <c r="AI153" s="264"/>
    </row>
    <row r="154" spans="1:36" ht="23.25" customHeight="1" thickTop="1">
      <c r="A154" s="2" t="str">
        <f t="array" ref="A154">IFERROR(INDEX('Bank Schedule'!A:A, SMALL(IF('Bank Schedule'!$K$2:$K$825="Vacant", ROW('Bank Schedule'!$K$2:$K$825)), ROW(151:151))), "")</f>
        <v/>
      </c>
      <c r="B154" s="11" t="str">
        <f t="array" ref="B154">IFERROR(INDEX('Bank Schedule'!B:B, SMALL(IF('Bank Schedule'!$K$2:$K$825="Vacant", ROW('Bank Schedule'!$K$2:$K$825)), ROW(151:151))), "")</f>
        <v/>
      </c>
      <c r="C154" s="11" t="str">
        <f t="array" ref="C154">IFERROR(INDEX('Bank Schedule'!C:C, SMALL(IF('Bank Schedule'!$K$2:$K$825="Vacant", ROW('Bank Schedule'!$K$2:$K$825)), ROW(151:151))), "")</f>
        <v/>
      </c>
      <c r="D154" s="2" t="str">
        <f t="array" ref="D154">IFERROR(INDEX('Bank Schedule'!D:D, SMALL(IF('Bank Schedule'!$K$2:$K$825="Vacant", ROW('Bank Schedule'!$K$2:$K$825)), ROW(151:151))), "")</f>
        <v/>
      </c>
      <c r="E154" s="4"/>
      <c r="F154" s="4"/>
      <c r="G154" s="14"/>
      <c r="H154" s="7"/>
      <c r="I154" s="7"/>
      <c r="K154" s="25"/>
      <c r="L154" s="8"/>
      <c r="M154" s="9"/>
      <c r="N154" s="9"/>
      <c r="O154" s="9"/>
      <c r="P154" s="9"/>
      <c r="Q154" s="9"/>
      <c r="R154" s="10"/>
      <c r="S154" s="10"/>
      <c r="T154" s="10"/>
      <c r="U154" s="106"/>
      <c r="V154" s="10"/>
      <c r="W154" s="10"/>
      <c r="X154" s="10"/>
      <c r="Y154" s="10"/>
      <c r="Z154" s="61"/>
      <c r="AA154" s="55"/>
      <c r="AB154" s="55"/>
      <c r="AC154" s="14"/>
      <c r="AD154" s="4"/>
      <c r="AI154" s="264"/>
      <c r="AJ154" s="264"/>
    </row>
    <row r="155" spans="1:36" ht="23.25" customHeight="1">
      <c r="A155" s="2" t="str">
        <f t="array" ref="A155">IFERROR(INDEX('Bank Schedule'!A:A, SMALL(IF('Bank Schedule'!$K$2:$K$825="Vacant", ROW('Bank Schedule'!$K$2:$K$825)), ROW(152:152))), "")</f>
        <v/>
      </c>
      <c r="B155" s="11" t="str">
        <f t="array" ref="B155">IFERROR(INDEX('Bank Schedule'!B:B, SMALL(IF('Bank Schedule'!$K$2:$K$825="Vacant", ROW('Bank Schedule'!$K$2:$K$825)), ROW(152:152))), "")</f>
        <v/>
      </c>
      <c r="C155" s="11" t="str">
        <f t="array" ref="C155">IFERROR(INDEX('Bank Schedule'!C:C, SMALL(IF('Bank Schedule'!$K$2:$K$825="Vacant", ROW('Bank Schedule'!$K$2:$K$825)), ROW(152:152))), "")</f>
        <v/>
      </c>
      <c r="D155" s="2" t="str">
        <f t="array" ref="D155">IFERROR(INDEX('Bank Schedule'!D:D, SMALL(IF('Bank Schedule'!$K$2:$K$825="Vacant", ROW('Bank Schedule'!$K$2:$K$825)), ROW(152:152))), "")</f>
        <v/>
      </c>
      <c r="E155" s="4"/>
      <c r="F155" s="4"/>
      <c r="G155" s="14"/>
      <c r="H155" s="7"/>
      <c r="I155" s="7"/>
      <c r="J155"/>
      <c r="K155" s="25"/>
      <c r="L155" s="8"/>
      <c r="M155" s="9"/>
      <c r="N155" s="9"/>
      <c r="O155" s="9"/>
      <c r="P155" s="9"/>
      <c r="Q155" s="9"/>
      <c r="R155" s="10"/>
      <c r="S155" s="10"/>
      <c r="T155" s="10"/>
      <c r="U155" s="106"/>
      <c r="V155" s="10"/>
      <c r="W155" s="10"/>
      <c r="X155" s="10"/>
      <c r="Y155" s="10"/>
      <c r="Z155" s="61"/>
      <c r="AA155" s="55"/>
      <c r="AB155" s="55"/>
      <c r="AC155" s="14"/>
      <c r="AD155" s="4"/>
      <c r="AF155" s="287"/>
      <c r="AH155" s="287"/>
      <c r="AI155" s="264"/>
      <c r="AJ155" s="264"/>
    </row>
    <row r="156" spans="1:36" ht="23.25" customHeight="1">
      <c r="A156" s="2" t="str">
        <f t="array" ref="A156">IFERROR(INDEX('Bank Schedule'!A:A, SMALL(IF('Bank Schedule'!$K$2:$K$825="Vacant", ROW('Bank Schedule'!$K$2:$K$825)), ROW(153:153))), "")</f>
        <v/>
      </c>
      <c r="B156" s="11" t="str">
        <f t="array" ref="B156">IFERROR(INDEX('Bank Schedule'!B:B, SMALL(IF('Bank Schedule'!$K$2:$K$825="Vacant", ROW('Bank Schedule'!$K$2:$K$825)), ROW(153:153))), "")</f>
        <v/>
      </c>
      <c r="C156" s="11" t="str">
        <f t="array" ref="C156">IFERROR(INDEX('Bank Schedule'!C:C, SMALL(IF('Bank Schedule'!$K$2:$K$825="Vacant", ROW('Bank Schedule'!$K$2:$K$825)), ROW(153:153))), "")</f>
        <v/>
      </c>
      <c r="D156" s="2" t="str">
        <f t="array" ref="D156">IFERROR(INDEX('Bank Schedule'!D:D, SMALL(IF('Bank Schedule'!$K$2:$K$825="Vacant", ROW('Bank Schedule'!$K$2:$K$825)), ROW(153:153))), "")</f>
        <v/>
      </c>
      <c r="E156" s="4"/>
      <c r="F156" s="4"/>
      <c r="G156" s="14"/>
      <c r="H156" s="7"/>
      <c r="I156" s="7"/>
      <c r="J156"/>
      <c r="K156" s="25"/>
      <c r="L156" s="8"/>
      <c r="M156" s="9"/>
      <c r="N156" s="9"/>
      <c r="O156" s="9"/>
      <c r="P156" s="9"/>
      <c r="Q156" s="9"/>
      <c r="R156" s="10"/>
      <c r="S156" s="10"/>
      <c r="T156" s="10"/>
      <c r="U156" s="106"/>
      <c r="V156" s="10"/>
      <c r="W156" s="10"/>
      <c r="X156" s="10"/>
      <c r="Y156" s="10"/>
      <c r="Z156" s="61"/>
      <c r="AA156" s="55"/>
      <c r="AB156" s="55"/>
      <c r="AC156" s="14"/>
      <c r="AD156" s="4"/>
      <c r="AF156" s="288" t="s">
        <v>881</v>
      </c>
      <c r="AG156" s="289"/>
      <c r="AH156" s="343"/>
      <c r="AJ156" s="264"/>
    </row>
    <row r="157" spans="1:36" ht="23.25" customHeight="1">
      <c r="A157" s="2" t="str">
        <f t="array" ref="A157">IFERROR(INDEX('Bank Schedule'!A:A, SMALL(IF('Bank Schedule'!$K$2:$K$825="Vacant", ROW('Bank Schedule'!$K$2:$K$825)), ROW(154:154))), "")</f>
        <v/>
      </c>
      <c r="B157" s="11" t="str">
        <f t="array" ref="B157">IFERROR(INDEX('Bank Schedule'!B:B, SMALL(IF('Bank Schedule'!$K$2:$K$825="Vacant", ROW('Bank Schedule'!$K$2:$K$825)), ROW(154:154))), "")</f>
        <v/>
      </c>
      <c r="C157" s="11" t="str">
        <f t="array" ref="C157">IFERROR(INDEX('Bank Schedule'!C:C, SMALL(IF('Bank Schedule'!$K$2:$K$825="Vacant", ROW('Bank Schedule'!$K$2:$K$825)), ROW(154:154))), "")</f>
        <v/>
      </c>
      <c r="D157" s="2" t="str">
        <f t="array" ref="D157">IFERROR(INDEX('Bank Schedule'!D:D, SMALL(IF('Bank Schedule'!$K$2:$K$825="Vacant", ROW('Bank Schedule'!$K$2:$K$825)), ROW(154:154))), "")</f>
        <v/>
      </c>
      <c r="E157" s="4"/>
      <c r="F157" s="4"/>
      <c r="G157" s="14"/>
      <c r="H157" s="7"/>
      <c r="I157" s="7"/>
      <c r="J157" s="14"/>
      <c r="K157" s="25"/>
      <c r="L157" s="8"/>
      <c r="M157" s="9"/>
      <c r="N157" s="9"/>
      <c r="O157" s="9"/>
      <c r="P157" s="9"/>
      <c r="Q157" s="9"/>
      <c r="R157" s="10"/>
      <c r="S157" s="10"/>
      <c r="T157" s="10"/>
      <c r="U157" s="106"/>
      <c r="V157" s="10"/>
      <c r="W157" s="10"/>
      <c r="X157" s="10"/>
      <c r="Y157" s="10"/>
      <c r="Z157" s="61"/>
      <c r="AA157" s="55"/>
      <c r="AB157" s="55"/>
      <c r="AC157" s="14"/>
      <c r="AD157" s="4"/>
      <c r="AF157" s="282">
        <f>COUNTIF(X$4:AA$142, AG157)</f>
        <v>0</v>
      </c>
      <c r="AG157" s="283" t="s">
        <v>243</v>
      </c>
      <c r="AH157" s="340" t="e">
        <f>AF157/$AF$163</f>
        <v>#DIV/0!</v>
      </c>
      <c r="AJ157" s="264"/>
    </row>
    <row r="158" spans="1:36" ht="23.25" customHeight="1">
      <c r="A158" s="2" t="str">
        <f t="array" ref="A158">IFERROR(INDEX('Bank Schedule'!A:A, SMALL(IF('Bank Schedule'!$K$2:$K$825="Vacant", ROW('Bank Schedule'!$K$2:$K$825)), ROW(155:155))), "")</f>
        <v/>
      </c>
      <c r="B158" s="11" t="str">
        <f t="array" ref="B158">IFERROR(INDEX('Bank Schedule'!B:B, SMALL(IF('Bank Schedule'!$K$2:$K$825="Vacant", ROW('Bank Schedule'!$K$2:$K$825)), ROW(155:155))), "")</f>
        <v/>
      </c>
      <c r="C158" s="11" t="str">
        <f t="array" ref="C158">IFERROR(INDEX('Bank Schedule'!C:C, SMALL(IF('Bank Schedule'!$K$2:$K$825="Vacant", ROW('Bank Schedule'!$K$2:$K$825)), ROW(155:155))), "")</f>
        <v/>
      </c>
      <c r="D158" s="2" t="str">
        <f t="array" ref="D158">IFERROR(INDEX('Bank Schedule'!D:D, SMALL(IF('Bank Schedule'!$K$2:$K$825="Vacant", ROW('Bank Schedule'!$K$2:$K$825)), ROW(155:155))), "")</f>
        <v/>
      </c>
      <c r="E158" s="4"/>
      <c r="F158" s="4"/>
      <c r="G158" s="14"/>
      <c r="H158" s="7"/>
      <c r="I158" s="7"/>
      <c r="J158" s="14"/>
      <c r="K158" s="25"/>
      <c r="L158" s="8"/>
      <c r="M158" s="9"/>
      <c r="N158" s="9"/>
      <c r="O158" s="9"/>
      <c r="P158" s="9"/>
      <c r="Q158" s="9"/>
      <c r="R158" s="10"/>
      <c r="S158" s="10"/>
      <c r="T158" s="10"/>
      <c r="U158" s="106"/>
      <c r="V158" s="10"/>
      <c r="W158" s="10"/>
      <c r="X158" s="10"/>
      <c r="Y158" s="10"/>
      <c r="Z158" s="61"/>
      <c r="AA158" s="55"/>
      <c r="AB158" s="55"/>
      <c r="AC158" s="14"/>
      <c r="AD158" s="4"/>
      <c r="AF158" s="282">
        <f>COUNTIF(X$4:X$143, AG158)</f>
        <v>0</v>
      </c>
      <c r="AG158" s="283" t="s">
        <v>58</v>
      </c>
      <c r="AH158" s="341" t="e">
        <f>AF158/$AF$163</f>
        <v>#DIV/0!</v>
      </c>
      <c r="AJ158" s="264"/>
    </row>
    <row r="159" spans="1:36" ht="23.25" customHeight="1">
      <c r="A159" s="2" t="str">
        <f t="array" ref="A159">IFERROR(INDEX('Bank Schedule'!A:A, SMALL(IF('Bank Schedule'!$K$2:$K$825="Vacant", ROW('Bank Schedule'!$K$2:$K$825)), ROW(156:156))), "")</f>
        <v/>
      </c>
      <c r="B159" s="11" t="str">
        <f t="array" ref="B159">IFERROR(INDEX('Bank Schedule'!B:B, SMALL(IF('Bank Schedule'!$K$2:$K$825="Vacant", ROW('Bank Schedule'!$K$2:$K$825)), ROW(156:156))), "")</f>
        <v/>
      </c>
      <c r="C159" s="11" t="str">
        <f t="array" ref="C159">IFERROR(INDEX('Bank Schedule'!C:C, SMALL(IF('Bank Schedule'!$K$2:$K$825="Vacant", ROW('Bank Schedule'!$K$2:$K$825)), ROW(156:156))), "")</f>
        <v/>
      </c>
      <c r="D159" s="2" t="str">
        <f t="array" ref="D159">IFERROR(INDEX('Bank Schedule'!D:D, SMALL(IF('Bank Schedule'!$K$2:$K$825="Vacant", ROW('Bank Schedule'!$K$2:$K$825)), ROW(156:156))), "")</f>
        <v/>
      </c>
      <c r="E159" s="4"/>
      <c r="F159" s="4"/>
      <c r="G159" s="14"/>
      <c r="H159" s="7"/>
      <c r="I159" s="7"/>
      <c r="J159" s="14"/>
      <c r="K159" s="25"/>
      <c r="L159" s="8"/>
      <c r="M159" s="9"/>
      <c r="N159" s="9"/>
      <c r="O159" s="9"/>
      <c r="P159" s="9"/>
      <c r="Q159" s="9"/>
      <c r="R159" s="10"/>
      <c r="S159" s="10"/>
      <c r="T159" s="10"/>
      <c r="U159" s="106"/>
      <c r="V159" s="10"/>
      <c r="W159" s="10"/>
      <c r="X159" s="10"/>
      <c r="Y159" s="10"/>
      <c r="Z159" s="61"/>
      <c r="AA159" s="55"/>
      <c r="AB159" s="55"/>
      <c r="AC159" s="14"/>
      <c r="AD159" s="4"/>
      <c r="AF159" s="282">
        <f>COUNTIF(X$1:X$144, AG159)</f>
        <v>0</v>
      </c>
      <c r="AG159" s="283" t="s">
        <v>39</v>
      </c>
      <c r="AH159" s="341" t="e">
        <f>AF159/$AF$163</f>
        <v>#DIV/0!</v>
      </c>
      <c r="AJ159" s="264"/>
    </row>
    <row r="160" spans="1:36" ht="23.25" customHeight="1">
      <c r="A160" s="2" t="str">
        <f t="array" ref="A160">IFERROR(INDEX('Bank Schedule'!A:A, SMALL(IF('Bank Schedule'!$K$2:$K$825="Vacant", ROW('Bank Schedule'!$K$2:$K$825)), ROW(157:157))), "")</f>
        <v/>
      </c>
      <c r="B160" s="11" t="str">
        <f t="array" ref="B160">IFERROR(INDEX('Bank Schedule'!B:B, SMALL(IF('Bank Schedule'!$K$2:$K$825="Vacant", ROW('Bank Schedule'!$K$2:$K$825)), ROW(157:157))), "")</f>
        <v/>
      </c>
      <c r="C160" s="11" t="str">
        <f t="array" ref="C160">IFERROR(INDEX('Bank Schedule'!C:C, SMALL(IF('Bank Schedule'!$K$2:$K$825="Vacant", ROW('Bank Schedule'!$K$2:$K$825)), ROW(157:157))), "")</f>
        <v/>
      </c>
      <c r="D160" s="2" t="str">
        <f t="array" ref="D160">IFERROR(INDEX('Bank Schedule'!D:D, SMALL(IF('Bank Schedule'!$K$2:$K$825="Vacant", ROW('Bank Schedule'!$K$2:$K$825)), ROW(157:157))), "")</f>
        <v/>
      </c>
      <c r="E160" s="4"/>
      <c r="F160" s="4"/>
      <c r="G160" s="14"/>
      <c r="H160" s="7"/>
      <c r="I160" s="7"/>
      <c r="J160" s="14"/>
      <c r="K160" s="25"/>
      <c r="L160" s="8"/>
      <c r="M160" s="9"/>
      <c r="N160" s="9"/>
      <c r="O160" s="9"/>
      <c r="P160" s="9"/>
      <c r="Q160" s="9"/>
      <c r="R160" s="10"/>
      <c r="S160" s="10"/>
      <c r="T160" s="10"/>
      <c r="U160" s="106"/>
      <c r="V160" s="10"/>
      <c r="W160" s="10"/>
      <c r="X160" s="10"/>
      <c r="Y160" s="10"/>
      <c r="Z160" s="61"/>
      <c r="AA160" s="55"/>
      <c r="AB160" s="55"/>
      <c r="AC160" s="14"/>
      <c r="AD160" s="4"/>
      <c r="AF160" s="282">
        <f>COUNTIF(X$1:X$144, AG160)</f>
        <v>0</v>
      </c>
      <c r="AG160" s="283" t="s">
        <v>69</v>
      </c>
      <c r="AH160" s="341" t="e">
        <f>AF160/$AF$163</f>
        <v>#DIV/0!</v>
      </c>
      <c r="AJ160" s="264"/>
    </row>
    <row r="161" spans="1:37" ht="23.25" customHeight="1">
      <c r="A161" s="2" t="str">
        <f t="array" ref="A161">IFERROR(INDEX('Bank Schedule'!A:A, SMALL(IF('Bank Schedule'!$K$2:$K$825="Vacant", ROW('Bank Schedule'!$K$2:$K$825)), ROW(158:158))), "")</f>
        <v/>
      </c>
      <c r="B161" s="11" t="str">
        <f t="array" ref="B161">IFERROR(INDEX('Bank Schedule'!B:B, SMALL(IF('Bank Schedule'!$K$2:$K$825="Vacant", ROW('Bank Schedule'!$K$2:$K$825)), ROW(158:158))), "")</f>
        <v/>
      </c>
      <c r="C161" s="11" t="str">
        <f t="array" ref="C161">IFERROR(INDEX('Bank Schedule'!C:C, SMALL(IF('Bank Schedule'!$K$2:$K$825="Vacant", ROW('Bank Schedule'!$K$2:$K$825)), ROW(158:158))), "")</f>
        <v/>
      </c>
      <c r="D161" s="2" t="str">
        <f t="array" ref="D161">IFERROR(INDEX('Bank Schedule'!D:D, SMALL(IF('Bank Schedule'!$K$2:$K$825="Vacant", ROW('Bank Schedule'!$K$2:$K$825)), ROW(158:158))), "")</f>
        <v/>
      </c>
      <c r="E161" s="4"/>
      <c r="F161" s="4"/>
      <c r="G161" s="14"/>
      <c r="H161" s="7"/>
      <c r="I161" s="7"/>
      <c r="J161" s="14"/>
      <c r="K161" s="25"/>
      <c r="L161" s="8"/>
      <c r="M161" s="9"/>
      <c r="N161" s="9"/>
      <c r="O161" s="9"/>
      <c r="P161" s="9"/>
      <c r="Q161" s="9"/>
      <c r="R161" s="10"/>
      <c r="S161" s="10"/>
      <c r="T161" s="10"/>
      <c r="U161" s="106"/>
      <c r="V161" s="10"/>
      <c r="W161" s="10"/>
      <c r="X161" s="10"/>
      <c r="Y161" s="10"/>
      <c r="Z161" s="61"/>
      <c r="AA161" s="55"/>
      <c r="AB161" s="55"/>
      <c r="AC161" s="14"/>
      <c r="AD161" s="4"/>
      <c r="AF161" s="282">
        <f>COUNTIF(X$1:X$143, AG161)</f>
        <v>0</v>
      </c>
      <c r="AG161" s="283" t="s">
        <v>76</v>
      </c>
      <c r="AH161" s="341" t="e">
        <f>AF161/$AF$163</f>
        <v>#DIV/0!</v>
      </c>
      <c r="AJ161" s="264"/>
    </row>
    <row r="162" spans="1:37" ht="23.25" customHeight="1">
      <c r="A162" s="2" t="str">
        <f t="array" ref="A162">IFERROR(INDEX('Bank Schedule'!A:A, SMALL(IF('Bank Schedule'!$K$2:$K$825="Vacant", ROW('Bank Schedule'!$K$2:$K$825)), ROW(159:159))), "")</f>
        <v/>
      </c>
      <c r="B162" s="11" t="str">
        <f t="array" ref="B162">IFERROR(INDEX('Bank Schedule'!B:B, SMALL(IF('Bank Schedule'!$K$2:$K$825="Vacant", ROW('Bank Schedule'!$K$2:$K$825)), ROW(159:159))), "")</f>
        <v/>
      </c>
      <c r="C162" s="11" t="str">
        <f t="array" ref="C162">IFERROR(INDEX('Bank Schedule'!C:C, SMALL(IF('Bank Schedule'!$K$2:$K$825="Vacant", ROW('Bank Schedule'!$K$2:$K$825)), ROW(159:159))), "")</f>
        <v/>
      </c>
      <c r="D162" s="2" t="str">
        <f t="array" ref="D162">IFERROR(INDEX('Bank Schedule'!D:D, SMALL(IF('Bank Schedule'!$K$2:$K$825="Vacant", ROW('Bank Schedule'!$K$2:$K$825)), ROW(159:159))), "")</f>
        <v/>
      </c>
      <c r="E162" s="4"/>
      <c r="F162" s="4"/>
      <c r="G162" s="14"/>
      <c r="H162" s="7"/>
      <c r="I162" s="7"/>
      <c r="J162" s="14"/>
      <c r="K162" s="25"/>
      <c r="L162" s="8"/>
      <c r="M162" s="9"/>
      <c r="N162" s="9"/>
      <c r="O162" s="9"/>
      <c r="P162" s="9"/>
      <c r="Q162" s="9"/>
      <c r="R162" s="10"/>
      <c r="S162" s="10"/>
      <c r="T162" s="10"/>
      <c r="U162" s="106"/>
      <c r="V162" s="10"/>
      <c r="W162" s="10"/>
      <c r="X162" s="10"/>
      <c r="Y162" s="10"/>
      <c r="Z162" s="61"/>
      <c r="AA162" s="55"/>
      <c r="AB162" s="55"/>
      <c r="AC162" s="14"/>
      <c r="AD162" s="4"/>
      <c r="AF162" s="282"/>
      <c r="AG162" s="284"/>
      <c r="AH162" s="344"/>
      <c r="AJ162" s="264"/>
    </row>
    <row r="163" spans="1:37" ht="23.25" customHeight="1">
      <c r="A163" s="2" t="str">
        <f t="array" ref="A163">IFERROR(INDEX('Bank Schedule'!A:A, SMALL(IF('Bank Schedule'!$K$2:$K$825="Vacant", ROW('Bank Schedule'!$K$2:$K$825)), ROW(160:160))), "")</f>
        <v/>
      </c>
      <c r="B163" s="11" t="str">
        <f t="array" ref="B163">IFERROR(INDEX('Bank Schedule'!B:B, SMALL(IF('Bank Schedule'!$K$2:$K$825="Vacant", ROW('Bank Schedule'!$K$2:$K$825)), ROW(160:160))), "")</f>
        <v/>
      </c>
      <c r="C163" s="11" t="str">
        <f t="array" ref="C163">IFERROR(INDEX('Bank Schedule'!C:C, SMALL(IF('Bank Schedule'!$K$2:$K$825="Vacant", ROW('Bank Schedule'!$K$2:$K$825)), ROW(160:160))), "")</f>
        <v/>
      </c>
      <c r="D163" s="2" t="str">
        <f t="array" ref="D163">IFERROR(INDEX('Bank Schedule'!D:D, SMALL(IF('Bank Schedule'!$K$2:$K$825="Vacant", ROW('Bank Schedule'!$K$2:$K$825)), ROW(160:160))), "")</f>
        <v/>
      </c>
      <c r="E163" s="4"/>
      <c r="F163" s="4"/>
      <c r="G163" s="14"/>
      <c r="H163" s="7"/>
      <c r="I163" s="7"/>
      <c r="J163" s="14"/>
      <c r="K163" s="25"/>
      <c r="L163" s="8"/>
      <c r="M163" s="9"/>
      <c r="N163" s="9"/>
      <c r="O163" s="9"/>
      <c r="P163" s="9"/>
      <c r="Q163" s="9"/>
      <c r="R163" s="10"/>
      <c r="S163" s="10"/>
      <c r="T163" s="10"/>
      <c r="U163" s="106"/>
      <c r="V163" s="10"/>
      <c r="W163" s="10"/>
      <c r="X163" s="10"/>
      <c r="Y163" s="10"/>
      <c r="Z163" s="61"/>
      <c r="AA163" s="55"/>
      <c r="AB163" s="55"/>
      <c r="AC163" s="14"/>
      <c r="AD163" s="4"/>
      <c r="AF163" s="289">
        <f>SUM(AF157:AF162)</f>
        <v>0</v>
      </c>
      <c r="AG163" s="345" t="s">
        <v>877</v>
      </c>
      <c r="AH163" s="342" t="e">
        <f>SUM(AH157:AH162)</f>
        <v>#DIV/0!</v>
      </c>
      <c r="AJ163" s="264"/>
    </row>
    <row r="164" spans="1:37" ht="23.25" customHeight="1">
      <c r="A164" s="2" t="str">
        <f t="array" ref="A164">IFERROR(INDEX('Bank Schedule'!A:A, SMALL(IF('Bank Schedule'!$K$2:$K$825="Vacant", ROW('Bank Schedule'!$K$2:$K$825)), ROW(161:161))), "")</f>
        <v/>
      </c>
      <c r="B164" s="11" t="str">
        <f t="array" ref="B164">IFERROR(INDEX('Bank Schedule'!B:B, SMALL(IF('Bank Schedule'!$K$2:$K$825="Vacant", ROW('Bank Schedule'!$K$2:$K$825)), ROW(161:161))), "")</f>
        <v/>
      </c>
      <c r="C164" s="11" t="str">
        <f t="array" ref="C164">IFERROR(INDEX('Bank Schedule'!C:C, SMALL(IF('Bank Schedule'!$K$2:$K$825="Vacant", ROW('Bank Schedule'!$K$2:$K$825)), ROW(161:161))), "")</f>
        <v/>
      </c>
      <c r="D164" s="2" t="str">
        <f t="array" ref="D164">IFERROR(INDEX('Bank Schedule'!D:D, SMALL(IF('Bank Schedule'!$K$2:$K$825="Vacant", ROW('Bank Schedule'!$K$2:$K$825)), ROW(161:161))), "")</f>
        <v/>
      </c>
      <c r="E164" s="4"/>
      <c r="F164" s="4"/>
      <c r="G164" s="14"/>
      <c r="H164" s="7"/>
      <c r="I164" s="7"/>
      <c r="J164" s="14"/>
      <c r="K164" s="25"/>
      <c r="L164" s="8"/>
      <c r="M164" s="9"/>
      <c r="N164" s="9"/>
      <c r="O164" s="9"/>
      <c r="P164" s="9"/>
      <c r="Q164" s="9"/>
      <c r="R164" s="10"/>
      <c r="S164" s="10"/>
      <c r="T164" s="10"/>
      <c r="U164" s="106"/>
      <c r="V164" s="10"/>
      <c r="W164" s="10"/>
      <c r="X164" s="10"/>
      <c r="Y164" s="10"/>
      <c r="Z164" s="61"/>
      <c r="AA164" s="55"/>
      <c r="AB164" s="55"/>
      <c r="AC164" s="14"/>
      <c r="AD164" s="4"/>
      <c r="AF164" s="287"/>
      <c r="AH164" s="291"/>
      <c r="AI164" s="264"/>
      <c r="AJ164" s="264"/>
    </row>
    <row r="165" spans="1:37" ht="23.25" customHeight="1">
      <c r="A165" s="2" t="str">
        <f t="array" ref="A165">IFERROR(INDEX('Bank Schedule'!A:A, SMALL(IF('Bank Schedule'!$K$2:$K$825="Vacant", ROW('Bank Schedule'!$K$2:$K$825)), ROW(162:162))), "")</f>
        <v/>
      </c>
      <c r="B165" s="11" t="str">
        <f t="array" ref="B165">IFERROR(INDEX('Bank Schedule'!B:B, SMALL(IF('Bank Schedule'!$K$2:$K$825="Vacant", ROW('Bank Schedule'!$K$2:$K$825)), ROW(162:162))), "")</f>
        <v/>
      </c>
      <c r="C165" s="11" t="str">
        <f t="array" ref="C165">IFERROR(INDEX('Bank Schedule'!C:C, SMALL(IF('Bank Schedule'!$K$2:$K$825="Vacant", ROW('Bank Schedule'!$K$2:$K$825)), ROW(162:162))), "")</f>
        <v/>
      </c>
      <c r="D165" s="2" t="str">
        <f t="array" ref="D165">IFERROR(INDEX('Bank Schedule'!D:D, SMALL(IF('Bank Schedule'!$K$2:$K$825="Vacant", ROW('Bank Schedule'!$K$2:$K$825)), ROW(162:162))), "")</f>
        <v/>
      </c>
      <c r="E165" s="4"/>
      <c r="F165" s="4"/>
      <c r="G165" s="14"/>
      <c r="H165" s="7"/>
      <c r="I165" s="7"/>
      <c r="J165" s="14"/>
      <c r="K165" s="25"/>
      <c r="L165" s="8"/>
      <c r="M165" s="9"/>
      <c r="N165" s="9"/>
      <c r="O165" s="9"/>
      <c r="P165" s="9"/>
      <c r="Q165" s="9"/>
      <c r="R165" s="10"/>
      <c r="S165" s="10"/>
      <c r="T165" s="10"/>
      <c r="U165" s="106"/>
      <c r="V165" s="10"/>
      <c r="W165" s="10"/>
      <c r="X165" s="10"/>
      <c r="Y165" s="10"/>
      <c r="Z165" s="61"/>
      <c r="AA165" s="55"/>
      <c r="AB165" s="55"/>
      <c r="AC165" s="14"/>
      <c r="AD165" s="4"/>
      <c r="AF165" s="292" t="s">
        <v>882</v>
      </c>
      <c r="AG165" s="293"/>
      <c r="AH165" s="343"/>
      <c r="AI165" s="264"/>
    </row>
    <row r="166" spans="1:37" ht="23.25" customHeight="1">
      <c r="A166" s="2" t="str">
        <f t="array" ref="A166">IFERROR(INDEX('Bank Schedule'!A:A, SMALL(IF('Bank Schedule'!$K$2:$K$825="Vacant", ROW('Bank Schedule'!$K$2:$K$825)), ROW(163:163))), "")</f>
        <v/>
      </c>
      <c r="B166" s="11" t="str">
        <f t="array" ref="B166">IFERROR(INDEX('Bank Schedule'!B:B, SMALL(IF('Bank Schedule'!$K$2:$K$825="Vacant", ROW('Bank Schedule'!$K$2:$K$825)), ROW(163:163))), "")</f>
        <v/>
      </c>
      <c r="C166" s="11" t="str">
        <f t="array" ref="C166">IFERROR(INDEX('Bank Schedule'!C:C, SMALL(IF('Bank Schedule'!$K$2:$K$825="Vacant", ROW('Bank Schedule'!$K$2:$K$825)), ROW(163:163))), "")</f>
        <v/>
      </c>
      <c r="D166" s="2" t="str">
        <f t="array" ref="D166">IFERROR(INDEX('Bank Schedule'!D:D, SMALL(IF('Bank Schedule'!$K$2:$K$825="Vacant", ROW('Bank Schedule'!$K$2:$K$825)), ROW(163:163))), "")</f>
        <v/>
      </c>
      <c r="E166" s="4"/>
      <c r="F166" s="4"/>
      <c r="G166" s="14"/>
      <c r="H166" s="7"/>
      <c r="I166" s="7"/>
      <c r="J166" s="14"/>
      <c r="K166" s="25"/>
      <c r="L166" s="8"/>
      <c r="M166" s="9"/>
      <c r="N166" s="9"/>
      <c r="O166" s="9"/>
      <c r="P166" s="9"/>
      <c r="Q166" s="9"/>
      <c r="R166" s="10"/>
      <c r="S166" s="10"/>
      <c r="T166" s="10"/>
      <c r="U166" s="106"/>
      <c r="V166" s="10"/>
      <c r="W166" s="10"/>
      <c r="X166" s="10"/>
      <c r="Y166" s="10"/>
      <c r="Z166" s="61"/>
      <c r="AA166" s="55"/>
      <c r="AB166" s="55"/>
      <c r="AC166" s="14"/>
      <c r="AD166" s="4"/>
      <c r="AF166" s="298">
        <f>SUMIF(X:X, "A", H:H)</f>
        <v>0</v>
      </c>
      <c r="AG166" s="283" t="s">
        <v>243</v>
      </c>
      <c r="AH166" s="341" t="e">
        <f t="shared" ref="AH166:AH171" si="0">AF166/$AF$172</f>
        <v>#DIV/0!</v>
      </c>
    </row>
    <row r="167" spans="1:37" ht="23.25" customHeight="1">
      <c r="A167" s="2" t="str">
        <f t="array" ref="A167">IFERROR(INDEX('Bank Schedule'!A:A, SMALL(IF('Bank Schedule'!$K$2:$K$825="Vacant", ROW('Bank Schedule'!$K$2:$K$825)), ROW(164:164))), "")</f>
        <v/>
      </c>
      <c r="B167" s="11" t="str">
        <f t="array" ref="B167">IFERROR(INDEX('Bank Schedule'!B:B, SMALL(IF('Bank Schedule'!$K$2:$K$825="Vacant", ROW('Bank Schedule'!$K$2:$K$825)), ROW(164:164))), "")</f>
        <v/>
      </c>
      <c r="C167" s="11" t="str">
        <f t="array" ref="C167">IFERROR(INDEX('Bank Schedule'!C:C, SMALL(IF('Bank Schedule'!$K$2:$K$825="Vacant", ROW('Bank Schedule'!$K$2:$K$825)), ROW(164:164))), "")</f>
        <v/>
      </c>
      <c r="D167" s="2" t="str">
        <f t="array" ref="D167">IFERROR(INDEX('Bank Schedule'!D:D, SMALL(IF('Bank Schedule'!$K$2:$K$825="Vacant", ROW('Bank Schedule'!$K$2:$K$825)), ROW(164:164))), "")</f>
        <v/>
      </c>
      <c r="E167" s="4"/>
      <c r="F167" s="4"/>
      <c r="G167" s="14"/>
      <c r="H167" s="7"/>
      <c r="I167" s="7"/>
      <c r="J167" s="14"/>
      <c r="K167" s="25"/>
      <c r="L167" s="8"/>
      <c r="M167" s="9"/>
      <c r="N167" s="9"/>
      <c r="O167" s="9"/>
      <c r="P167" s="9"/>
      <c r="Q167" s="9"/>
      <c r="R167" s="10"/>
      <c r="S167" s="10"/>
      <c r="T167" s="10"/>
      <c r="U167" s="106"/>
      <c r="V167" s="10"/>
      <c r="W167" s="10"/>
      <c r="X167" s="10"/>
      <c r="Y167" s="10"/>
      <c r="Z167" s="61"/>
      <c r="AA167" s="55"/>
      <c r="AB167" s="55"/>
      <c r="AC167" s="14"/>
      <c r="AD167" s="4"/>
      <c r="AF167" s="298">
        <f>SUMIF(X:X, "B", H:H)</f>
        <v>0</v>
      </c>
      <c r="AG167" s="283" t="s">
        <v>58</v>
      </c>
      <c r="AH167" s="341" t="e">
        <f t="shared" si="0"/>
        <v>#DIV/0!</v>
      </c>
      <c r="AI167" s="264"/>
    </row>
    <row r="168" spans="1:37" ht="23.25" customHeight="1">
      <c r="A168" s="2" t="str">
        <f t="array" ref="A168">IFERROR(INDEX('Bank Schedule'!A:A, SMALL(IF('Bank Schedule'!$K$2:$K$825="Vacant", ROW('Bank Schedule'!$K$2:$K$825)), ROW(165:165))), "")</f>
        <v/>
      </c>
      <c r="B168" s="11" t="str">
        <f t="array" ref="B168">IFERROR(INDEX('Bank Schedule'!B:B, SMALL(IF('Bank Schedule'!$K$2:$K$825="Vacant", ROW('Bank Schedule'!$K$2:$K$825)), ROW(165:165))), "")</f>
        <v/>
      </c>
      <c r="C168" s="11" t="str">
        <f t="array" ref="C168">IFERROR(INDEX('Bank Schedule'!C:C, SMALL(IF('Bank Schedule'!$K$2:$K$825="Vacant", ROW('Bank Schedule'!$K$2:$K$825)), ROW(165:165))), "")</f>
        <v/>
      </c>
      <c r="D168" s="2" t="str">
        <f t="array" ref="D168">IFERROR(INDEX('Bank Schedule'!D:D, SMALL(IF('Bank Schedule'!$K$2:$K$825="Vacant", ROW('Bank Schedule'!$K$2:$K$825)), ROW(165:165))), "")</f>
        <v/>
      </c>
      <c r="E168" s="4"/>
      <c r="F168" s="4"/>
      <c r="G168" s="14"/>
      <c r="H168" s="7"/>
      <c r="I168" s="7"/>
      <c r="J168" s="14"/>
      <c r="K168" s="25"/>
      <c r="L168" s="8"/>
      <c r="M168" s="9"/>
      <c r="N168" s="9"/>
      <c r="O168" s="9"/>
      <c r="P168" s="9"/>
      <c r="Q168" s="9"/>
      <c r="R168" s="10"/>
      <c r="S168" s="10"/>
      <c r="T168" s="10"/>
      <c r="U168" s="106"/>
      <c r="V168" s="10"/>
      <c r="W168" s="10"/>
      <c r="X168" s="10"/>
      <c r="Y168" s="10"/>
      <c r="Z168" s="61"/>
      <c r="AA168" s="55"/>
      <c r="AB168" s="55"/>
      <c r="AC168" s="14"/>
      <c r="AD168" s="4"/>
      <c r="AF168" s="298">
        <f>SUMIF(X:X, "C", H:H)</f>
        <v>0</v>
      </c>
      <c r="AG168" s="283" t="s">
        <v>39</v>
      </c>
      <c r="AH168" s="341" t="e">
        <f t="shared" si="0"/>
        <v>#DIV/0!</v>
      </c>
      <c r="AI168" s="290" t="e">
        <f>SUM(AH168:AH170)+AH171</f>
        <v>#DIV/0!</v>
      </c>
    </row>
    <row r="169" spans="1:37" ht="23.25" customHeight="1">
      <c r="A169" s="2" t="str">
        <f t="array" ref="A169">IFERROR(INDEX('Bank Schedule'!A:A, SMALL(IF('Bank Schedule'!$K$2:$K$825="Vacant", ROW('Bank Schedule'!$K$2:$K$825)), ROW(166:166))), "")</f>
        <v/>
      </c>
      <c r="B169" s="11" t="str">
        <f t="array" ref="B169">IFERROR(INDEX('Bank Schedule'!B:B, SMALL(IF('Bank Schedule'!$K$2:$K$825="Vacant", ROW('Bank Schedule'!$K$2:$K$825)), ROW(166:166))), "")</f>
        <v/>
      </c>
      <c r="C169" s="11" t="str">
        <f t="array" ref="C169">IFERROR(INDEX('Bank Schedule'!C:C, SMALL(IF('Bank Schedule'!$K$2:$K$825="Vacant", ROW('Bank Schedule'!$K$2:$K$825)), ROW(166:166))), "")</f>
        <v/>
      </c>
      <c r="D169" s="2" t="str">
        <f t="array" ref="D169">IFERROR(INDEX('Bank Schedule'!D:D, SMALL(IF('Bank Schedule'!$K$2:$K$825="Vacant", ROW('Bank Schedule'!$K$2:$K$825)), ROW(166:166))), "")</f>
        <v/>
      </c>
      <c r="E169" s="4"/>
      <c r="F169" s="4"/>
      <c r="G169" s="14"/>
      <c r="H169" s="7"/>
      <c r="I169" s="7"/>
      <c r="J169" s="14"/>
      <c r="K169" s="25"/>
      <c r="L169" s="8"/>
      <c r="M169" s="9"/>
      <c r="N169" s="9"/>
      <c r="O169" s="9"/>
      <c r="P169" s="9"/>
      <c r="Q169" s="9"/>
      <c r="R169" s="10"/>
      <c r="S169" s="10"/>
      <c r="T169" s="10"/>
      <c r="U169" s="106"/>
      <c r="V169" s="10"/>
      <c r="W169" s="10"/>
      <c r="X169" s="10"/>
      <c r="Y169" s="10"/>
      <c r="Z169" s="61"/>
      <c r="AA169" s="55"/>
      <c r="AB169" s="55"/>
      <c r="AC169" s="14"/>
      <c r="AD169" s="4"/>
      <c r="AF169" s="298">
        <f>SUMIF(X:X, "D", H:H)</f>
        <v>0</v>
      </c>
      <c r="AG169" s="283" t="s">
        <v>69</v>
      </c>
      <c r="AH169" s="341" t="e">
        <f t="shared" si="0"/>
        <v>#DIV/0!</v>
      </c>
      <c r="AI169" s="290"/>
      <c r="AJ169" s="297" t="s">
        <v>883</v>
      </c>
      <c r="AK169" s="297"/>
    </row>
    <row r="170" spans="1:37" ht="23.25" customHeight="1">
      <c r="A170" s="2" t="str">
        <f t="array" ref="A170">IFERROR(INDEX('Bank Schedule'!A:A, SMALL(IF('Bank Schedule'!$K$2:$K$825="Vacant", ROW('Bank Schedule'!$K$2:$K$825)), ROW(167:167))), "")</f>
        <v/>
      </c>
      <c r="B170" s="11" t="str">
        <f t="array" ref="B170">IFERROR(INDEX('Bank Schedule'!B:B, SMALL(IF('Bank Schedule'!$K$2:$K$825="Vacant", ROW('Bank Schedule'!$K$2:$K$825)), ROW(167:167))), "")</f>
        <v/>
      </c>
      <c r="C170" s="11" t="str">
        <f t="array" ref="C170">IFERROR(INDEX('Bank Schedule'!C:C, SMALL(IF('Bank Schedule'!$K$2:$K$825="Vacant", ROW('Bank Schedule'!$K$2:$K$825)), ROW(167:167))), "")</f>
        <v/>
      </c>
      <c r="D170" s="2" t="str">
        <f t="array" ref="D170">IFERROR(INDEX('Bank Schedule'!D:D, SMALL(IF('Bank Schedule'!$K$2:$K$825="Vacant", ROW('Bank Schedule'!$K$2:$K$825)), ROW(167:167))), "")</f>
        <v/>
      </c>
      <c r="E170" s="4"/>
      <c r="F170" s="4"/>
      <c r="G170" s="14"/>
      <c r="H170" s="7"/>
      <c r="I170" s="7"/>
      <c r="J170" s="14"/>
      <c r="K170" s="25"/>
      <c r="L170" s="8"/>
      <c r="M170" s="9"/>
      <c r="N170" s="9"/>
      <c r="O170" s="9"/>
      <c r="P170" s="9"/>
      <c r="Q170" s="9"/>
      <c r="R170" s="10"/>
      <c r="S170" s="10"/>
      <c r="T170" s="10"/>
      <c r="U170" s="106"/>
      <c r="V170" s="10"/>
      <c r="W170" s="10"/>
      <c r="X170" s="10"/>
      <c r="Y170" s="10"/>
      <c r="Z170" s="61"/>
      <c r="AA170" s="55"/>
      <c r="AB170" s="55"/>
      <c r="AC170" s="14"/>
      <c r="AD170" s="14"/>
      <c r="AE170" s="14"/>
      <c r="AF170" s="298">
        <f>SUMIF(X:X, "E", H:H)</f>
        <v>0</v>
      </c>
      <c r="AG170" s="283" t="s">
        <v>76</v>
      </c>
      <c r="AH170" s="341" t="e">
        <f t="shared" si="0"/>
        <v>#DIV/0!</v>
      </c>
      <c r="AI170" s="290"/>
      <c r="AJ170" s="297"/>
      <c r="AK170" s="297"/>
    </row>
    <row r="171" spans="1:37" ht="23.25" customHeight="1">
      <c r="A171" s="2" t="str">
        <f t="array" ref="A171">IFERROR(INDEX('Bank Schedule'!A:A, SMALL(IF('Bank Schedule'!$K$2:$K$825="Vacant", ROW('Bank Schedule'!$K$2:$K$825)), ROW(168:168))), "")</f>
        <v/>
      </c>
      <c r="B171" s="11" t="str">
        <f t="array" ref="B171">IFERROR(INDEX('Bank Schedule'!B:B, SMALL(IF('Bank Schedule'!$K$2:$K$825="Vacant", ROW('Bank Schedule'!$K$2:$K$825)), ROW(168:168))), "")</f>
        <v/>
      </c>
      <c r="C171" s="11" t="str">
        <f t="array" ref="C171">IFERROR(INDEX('Bank Schedule'!C:C, SMALL(IF('Bank Schedule'!$K$2:$K$825="Vacant", ROW('Bank Schedule'!$K$2:$K$825)), ROW(168:168))), "")</f>
        <v/>
      </c>
      <c r="D171" s="2" t="str">
        <f t="array" ref="D171">IFERROR(INDEX('Bank Schedule'!D:D, SMALL(IF('Bank Schedule'!$K$2:$K$825="Vacant", ROW('Bank Schedule'!$K$2:$K$825)), ROW(168:168))), "")</f>
        <v/>
      </c>
      <c r="E171" s="4"/>
      <c r="F171" s="4"/>
      <c r="G171" s="14"/>
      <c r="H171" s="7"/>
      <c r="I171" s="7"/>
      <c r="J171" s="14"/>
      <c r="K171" s="25"/>
      <c r="L171" s="8"/>
      <c r="M171" s="9"/>
      <c r="N171" s="9"/>
      <c r="O171" s="9"/>
      <c r="P171" s="9"/>
      <c r="Q171" s="9"/>
      <c r="R171" s="10"/>
      <c r="S171" s="10"/>
      <c r="T171" s="10"/>
      <c r="U171" s="106"/>
      <c r="V171" s="10"/>
      <c r="W171" s="10"/>
      <c r="X171" s="10"/>
      <c r="Y171" s="10"/>
      <c r="Z171" s="61"/>
      <c r="AA171" s="55"/>
      <c r="AB171" s="55"/>
      <c r="AF171" s="298">
        <f>SUMIF(X:X, "0", H:H)</f>
        <v>0</v>
      </c>
      <c r="AG171" s="294">
        <v>0</v>
      </c>
      <c r="AH171" s="344" t="e">
        <f t="shared" si="0"/>
        <v>#DIV/0!</v>
      </c>
      <c r="AI171" s="290"/>
      <c r="AJ171" s="295">
        <f>SUM(AF168:AF171)</f>
        <v>0</v>
      </c>
      <c r="AK171" s="115" t="s">
        <v>884</v>
      </c>
    </row>
    <row r="172" spans="1:37" ht="23.25" customHeight="1">
      <c r="A172" s="2" t="str">
        <f t="array" ref="A172">IFERROR(INDEX('Bank Schedule'!A:A, SMALL(IF('Bank Schedule'!$K$2:$K$825="Vacant", ROW('Bank Schedule'!$K$2:$K$825)), ROW(169:169))), "")</f>
        <v/>
      </c>
      <c r="B172" s="11" t="str">
        <f t="array" ref="B172">IFERROR(INDEX('Bank Schedule'!B:B, SMALL(IF('Bank Schedule'!$K$2:$K$825="Vacant", ROW('Bank Schedule'!$K$2:$K$825)), ROW(169:169))), "")</f>
        <v/>
      </c>
      <c r="C172" s="11" t="str">
        <f t="array" ref="C172">IFERROR(INDEX('Bank Schedule'!C:C, SMALL(IF('Bank Schedule'!$K$2:$K$825="Vacant", ROW('Bank Schedule'!$K$2:$K$825)), ROW(169:169))), "")</f>
        <v/>
      </c>
      <c r="D172" s="2" t="str">
        <f t="array" ref="D172">IFERROR(INDEX('Bank Schedule'!D:D, SMALL(IF('Bank Schedule'!$K$2:$K$825="Vacant", ROW('Bank Schedule'!$K$2:$K$825)), ROW(169:169))), "")</f>
        <v/>
      </c>
      <c r="E172" s="4"/>
      <c r="F172" s="4"/>
      <c r="G172" s="14"/>
      <c r="H172" s="7"/>
      <c r="I172" s="7"/>
      <c r="J172" s="14"/>
      <c r="K172" s="25"/>
      <c r="L172" s="8"/>
      <c r="M172" s="9"/>
      <c r="N172" s="9"/>
      <c r="O172" s="9"/>
      <c r="P172" s="9"/>
      <c r="Q172" s="9"/>
      <c r="R172" s="10"/>
      <c r="S172" s="10"/>
      <c r="T172" s="10"/>
      <c r="U172" s="106"/>
      <c r="V172" s="10"/>
      <c r="W172" s="10"/>
      <c r="X172" s="10"/>
      <c r="Y172" s="10"/>
      <c r="Z172" s="61"/>
      <c r="AA172" s="55"/>
      <c r="AB172" s="55"/>
      <c r="AD172" s="4"/>
      <c r="AF172" s="321">
        <f>SUM(AF166:AF171)</f>
        <v>0</v>
      </c>
      <c r="AG172" s="296" t="s">
        <v>885</v>
      </c>
      <c r="AH172" s="342" t="e">
        <f>SUM(AH166:AH171)</f>
        <v>#DIV/0!</v>
      </c>
      <c r="AI172" s="264"/>
    </row>
    <row r="173" spans="1:37" ht="23.25" customHeight="1">
      <c r="A173" s="2" t="str">
        <f t="array" ref="A173">IFERROR(INDEX('Bank Schedule'!A:A, SMALL(IF('Bank Schedule'!$K$2:$K$825="Vacant", ROW('Bank Schedule'!$K$2:$K$825)), ROW(170:170))), "")</f>
        <v/>
      </c>
      <c r="B173" s="11" t="str">
        <f t="array" ref="B173">IFERROR(INDEX('Bank Schedule'!B:B, SMALL(IF('Bank Schedule'!$K$2:$K$825="Vacant", ROW('Bank Schedule'!$K$2:$K$825)), ROW(170:170))), "")</f>
        <v/>
      </c>
      <c r="C173" s="11" t="str">
        <f t="array" ref="C173">IFERROR(INDEX('Bank Schedule'!C:C, SMALL(IF('Bank Schedule'!$K$2:$K$825="Vacant", ROW('Bank Schedule'!$K$2:$K$825)), ROW(170:170))), "")</f>
        <v/>
      </c>
      <c r="D173" s="2" t="str">
        <f t="array" ref="D173">IFERROR(INDEX('Bank Schedule'!D:D, SMALL(IF('Bank Schedule'!$K$2:$K$825="Vacant", ROW('Bank Schedule'!$K$2:$K$825)), ROW(170:170))), "")</f>
        <v/>
      </c>
      <c r="E173" s="4"/>
      <c r="F173" s="4"/>
      <c r="G173" s="14"/>
      <c r="H173" s="7"/>
      <c r="I173" s="7"/>
      <c r="J173" s="14"/>
      <c r="K173" s="25"/>
      <c r="L173" s="8"/>
      <c r="M173" s="9"/>
      <c r="N173" s="9"/>
      <c r="O173" s="9"/>
      <c r="P173" s="9"/>
      <c r="Q173" s="9"/>
      <c r="R173" s="10"/>
      <c r="S173" s="10"/>
      <c r="T173" s="10"/>
      <c r="U173" s="106"/>
      <c r="V173" s="10"/>
      <c r="W173" s="10"/>
      <c r="X173" s="10"/>
      <c r="Y173" s="10"/>
      <c r="Z173" s="61"/>
      <c r="AA173" s="55"/>
      <c r="AB173" s="55"/>
      <c r="AD173" s="4"/>
    </row>
    <row r="174" spans="1:37" ht="23.25" customHeight="1">
      <c r="A174" s="2" t="str">
        <f t="array" ref="A174">IFERROR(INDEX('Bank Schedule'!A:A, SMALL(IF('Bank Schedule'!$K$2:$K$825="Vacant", ROW('Bank Schedule'!$K$2:$K$825)), ROW(171:171))), "")</f>
        <v/>
      </c>
      <c r="B174" s="11" t="str">
        <f t="array" ref="B174">IFERROR(INDEX('Bank Schedule'!B:B, SMALL(IF('Bank Schedule'!$K$2:$K$825="Vacant", ROW('Bank Schedule'!$K$2:$K$825)), ROW(171:171))), "")</f>
        <v/>
      </c>
      <c r="C174" s="11" t="str">
        <f t="array" ref="C174">IFERROR(INDEX('Bank Schedule'!C:C, SMALL(IF('Bank Schedule'!$K$2:$K$825="Vacant", ROW('Bank Schedule'!$K$2:$K$825)), ROW(171:171))), "")</f>
        <v/>
      </c>
      <c r="D174" s="2" t="str">
        <f t="array" ref="D174">IFERROR(INDEX('Bank Schedule'!D:D, SMALL(IF('Bank Schedule'!$K$2:$K$825="Vacant", ROW('Bank Schedule'!$K$2:$K$825)), ROW(171:171))), "")</f>
        <v/>
      </c>
      <c r="E174" s="4"/>
      <c r="F174" s="4"/>
      <c r="G174" s="14"/>
      <c r="H174" s="7"/>
      <c r="I174" s="7"/>
      <c r="J174" s="14"/>
      <c r="K174" s="25"/>
      <c r="L174" s="8"/>
      <c r="M174" s="9"/>
      <c r="N174" s="9"/>
      <c r="O174" s="9"/>
      <c r="P174" s="9"/>
      <c r="Q174" s="9"/>
      <c r="R174" s="10"/>
      <c r="S174" s="10"/>
      <c r="T174" s="10"/>
      <c r="U174" s="106"/>
      <c r="V174" s="10"/>
      <c r="W174" s="10"/>
      <c r="X174" s="10"/>
      <c r="Y174" s="10"/>
      <c r="Z174" s="61"/>
      <c r="AA174" s="55"/>
      <c r="AB174" s="55"/>
      <c r="AC174" s="14"/>
      <c r="AD174" s="4"/>
    </row>
    <row r="175" spans="1:37" ht="23.25" customHeight="1">
      <c r="A175" s="2" t="str">
        <f t="array" ref="A175">IFERROR(INDEX('Bank Schedule'!A:A, SMALL(IF('Bank Schedule'!$K$2:$K$825="Vacant", ROW('Bank Schedule'!$K$2:$K$825)), ROW(172:172))), "")</f>
        <v/>
      </c>
      <c r="B175" s="11" t="str">
        <f t="array" ref="B175">IFERROR(INDEX('Bank Schedule'!B:B, SMALL(IF('Bank Schedule'!$K$2:$K$825="Vacant", ROW('Bank Schedule'!$K$2:$K$825)), ROW(172:172))), "")</f>
        <v/>
      </c>
      <c r="C175" s="11" t="str">
        <f t="array" ref="C175">IFERROR(INDEX('Bank Schedule'!C:C, SMALL(IF('Bank Schedule'!$K$2:$K$825="Vacant", ROW('Bank Schedule'!$K$2:$K$825)), ROW(172:172))), "")</f>
        <v/>
      </c>
      <c r="D175" s="2" t="str">
        <f t="array" ref="D175">IFERROR(INDEX('Bank Schedule'!D:D, SMALL(IF('Bank Schedule'!$K$2:$K$825="Vacant", ROW('Bank Schedule'!$K$2:$K$825)), ROW(172:172))), "")</f>
        <v/>
      </c>
      <c r="E175" s="4"/>
      <c r="F175" s="4"/>
      <c r="G175" s="14"/>
      <c r="H175" s="7"/>
      <c r="I175" s="7"/>
      <c r="J175" s="14"/>
      <c r="K175" s="25"/>
      <c r="L175" s="8"/>
      <c r="M175" s="9"/>
      <c r="N175" s="9"/>
      <c r="O175" s="9"/>
      <c r="P175" s="9"/>
      <c r="Q175" s="9"/>
      <c r="R175" s="10"/>
      <c r="S175" s="10"/>
      <c r="T175" s="10"/>
      <c r="U175" s="106"/>
      <c r="V175" s="10"/>
      <c r="W175" s="10"/>
      <c r="X175" s="10"/>
      <c r="Y175" s="10"/>
      <c r="Z175" s="61"/>
      <c r="AA175" s="55"/>
      <c r="AB175" s="55"/>
      <c r="AC175" s="14"/>
      <c r="AD175" s="4"/>
    </row>
    <row r="176" spans="1:37" ht="23.25" customHeight="1">
      <c r="A176" s="2" t="str">
        <f t="array" ref="A176">IFERROR(INDEX('Bank Schedule'!A:A, SMALL(IF('Bank Schedule'!$K$2:$K$825="Vacant", ROW('Bank Schedule'!$K$2:$K$825)), ROW(173:173))), "")</f>
        <v/>
      </c>
      <c r="B176" s="11" t="str">
        <f t="array" ref="B176">IFERROR(INDEX('Bank Schedule'!B:B, SMALL(IF('Bank Schedule'!$K$2:$K$825="Vacant", ROW('Bank Schedule'!$K$2:$K$825)), ROW(173:173))), "")</f>
        <v/>
      </c>
      <c r="C176" s="11" t="str">
        <f t="array" ref="C176">IFERROR(INDEX('Bank Schedule'!C:C, SMALL(IF('Bank Schedule'!$K$2:$K$825="Vacant", ROW('Bank Schedule'!$K$2:$K$825)), ROW(173:173))), "")</f>
        <v/>
      </c>
      <c r="D176" s="2" t="str">
        <f t="array" ref="D176">IFERROR(INDEX('Bank Schedule'!D:D, SMALL(IF('Bank Schedule'!$K$2:$K$825="Vacant", ROW('Bank Schedule'!$K$2:$K$825)), ROW(173:173))), "")</f>
        <v/>
      </c>
      <c r="E176" s="4"/>
      <c r="F176" s="4"/>
      <c r="G176" s="14"/>
      <c r="H176" s="7"/>
      <c r="I176" s="7"/>
      <c r="J176" s="14"/>
      <c r="K176" s="25"/>
      <c r="L176" s="8"/>
      <c r="M176" s="9"/>
      <c r="N176" s="9"/>
      <c r="O176" s="9"/>
      <c r="P176" s="9"/>
      <c r="Q176" s="9"/>
      <c r="R176" s="10"/>
      <c r="S176" s="10"/>
      <c r="T176" s="10"/>
      <c r="U176" s="106"/>
      <c r="V176" s="10"/>
      <c r="W176" s="10"/>
      <c r="X176" s="10"/>
      <c r="Y176" s="10"/>
      <c r="Z176" s="61"/>
      <c r="AA176" s="55"/>
      <c r="AB176" s="55"/>
      <c r="AC176" s="14"/>
      <c r="AD176" s="4"/>
    </row>
    <row r="177" spans="1:36" ht="23.25" customHeight="1">
      <c r="A177" s="2" t="str">
        <f t="array" ref="A177">IFERROR(INDEX('Bank Schedule'!A:A, SMALL(IF('Bank Schedule'!$K$2:$K$825="Vacant", ROW('Bank Schedule'!$K$2:$K$825)), ROW(174:174))), "")</f>
        <v/>
      </c>
      <c r="B177" s="11" t="str">
        <f t="array" ref="B177">IFERROR(INDEX('Bank Schedule'!B:B, SMALL(IF('Bank Schedule'!$K$2:$K$825="Vacant", ROW('Bank Schedule'!$K$2:$K$825)), ROW(174:174))), "")</f>
        <v/>
      </c>
      <c r="C177" s="11" t="str">
        <f t="array" ref="C177">IFERROR(INDEX('Bank Schedule'!C:C, SMALL(IF('Bank Schedule'!$K$2:$K$825="Vacant", ROW('Bank Schedule'!$K$2:$K$825)), ROW(174:174))), "")</f>
        <v/>
      </c>
      <c r="D177" s="2" t="str">
        <f t="array" ref="D177">IFERROR(INDEX('Bank Schedule'!D:D, SMALL(IF('Bank Schedule'!$K$2:$K$825="Vacant", ROW('Bank Schedule'!$K$2:$K$825)), ROW(174:174))), "")</f>
        <v/>
      </c>
      <c r="E177" s="4"/>
      <c r="F177" s="4"/>
      <c r="G177" s="14"/>
      <c r="H177" s="7"/>
      <c r="I177" s="7"/>
      <c r="J177" s="14"/>
      <c r="K177" s="25"/>
      <c r="L177" s="8"/>
      <c r="M177" s="9"/>
      <c r="N177" s="9"/>
      <c r="O177" s="9"/>
      <c r="P177" s="9"/>
      <c r="Q177" s="9"/>
      <c r="R177" s="10"/>
      <c r="S177" s="10"/>
      <c r="T177" s="10"/>
      <c r="U177" s="106"/>
      <c r="V177" s="10"/>
      <c r="W177" s="10"/>
      <c r="X177" s="10"/>
      <c r="Y177" s="10"/>
      <c r="Z177" s="61"/>
      <c r="AA177" s="55"/>
      <c r="AB177" s="55"/>
      <c r="AC177" s="14"/>
      <c r="AD177" s="4"/>
    </row>
    <row r="178" spans="1:36" ht="23.25" customHeight="1">
      <c r="A178" s="2" t="str">
        <f t="array" ref="A178">IFERROR(INDEX('Bank Schedule'!A:A, SMALL(IF('Bank Schedule'!$K$2:$K$825="Vacant", ROW('Bank Schedule'!$K$2:$K$825)), ROW(175:175))), "")</f>
        <v/>
      </c>
      <c r="B178" s="11" t="str">
        <f t="array" ref="B178">IFERROR(INDEX('Bank Schedule'!B:B, SMALL(IF('Bank Schedule'!$K$2:$K$825="Vacant", ROW('Bank Schedule'!$K$2:$K$825)), ROW(175:175))), "")</f>
        <v/>
      </c>
      <c r="C178" s="11" t="str">
        <f t="array" ref="C178">IFERROR(INDEX('Bank Schedule'!C:C, SMALL(IF('Bank Schedule'!$K$2:$K$825="Vacant", ROW('Bank Schedule'!$K$2:$K$825)), ROW(175:175))), "")</f>
        <v/>
      </c>
      <c r="D178" s="2" t="str">
        <f t="array" ref="D178">IFERROR(INDEX('Bank Schedule'!D:D, SMALL(IF('Bank Schedule'!$K$2:$K$825="Vacant", ROW('Bank Schedule'!$K$2:$K$825)), ROW(175:175))), "")</f>
        <v/>
      </c>
      <c r="E178" s="4"/>
      <c r="F178" s="4"/>
      <c r="G178" s="14"/>
      <c r="H178" s="7"/>
      <c r="I178" s="7"/>
      <c r="J178" s="14"/>
      <c r="K178" s="25"/>
      <c r="L178" s="8"/>
      <c r="M178" s="9"/>
      <c r="N178" s="9"/>
      <c r="O178" s="9"/>
      <c r="P178" s="9"/>
      <c r="Q178" s="9"/>
      <c r="R178" s="10"/>
      <c r="S178" s="10"/>
      <c r="T178" s="10"/>
      <c r="U178" s="106"/>
      <c r="V178" s="10"/>
      <c r="W178" s="10"/>
      <c r="X178" s="10"/>
      <c r="Y178" s="10"/>
      <c r="Z178" s="61"/>
      <c r="AA178" s="55"/>
      <c r="AB178" s="55"/>
      <c r="AC178" s="14"/>
      <c r="AD178" s="4"/>
    </row>
    <row r="179" spans="1:36" ht="23.25" customHeight="1">
      <c r="A179" s="2" t="str">
        <f t="array" ref="A179">IFERROR(INDEX('Bank Schedule'!A:A, SMALL(IF('Bank Schedule'!$K$2:$K$825="Vacant", ROW('Bank Schedule'!$K$2:$K$825)), ROW(176:176))), "")</f>
        <v/>
      </c>
      <c r="B179" s="11" t="str">
        <f t="array" ref="B179">IFERROR(INDEX('Bank Schedule'!B:B, SMALL(IF('Bank Schedule'!$K$2:$K$825="Vacant", ROW('Bank Schedule'!$K$2:$K$825)), ROW(176:176))), "")</f>
        <v/>
      </c>
      <c r="C179" s="11" t="str">
        <f t="array" ref="C179">IFERROR(INDEX('Bank Schedule'!C:C, SMALL(IF('Bank Schedule'!$K$2:$K$825="Vacant", ROW('Bank Schedule'!$K$2:$K$825)), ROW(176:176))), "")</f>
        <v/>
      </c>
      <c r="D179" s="2" t="str">
        <f t="array" ref="D179">IFERROR(INDEX('Bank Schedule'!D:D, SMALL(IF('Bank Schedule'!$K$2:$K$825="Vacant", ROW('Bank Schedule'!$K$2:$K$825)), ROW(176:176))), "")</f>
        <v/>
      </c>
      <c r="E179" s="4"/>
      <c r="F179" s="4"/>
      <c r="G179" s="14"/>
      <c r="H179" s="7"/>
      <c r="I179" s="7"/>
      <c r="J179" s="14"/>
      <c r="K179" s="25"/>
      <c r="L179" s="8"/>
      <c r="M179" s="9"/>
      <c r="N179" s="9"/>
      <c r="O179" s="9"/>
      <c r="P179" s="9"/>
      <c r="Q179" s="9"/>
      <c r="R179" s="10"/>
      <c r="S179" s="10"/>
      <c r="T179" s="10"/>
      <c r="U179" s="106"/>
      <c r="V179" s="10"/>
      <c r="W179" s="10"/>
      <c r="X179" s="10"/>
      <c r="Y179" s="10"/>
      <c r="Z179" s="61"/>
      <c r="AA179" s="55"/>
      <c r="AB179" s="55"/>
      <c r="AC179" s="14"/>
      <c r="AD179" s="4"/>
    </row>
    <row r="180" spans="1:36" ht="23.25" customHeight="1">
      <c r="A180" s="2" t="str">
        <f t="array" ref="A180">IFERROR(INDEX('Bank Schedule'!A:A, SMALL(IF('Bank Schedule'!$K$2:$K$825="Vacant", ROW('Bank Schedule'!$K$2:$K$825)), ROW(177:177))), "")</f>
        <v/>
      </c>
      <c r="B180" s="11" t="str">
        <f t="array" ref="B180">IFERROR(INDEX('Bank Schedule'!B:B, SMALL(IF('Bank Schedule'!$K$2:$K$825="Vacant", ROW('Bank Schedule'!$K$2:$K$825)), ROW(177:177))), "")</f>
        <v/>
      </c>
      <c r="C180" s="11" t="str">
        <f t="array" ref="C180">IFERROR(INDEX('Bank Schedule'!C:C, SMALL(IF('Bank Schedule'!$K$2:$K$825="Vacant", ROW('Bank Schedule'!$K$2:$K$825)), ROW(177:177))), "")</f>
        <v/>
      </c>
      <c r="D180" s="2" t="str">
        <f t="array" ref="D180">IFERROR(INDEX('Bank Schedule'!D:D, SMALL(IF('Bank Schedule'!$K$2:$K$825="Vacant", ROW('Bank Schedule'!$K$2:$K$825)), ROW(177:177))), "")</f>
        <v/>
      </c>
      <c r="E180" s="4"/>
      <c r="F180" s="4"/>
      <c r="G180" s="14"/>
      <c r="H180" s="7"/>
      <c r="I180" s="7"/>
      <c r="J180" s="14"/>
      <c r="K180" s="25"/>
      <c r="L180" s="8"/>
      <c r="M180" s="9"/>
      <c r="N180" s="9"/>
      <c r="O180" s="9"/>
      <c r="P180" s="9"/>
      <c r="Q180" s="9"/>
      <c r="R180" s="10"/>
      <c r="S180" s="10"/>
      <c r="T180" s="10"/>
      <c r="U180" s="106"/>
      <c r="V180" s="10"/>
      <c r="W180" s="10"/>
      <c r="X180" s="10"/>
      <c r="Y180" s="10"/>
      <c r="Z180" s="61"/>
      <c r="AA180" s="55"/>
      <c r="AB180" s="55"/>
      <c r="AC180" s="14"/>
      <c r="AD180" s="4"/>
      <c r="AI180" s="264"/>
      <c r="AJ180" s="264"/>
    </row>
    <row r="181" spans="1:36" ht="23.25" customHeight="1">
      <c r="A181" s="2" t="str">
        <f t="array" ref="A181">IFERROR(INDEX('Bank Schedule'!A:A, SMALL(IF('Bank Schedule'!$K$2:$K$825="Vacant", ROW('Bank Schedule'!$K$2:$K$825)), ROW(178:178))), "")</f>
        <v/>
      </c>
      <c r="B181" s="11" t="str">
        <f t="array" ref="B181">IFERROR(INDEX('Bank Schedule'!B:B, SMALL(IF('Bank Schedule'!$K$2:$K$825="Vacant", ROW('Bank Schedule'!$K$2:$K$825)), ROW(178:178))), "")</f>
        <v/>
      </c>
      <c r="C181" s="11" t="str">
        <f t="array" ref="C181">IFERROR(INDEX('Bank Schedule'!C:C, SMALL(IF('Bank Schedule'!$K$2:$K$825="Vacant", ROW('Bank Schedule'!$K$2:$K$825)), ROW(178:178))), "")</f>
        <v/>
      </c>
      <c r="D181" s="2" t="str">
        <f t="array" ref="D181">IFERROR(INDEX('Bank Schedule'!D:D, SMALL(IF('Bank Schedule'!$K$2:$K$825="Vacant", ROW('Bank Schedule'!$K$2:$K$825)), ROW(178:178))), "")</f>
        <v/>
      </c>
      <c r="E181" s="4" t="str">
        <f t="array" ref="E181">IFERROR(INDEX('Bank Schedule'!E:E, SMALL(IF('Bank Schedule'!$K$2:$K$825="Vacant", ROW('Bank Schedule'!$K$2:$K$825)), ROW(178:178))), "")</f>
        <v/>
      </c>
      <c r="F181" s="4" t="str">
        <f t="array" ref="F181">IFERROR(INDEX('Bank Schedule'!F:F, SMALL(IF('Bank Schedule'!$K$2:$K$825="Vacant", ROW('Bank Schedule'!$K$2:$K$825)), ROW(178:178))), "")</f>
        <v/>
      </c>
      <c r="G181" s="14" t="str">
        <f t="array" ref="G181">IFERROR(INDEX('Bank Schedule'!G:G, SMALL(IF('Bank Schedule'!$K$2:$K$825="Vacant", ROW('Bank Schedule'!$K$2:$K$825)), ROW(178:178))), "")</f>
        <v/>
      </c>
      <c r="H181" s="7" t="str">
        <f t="array" ref="H181">IFERROR(INDEX('Bank Schedule'!H:H, SMALL(IF('Bank Schedule'!$K$2:$K$825="Vacant", ROW('Bank Schedule'!$K$2:$K$825)), ROW(178:178))), "")</f>
        <v/>
      </c>
      <c r="I181" s="7" t="str">
        <f t="array" ref="I181">IFERROR(INDEX('Bank Schedule'!I:I, SMALL(IF('Bank Schedule'!$K$2:$K$825="Vacant", ROW('Bank Schedule'!$K$2:$K$825)), ROW(178:178))), "")</f>
        <v/>
      </c>
      <c r="J181" s="14" t="str">
        <f t="array" ref="J181">IFERROR(INDEX('Bank Schedule'!K:K, SMALL(IF('Bank Schedule'!$K$2:$K$825="Vacant", ROW('Bank Schedule'!$K$2:$K$825)), ROW(178:178))), "")</f>
        <v/>
      </c>
      <c r="K181" s="25" t="str">
        <f t="array" ref="K181">IFERROR(INDEX('Bank Schedule'!#REF!, SMALL(IF('Bank Schedule'!$K$2:$K$825="Vacant", ROW('Bank Schedule'!$K$2:$K$825)), ROW(178:178))), "")</f>
        <v/>
      </c>
      <c r="L181" s="8" t="str">
        <f t="array" ref="L181">IFERROR(INDEX('Bank Schedule'!L:L, SMALL(IF('Bank Schedule'!$K$2:$K$825="Vacant", ROW('Bank Schedule'!$K$2:$K$825)), ROW(178:178))), "")</f>
        <v/>
      </c>
      <c r="M181" s="9" t="str">
        <f t="array" ref="M181">IFERROR(INDEX('Bank Schedule'!M:M, SMALL(IF('Bank Schedule'!$K$2:$K$825="Vacant", ROW('Bank Schedule'!$K$2:$K$825)), ROW(178:178))), "")</f>
        <v/>
      </c>
      <c r="N181" s="9" t="str">
        <f t="array" ref="N181">IFERROR(INDEX('Bank Schedule'!N:N, SMALL(IF('Bank Schedule'!$K$2:$K$825="Vacant", ROW('Bank Schedule'!$K$2:$K$825)), ROW(178:178))), "")</f>
        <v/>
      </c>
      <c r="O181" s="9" t="str">
        <f t="array" ref="O181">IFERROR(INDEX('Bank Schedule'!O:O, SMALL(IF('Bank Schedule'!$K$2:$K$825="Vacant", ROW('Bank Schedule'!$K$2:$K$825)), ROW(178:178))), "")</f>
        <v/>
      </c>
      <c r="P181" s="9" t="str">
        <f t="array" ref="P181">IFERROR(INDEX('Bank Schedule'!P:P, SMALL(IF('Bank Schedule'!$K$2:$K$825="Vacant", ROW('Bank Schedule'!$K$2:$K$825)), ROW(178:178))), "")</f>
        <v/>
      </c>
      <c r="Q181" s="9" t="str">
        <f t="array" ref="Q181">IFERROR(INDEX('Bank Schedule'!#REF!, SMALL(IF('Bank Schedule'!$K$2:$K$825="Vacant", ROW('Bank Schedule'!$K$2:$K$825)), ROW(178:178))), "")</f>
        <v/>
      </c>
      <c r="R181" s="10" t="str">
        <f t="array" ref="R181">IFERROR(INDEX('Bank Schedule'!Q:Q, SMALL(IF('Bank Schedule'!$K$2:$K$825="Vacant", ROW('Bank Schedule'!$K$2:$K$825)), ROW(178:178))), "")</f>
        <v/>
      </c>
      <c r="S181" s="10" t="str">
        <f t="array" ref="S181">IFERROR(INDEX('Bank Schedule'!R:R, SMALL(IF('Bank Schedule'!$K$2:$K$825="Vacant", ROW('Bank Schedule'!$K$2:$K$825)), ROW(178:178))), "")</f>
        <v/>
      </c>
      <c r="T181" s="10" t="str">
        <f t="array" ref="T181">IFERROR(INDEX('Bank Schedule'!S:S, SMALL(IF('Bank Schedule'!$K$2:$K$825="Vacant", ROW('Bank Schedule'!$K$2:$K$825)), ROW(178:178))), "")</f>
        <v/>
      </c>
      <c r="U181" s="106" t="str">
        <f t="array" ref="U181">IFERROR(INDEX('Bank Schedule'!#REF!, SMALL(IF('Bank Schedule'!$K$2:$K$825="Vacant", ROW('Bank Schedule'!$K$2:$K$825)), ROW(178:178))), "")</f>
        <v/>
      </c>
      <c r="V181" s="10" t="str">
        <f t="array" ref="V181">IFERROR(INDEX('Bank Schedule'!#REF!, SMALL(IF('Bank Schedule'!$K$2:$K$825="Vacant", ROW('Bank Schedule'!$K$2:$K$825)), ROW(178:178))), "")</f>
        <v/>
      </c>
      <c r="W181" s="10" t="str">
        <f t="array" ref="W181">IFERROR(INDEX('Bank Schedule'!#REF!, SMALL(IF('Bank Schedule'!$K$2:$K$825="Vacant", ROW('Bank Schedule'!$K$2:$K$825)), ROW(178:178))), "")</f>
        <v/>
      </c>
      <c r="X181" s="10" t="str">
        <f t="array" ref="X181">IFERROR(INDEX('Bank Schedule'!V:V, SMALL(IF('Bank Schedule'!$K$2:$K$825="Vacant", ROW('Bank Schedule'!$K$2:$K$825)), ROW(178:178))), "")</f>
        <v/>
      </c>
      <c r="Y181" s="10" t="str">
        <f t="array" ref="Y181">IFERROR(INDEX('Bank Schedule'!W:W, SMALL(IF('Bank Schedule'!$K$2:$K$825="Vacant", ROW('Bank Schedule'!$K$2:$K$825)), ROW(178:178))), "")</f>
        <v/>
      </c>
      <c r="Z181" s="61" t="str">
        <f t="array" ref="Z181">IFERROR(INDEX('Bank Schedule'!Z:Z, SMALL(IF('Bank Schedule'!$K$2:$K$825="Vacant", ROW('Bank Schedule'!$K$2:$K$825)), ROW(178:178))), "")</f>
        <v/>
      </c>
      <c r="AA181" s="55" t="str">
        <f t="array" ref="AA181">IFERROR(INDEX('Bank Schedule'!AA:AA, SMALL(IF('Bank Schedule'!$K$2:$K$825="Vacant", ROW('Bank Schedule'!$K$2:$K$825)), ROW(178:178))), "")</f>
        <v/>
      </c>
      <c r="AB181" s="14" t="str">
        <f t="array" ref="AB181">IFERROR(INDEX('Bank Schedule'!AB:AB, SMALL(IF('Bank Schedule'!$K$2:$K$825="Vacant", ROW('Bank Schedule'!$K$2:$K$825)), ROW(178:178))), "")</f>
        <v/>
      </c>
      <c r="AC181" s="4" t="str">
        <f t="array" ref="AC181">IFERROR(INDEX('Bank Schedule'!AC:AC, SMALL(IF('Bank Schedule'!$K$2:$K$825="Vacant", ROW('Bank Schedule'!$K$2:$K$825)), ROW(178:178))), "")</f>
        <v/>
      </c>
    </row>
    <row r="182" spans="1:36" ht="23.25" customHeight="1">
      <c r="A182" s="2" t="str">
        <f t="array" ref="A182">IFERROR(INDEX('Bank Schedule'!A:A, SMALL(IF('Bank Schedule'!$K$2:$K$825="Vacant", ROW('Bank Schedule'!$K$2:$K$825)), ROW(179:179))), "")</f>
        <v/>
      </c>
      <c r="B182" s="11" t="str">
        <f t="array" ref="B182">IFERROR(INDEX('Bank Schedule'!B:B, SMALL(IF('Bank Schedule'!$K$2:$K$825="Vacant", ROW('Bank Schedule'!$K$2:$K$825)), ROW(179:179))), "")</f>
        <v/>
      </c>
      <c r="C182" s="11" t="str">
        <f t="array" ref="C182">IFERROR(INDEX('Bank Schedule'!C:C, SMALL(IF('Bank Schedule'!$K$2:$K$825="Vacant", ROW('Bank Schedule'!$K$2:$K$825)), ROW(179:179))), "")</f>
        <v/>
      </c>
      <c r="D182" s="2" t="str">
        <f t="array" ref="D182">IFERROR(INDEX('Bank Schedule'!D:D, SMALL(IF('Bank Schedule'!$K$2:$K$825="Vacant", ROW('Bank Schedule'!$K$2:$K$825)), ROW(179:179))), "")</f>
        <v/>
      </c>
      <c r="E182" s="4" t="str">
        <f t="array" ref="E182">IFERROR(INDEX('Bank Schedule'!E:E, SMALL(IF('Bank Schedule'!$K$2:$K$825="Vacant", ROW('Bank Schedule'!$K$2:$K$825)), ROW(179:179))), "")</f>
        <v/>
      </c>
      <c r="F182" s="4" t="str">
        <f t="array" ref="F182">IFERROR(INDEX('Bank Schedule'!F:F, SMALL(IF('Bank Schedule'!$K$2:$K$825="Vacant", ROW('Bank Schedule'!$K$2:$K$825)), ROW(179:179))), "")</f>
        <v/>
      </c>
      <c r="G182" s="14" t="str">
        <f t="array" ref="G182">IFERROR(INDEX('Bank Schedule'!G:G, SMALL(IF('Bank Schedule'!$K$2:$K$825="Vacant", ROW('Bank Schedule'!$K$2:$K$825)), ROW(179:179))), "")</f>
        <v/>
      </c>
      <c r="H182" s="7" t="str">
        <f t="array" ref="H182">IFERROR(INDEX('Bank Schedule'!H:H, SMALL(IF('Bank Schedule'!$K$2:$K$825="Vacant", ROW('Bank Schedule'!$K$2:$K$825)), ROW(179:179))), "")</f>
        <v/>
      </c>
      <c r="I182" s="7" t="str">
        <f t="array" ref="I182">IFERROR(INDEX('Bank Schedule'!I:I, SMALL(IF('Bank Schedule'!$K$2:$K$825="Vacant", ROW('Bank Schedule'!$K$2:$K$825)), ROW(179:179))), "")</f>
        <v/>
      </c>
      <c r="J182" s="14" t="str">
        <f t="array" ref="J182">IFERROR(INDEX('Bank Schedule'!K:K, SMALL(IF('Bank Schedule'!$K$2:$K$825="Vacant", ROW('Bank Schedule'!$K$2:$K$825)), ROW(179:179))), "")</f>
        <v/>
      </c>
      <c r="K182" s="25" t="str">
        <f t="array" ref="K182">IFERROR(INDEX('Bank Schedule'!#REF!, SMALL(IF('Bank Schedule'!$K$2:$K$825="Vacant", ROW('Bank Schedule'!$K$2:$K$825)), ROW(179:179))), "")</f>
        <v/>
      </c>
      <c r="L182" s="8" t="str">
        <f t="array" ref="L182">IFERROR(INDEX('Bank Schedule'!L:L, SMALL(IF('Bank Schedule'!$K$2:$K$825="Vacant", ROW('Bank Schedule'!$K$2:$K$825)), ROW(179:179))), "")</f>
        <v/>
      </c>
      <c r="M182" s="9" t="str">
        <f t="array" ref="M182">IFERROR(INDEX('Bank Schedule'!M:M, SMALL(IF('Bank Schedule'!$K$2:$K$825="Vacant", ROW('Bank Schedule'!$K$2:$K$825)), ROW(179:179))), "")</f>
        <v/>
      </c>
      <c r="N182" s="9" t="str">
        <f t="array" ref="N182">IFERROR(INDEX('Bank Schedule'!N:N, SMALL(IF('Bank Schedule'!$K$2:$K$825="Vacant", ROW('Bank Schedule'!$K$2:$K$825)), ROW(179:179))), "")</f>
        <v/>
      </c>
      <c r="O182" s="9" t="str">
        <f t="array" ref="O182">IFERROR(INDEX('Bank Schedule'!O:O, SMALL(IF('Bank Schedule'!$K$2:$K$825="Vacant", ROW('Bank Schedule'!$K$2:$K$825)), ROW(179:179))), "")</f>
        <v/>
      </c>
      <c r="P182" s="9" t="str">
        <f t="array" ref="P182">IFERROR(INDEX('Bank Schedule'!P:P, SMALL(IF('Bank Schedule'!$K$2:$K$825="Vacant", ROW('Bank Schedule'!$K$2:$K$825)), ROW(179:179))), "")</f>
        <v/>
      </c>
      <c r="Q182" s="9" t="str">
        <f t="array" ref="Q182">IFERROR(INDEX('Bank Schedule'!#REF!, SMALL(IF('Bank Schedule'!$K$2:$K$825="Vacant", ROW('Bank Schedule'!$K$2:$K$825)), ROW(179:179))), "")</f>
        <v/>
      </c>
      <c r="R182" s="10" t="str">
        <f t="array" ref="R182">IFERROR(INDEX('Bank Schedule'!Q:Q, SMALL(IF('Bank Schedule'!$K$2:$K$825="Vacant", ROW('Bank Schedule'!$K$2:$K$825)), ROW(179:179))), "")</f>
        <v/>
      </c>
      <c r="S182" s="10" t="str">
        <f t="array" ref="S182">IFERROR(INDEX('Bank Schedule'!R:R, SMALL(IF('Bank Schedule'!$K$2:$K$825="Vacant", ROW('Bank Schedule'!$K$2:$K$825)), ROW(179:179))), "")</f>
        <v/>
      </c>
      <c r="T182" s="10" t="str">
        <f t="array" ref="T182">IFERROR(INDEX('Bank Schedule'!S:S, SMALL(IF('Bank Schedule'!$K$2:$K$825="Vacant", ROW('Bank Schedule'!$K$2:$K$825)), ROW(179:179))), "")</f>
        <v/>
      </c>
      <c r="U182" s="106" t="str">
        <f t="array" ref="U182">IFERROR(INDEX('Bank Schedule'!#REF!, SMALL(IF('Bank Schedule'!$K$2:$K$825="Vacant", ROW('Bank Schedule'!$K$2:$K$825)), ROW(179:179))), "")</f>
        <v/>
      </c>
      <c r="V182" s="10" t="str">
        <f t="array" ref="V182">IFERROR(INDEX('Bank Schedule'!#REF!, SMALL(IF('Bank Schedule'!$K$2:$K$825="Vacant", ROW('Bank Schedule'!$K$2:$K$825)), ROW(179:179))), "")</f>
        <v/>
      </c>
      <c r="W182" s="10" t="str">
        <f t="array" ref="W182">IFERROR(INDEX('Bank Schedule'!#REF!, SMALL(IF('Bank Schedule'!$K$2:$K$825="Vacant", ROW('Bank Schedule'!$K$2:$K$825)), ROW(179:179))), "")</f>
        <v/>
      </c>
      <c r="X182" s="10" t="str">
        <f t="array" ref="X182">IFERROR(INDEX('Bank Schedule'!V:V, SMALL(IF('Bank Schedule'!$K$2:$K$825="Vacant", ROW('Bank Schedule'!$K$2:$K$825)), ROW(179:179))), "")</f>
        <v/>
      </c>
      <c r="Y182" s="10" t="str">
        <f t="array" ref="Y182">IFERROR(INDEX('Bank Schedule'!W:W, SMALL(IF('Bank Schedule'!$K$2:$K$825="Vacant", ROW('Bank Schedule'!$K$2:$K$825)), ROW(179:179))), "")</f>
        <v/>
      </c>
      <c r="Z182" s="61" t="str">
        <f t="array" ref="Z182">IFERROR(INDEX('Bank Schedule'!Z:Z, SMALL(IF('Bank Schedule'!$K$2:$K$825="Vacant", ROW('Bank Schedule'!$K$2:$K$825)), ROW(179:179))), "")</f>
        <v/>
      </c>
      <c r="AA182" s="55" t="str">
        <f t="array" ref="AA182">IFERROR(INDEX('Bank Schedule'!AA:AA, SMALL(IF('Bank Schedule'!$K$2:$K$825="Vacant", ROW('Bank Schedule'!$K$2:$K$825)), ROW(179:179))), "")</f>
        <v/>
      </c>
      <c r="AB182" s="14" t="str">
        <f t="array" ref="AB182">IFERROR(INDEX('Bank Schedule'!AB:AB, SMALL(IF('Bank Schedule'!$K$2:$K$825="Vacant", ROW('Bank Schedule'!$K$2:$K$825)), ROW(179:179))), "")</f>
        <v/>
      </c>
      <c r="AC182" s="4" t="str">
        <f t="array" ref="AC182">IFERROR(INDEX('Bank Schedule'!AC:AC, SMALL(IF('Bank Schedule'!$K$2:$K$825="Vacant", ROW('Bank Schedule'!$K$2:$K$825)), ROW(179:179))), "")</f>
        <v/>
      </c>
    </row>
    <row r="183" spans="1:36" ht="23.25" customHeight="1">
      <c r="A183" s="2" t="str">
        <f t="array" ref="A183">IFERROR(INDEX('Bank Schedule'!A:A, SMALL(IF('Bank Schedule'!$K$2:$K$825="Vacant", ROW('Bank Schedule'!$K$2:$K$825)), ROW(180:180))), "")</f>
        <v/>
      </c>
      <c r="B183" s="11" t="str">
        <f t="array" ref="B183">IFERROR(INDEX('Bank Schedule'!B:B, SMALL(IF('Bank Schedule'!$K$2:$K$825="Vacant", ROW('Bank Schedule'!$K$2:$K$825)), ROW(180:180))), "")</f>
        <v/>
      </c>
      <c r="C183" s="11" t="str">
        <f t="array" ref="C183">IFERROR(INDEX('Bank Schedule'!C:C, SMALL(IF('Bank Schedule'!$K$2:$K$825="Vacant", ROW('Bank Schedule'!$K$2:$K$825)), ROW(180:180))), "")</f>
        <v/>
      </c>
      <c r="D183" s="2" t="str">
        <f t="array" ref="D183">IFERROR(INDEX('Bank Schedule'!D:D, SMALL(IF('Bank Schedule'!$K$2:$K$825="Vacant", ROW('Bank Schedule'!$K$2:$K$825)), ROW(180:180))), "")</f>
        <v/>
      </c>
      <c r="E183" s="4" t="str">
        <f t="array" ref="E183">IFERROR(INDEX('Bank Schedule'!E:E, SMALL(IF('Bank Schedule'!$K$2:$K$825="Vacant", ROW('Bank Schedule'!$K$2:$K$825)), ROW(180:180))), "")</f>
        <v/>
      </c>
      <c r="F183" s="4" t="str">
        <f t="array" ref="F183">IFERROR(INDEX('Bank Schedule'!F:F, SMALL(IF('Bank Schedule'!$K$2:$K$825="Vacant", ROW('Bank Schedule'!$K$2:$K$825)), ROW(180:180))), "")</f>
        <v/>
      </c>
      <c r="G183" s="14" t="str">
        <f t="array" ref="G183">IFERROR(INDEX('Bank Schedule'!G:G, SMALL(IF('Bank Schedule'!$K$2:$K$825="Vacant", ROW('Bank Schedule'!$K$2:$K$825)), ROW(180:180))), "")</f>
        <v/>
      </c>
      <c r="H183" s="7" t="str">
        <f t="array" ref="H183">IFERROR(INDEX('Bank Schedule'!H:H, SMALL(IF('Bank Schedule'!$K$2:$K$825="Vacant", ROW('Bank Schedule'!$K$2:$K$825)), ROW(180:180))), "")</f>
        <v/>
      </c>
      <c r="I183" s="7" t="str">
        <f t="array" ref="I183">IFERROR(INDEX('Bank Schedule'!I:I, SMALL(IF('Bank Schedule'!$K$2:$K$825="Vacant", ROW('Bank Schedule'!$K$2:$K$825)), ROW(180:180))), "")</f>
        <v/>
      </c>
      <c r="J183" s="14" t="str">
        <f t="array" ref="J183">IFERROR(INDEX('Bank Schedule'!K:K, SMALL(IF('Bank Schedule'!$K$2:$K$825="Vacant", ROW('Bank Schedule'!$K$2:$K$825)), ROW(180:180))), "")</f>
        <v/>
      </c>
      <c r="K183" s="25" t="str">
        <f t="array" ref="K183">IFERROR(INDEX('Bank Schedule'!#REF!, SMALL(IF('Bank Schedule'!$K$2:$K$825="Vacant", ROW('Bank Schedule'!$K$2:$K$825)), ROW(180:180))), "")</f>
        <v/>
      </c>
      <c r="L183" s="8" t="str">
        <f t="array" ref="L183">IFERROR(INDEX('Bank Schedule'!L:L, SMALL(IF('Bank Schedule'!$K$2:$K$825="Vacant", ROW('Bank Schedule'!$K$2:$K$825)), ROW(180:180))), "")</f>
        <v/>
      </c>
      <c r="M183" s="9" t="str">
        <f t="array" ref="M183">IFERROR(INDEX('Bank Schedule'!M:M, SMALL(IF('Bank Schedule'!$K$2:$K$825="Vacant", ROW('Bank Schedule'!$K$2:$K$825)), ROW(180:180))), "")</f>
        <v/>
      </c>
      <c r="N183" s="9" t="str">
        <f t="array" ref="N183">IFERROR(INDEX('Bank Schedule'!N:N, SMALL(IF('Bank Schedule'!$K$2:$K$825="Vacant", ROW('Bank Schedule'!$K$2:$K$825)), ROW(180:180))), "")</f>
        <v/>
      </c>
      <c r="O183" s="9" t="str">
        <f t="array" ref="O183">IFERROR(INDEX('Bank Schedule'!O:O, SMALL(IF('Bank Schedule'!$K$2:$K$825="Vacant", ROW('Bank Schedule'!$K$2:$K$825)), ROW(180:180))), "")</f>
        <v/>
      </c>
      <c r="P183" s="9" t="str">
        <f t="array" ref="P183">IFERROR(INDEX('Bank Schedule'!P:P, SMALL(IF('Bank Schedule'!$K$2:$K$825="Vacant", ROW('Bank Schedule'!$K$2:$K$825)), ROW(180:180))), "")</f>
        <v/>
      </c>
      <c r="Q183" s="9" t="str">
        <f t="array" ref="Q183">IFERROR(INDEX('Bank Schedule'!#REF!, SMALL(IF('Bank Schedule'!$K$2:$K$825="Vacant", ROW('Bank Schedule'!$K$2:$K$825)), ROW(180:180))), "")</f>
        <v/>
      </c>
      <c r="R183" s="10" t="str">
        <f t="array" ref="R183">IFERROR(INDEX('Bank Schedule'!Q:Q, SMALL(IF('Bank Schedule'!$K$2:$K$825="Vacant", ROW('Bank Schedule'!$K$2:$K$825)), ROW(180:180))), "")</f>
        <v/>
      </c>
      <c r="S183" s="10" t="str">
        <f t="array" ref="S183">IFERROR(INDEX('Bank Schedule'!R:R, SMALL(IF('Bank Schedule'!$K$2:$K$825="Vacant", ROW('Bank Schedule'!$K$2:$K$825)), ROW(180:180))), "")</f>
        <v/>
      </c>
      <c r="T183" s="10" t="str">
        <f t="array" ref="T183">IFERROR(INDEX('Bank Schedule'!S:S, SMALL(IF('Bank Schedule'!$K$2:$K$825="Vacant", ROW('Bank Schedule'!$K$2:$K$825)), ROW(180:180))), "")</f>
        <v/>
      </c>
      <c r="U183" s="106" t="str">
        <f t="array" ref="U183">IFERROR(INDEX('Bank Schedule'!#REF!, SMALL(IF('Bank Schedule'!$K$2:$K$825="Vacant", ROW('Bank Schedule'!$K$2:$K$825)), ROW(180:180))), "")</f>
        <v/>
      </c>
      <c r="V183" s="10" t="str">
        <f t="array" ref="V183">IFERROR(INDEX('Bank Schedule'!#REF!, SMALL(IF('Bank Schedule'!$K$2:$K$825="Vacant", ROW('Bank Schedule'!$K$2:$K$825)), ROW(180:180))), "")</f>
        <v/>
      </c>
      <c r="W183" s="10" t="str">
        <f t="array" ref="W183">IFERROR(INDEX('Bank Schedule'!#REF!, SMALL(IF('Bank Schedule'!$K$2:$K$825="Vacant", ROW('Bank Schedule'!$K$2:$K$825)), ROW(180:180))), "")</f>
        <v/>
      </c>
      <c r="X183" s="10" t="str">
        <f t="array" ref="X183">IFERROR(INDEX('Bank Schedule'!V:V, SMALL(IF('Bank Schedule'!$K$2:$K$825="Vacant", ROW('Bank Schedule'!$K$2:$K$825)), ROW(180:180))), "")</f>
        <v/>
      </c>
      <c r="Y183" s="10" t="str">
        <f t="array" ref="Y183">IFERROR(INDEX('Bank Schedule'!W:W, SMALL(IF('Bank Schedule'!$K$2:$K$825="Vacant", ROW('Bank Schedule'!$K$2:$K$825)), ROW(180:180))), "")</f>
        <v/>
      </c>
      <c r="Z183" s="61" t="str">
        <f t="array" ref="Z183">IFERROR(INDEX('Bank Schedule'!Z:Z, SMALL(IF('Bank Schedule'!$K$2:$K$825="Vacant", ROW('Bank Schedule'!$K$2:$K$825)), ROW(180:180))), "")</f>
        <v/>
      </c>
      <c r="AA183" s="55" t="str">
        <f t="array" ref="AA183">IFERROR(INDEX('Bank Schedule'!AA:AA, SMALL(IF('Bank Schedule'!$K$2:$K$825="Vacant", ROW('Bank Schedule'!$K$2:$K$825)), ROW(180:180))), "")</f>
        <v/>
      </c>
      <c r="AB183" s="14" t="str">
        <f t="array" ref="AB183">IFERROR(INDEX('Bank Schedule'!AB:AB, SMALL(IF('Bank Schedule'!$K$2:$K$825="Vacant", ROW('Bank Schedule'!$K$2:$K$825)), ROW(180:180))), "")</f>
        <v/>
      </c>
      <c r="AC183" s="4" t="str">
        <f t="array" ref="AC183">IFERROR(INDEX('Bank Schedule'!AC:AC, SMALL(IF('Bank Schedule'!$K$2:$K$825="Vacant", ROW('Bank Schedule'!$K$2:$K$825)), ROW(180:180))), "")</f>
        <v/>
      </c>
    </row>
    <row r="184" spans="1:36" ht="23.25" customHeight="1">
      <c r="A184" s="2" t="str">
        <f t="array" ref="A184">IFERROR(INDEX('Bank Schedule'!A:A, SMALL(IF('Bank Schedule'!$K$2:$K$825="Vacant", ROW('Bank Schedule'!$K$2:$K$825)), ROW(181:181))), "")</f>
        <v/>
      </c>
      <c r="B184" s="11" t="str">
        <f t="array" ref="B184">IFERROR(INDEX('Bank Schedule'!B:B, SMALL(IF('Bank Schedule'!$K$2:$K$825="Vacant", ROW('Bank Schedule'!$K$2:$K$825)), ROW(181:181))), "")</f>
        <v/>
      </c>
      <c r="C184" s="11" t="str">
        <f t="array" ref="C184">IFERROR(INDEX('Bank Schedule'!C:C, SMALL(IF('Bank Schedule'!$K$2:$K$825="Vacant", ROW('Bank Schedule'!$K$2:$K$825)), ROW(181:181))), "")</f>
        <v/>
      </c>
      <c r="D184" s="2" t="str">
        <f t="array" ref="D184">IFERROR(INDEX('Bank Schedule'!D:D, SMALL(IF('Bank Schedule'!$K$2:$K$825="Vacant", ROW('Bank Schedule'!$K$2:$K$825)), ROW(181:181))), "")</f>
        <v/>
      </c>
      <c r="E184" s="4" t="str">
        <f t="array" ref="E184">IFERROR(INDEX('Bank Schedule'!E:E, SMALL(IF('Bank Schedule'!$K$2:$K$825="Vacant", ROW('Bank Schedule'!$K$2:$K$825)), ROW(181:181))), "")</f>
        <v/>
      </c>
      <c r="F184" s="4" t="str">
        <f t="array" ref="F184">IFERROR(INDEX('Bank Schedule'!F:F, SMALL(IF('Bank Schedule'!$K$2:$K$825="Vacant", ROW('Bank Schedule'!$K$2:$K$825)), ROW(181:181))), "")</f>
        <v/>
      </c>
      <c r="G184" s="14" t="str">
        <f t="array" ref="G184">IFERROR(INDEX('Bank Schedule'!G:G, SMALL(IF('Bank Schedule'!$K$2:$K$825="Vacant", ROW('Bank Schedule'!$K$2:$K$825)), ROW(181:181))), "")</f>
        <v/>
      </c>
      <c r="H184" s="7" t="str">
        <f t="array" ref="H184">IFERROR(INDEX('Bank Schedule'!H:H, SMALL(IF('Bank Schedule'!$K$2:$K$825="Vacant", ROW('Bank Schedule'!$K$2:$K$825)), ROW(181:181))), "")</f>
        <v/>
      </c>
      <c r="I184" s="7" t="str">
        <f t="array" ref="I184">IFERROR(INDEX('Bank Schedule'!I:I, SMALL(IF('Bank Schedule'!$K$2:$K$825="Vacant", ROW('Bank Schedule'!$K$2:$K$825)), ROW(181:181))), "")</f>
        <v/>
      </c>
      <c r="J184" s="14" t="str">
        <f t="array" ref="J184">IFERROR(INDEX('Bank Schedule'!K:K, SMALL(IF('Bank Schedule'!$K$2:$K$825="Vacant", ROW('Bank Schedule'!$K$2:$K$825)), ROW(181:181))), "")</f>
        <v/>
      </c>
      <c r="K184" s="25" t="str">
        <f t="array" ref="K184">IFERROR(INDEX('Bank Schedule'!#REF!, SMALL(IF('Bank Schedule'!$K$2:$K$825="Vacant", ROW('Bank Schedule'!$K$2:$K$825)), ROW(181:181))), "")</f>
        <v/>
      </c>
      <c r="L184" s="8" t="str">
        <f t="array" ref="L184">IFERROR(INDEX('Bank Schedule'!L:L, SMALL(IF('Bank Schedule'!$K$2:$K$825="Vacant", ROW('Bank Schedule'!$K$2:$K$825)), ROW(181:181))), "")</f>
        <v/>
      </c>
      <c r="M184" s="9" t="str">
        <f t="array" ref="M184">IFERROR(INDEX('Bank Schedule'!M:M, SMALL(IF('Bank Schedule'!$K$2:$K$825="Vacant", ROW('Bank Schedule'!$K$2:$K$825)), ROW(181:181))), "")</f>
        <v/>
      </c>
      <c r="N184" s="9" t="str">
        <f t="array" ref="N184">IFERROR(INDEX('Bank Schedule'!N:N, SMALL(IF('Bank Schedule'!$K$2:$K$825="Vacant", ROW('Bank Schedule'!$K$2:$K$825)), ROW(181:181))), "")</f>
        <v/>
      </c>
      <c r="O184" s="9" t="str">
        <f t="array" ref="O184">IFERROR(INDEX('Bank Schedule'!O:O, SMALL(IF('Bank Schedule'!$K$2:$K$825="Vacant", ROW('Bank Schedule'!$K$2:$K$825)), ROW(181:181))), "")</f>
        <v/>
      </c>
      <c r="P184" s="9" t="str">
        <f t="array" ref="P184">IFERROR(INDEX('Bank Schedule'!P:P, SMALL(IF('Bank Schedule'!$K$2:$K$825="Vacant", ROW('Bank Schedule'!$K$2:$K$825)), ROW(181:181))), "")</f>
        <v/>
      </c>
      <c r="Q184" s="9" t="str">
        <f t="array" ref="Q184">IFERROR(INDEX('Bank Schedule'!#REF!, SMALL(IF('Bank Schedule'!$K$2:$K$825="Vacant", ROW('Bank Schedule'!$K$2:$K$825)), ROW(181:181))), "")</f>
        <v/>
      </c>
      <c r="R184" s="10" t="str">
        <f t="array" ref="R184">IFERROR(INDEX('Bank Schedule'!Q:Q, SMALL(IF('Bank Schedule'!$K$2:$K$825="Vacant", ROW('Bank Schedule'!$K$2:$K$825)), ROW(181:181))), "")</f>
        <v/>
      </c>
      <c r="S184" s="10" t="str">
        <f t="array" ref="S184">IFERROR(INDEX('Bank Schedule'!R:R, SMALL(IF('Bank Schedule'!$K$2:$K$825="Vacant", ROW('Bank Schedule'!$K$2:$K$825)), ROW(181:181))), "")</f>
        <v/>
      </c>
      <c r="T184" s="10" t="str">
        <f t="array" ref="T184">IFERROR(INDEX('Bank Schedule'!S:S, SMALL(IF('Bank Schedule'!$K$2:$K$825="Vacant", ROW('Bank Schedule'!$K$2:$K$825)), ROW(181:181))), "")</f>
        <v/>
      </c>
      <c r="U184" s="106" t="str">
        <f t="array" ref="U184">IFERROR(INDEX('Bank Schedule'!#REF!, SMALL(IF('Bank Schedule'!$K$2:$K$825="Vacant", ROW('Bank Schedule'!$K$2:$K$825)), ROW(181:181))), "")</f>
        <v/>
      </c>
      <c r="V184" s="10" t="str">
        <f t="array" ref="V184">IFERROR(INDEX('Bank Schedule'!#REF!, SMALL(IF('Bank Schedule'!$K$2:$K$825="Vacant", ROW('Bank Schedule'!$K$2:$K$825)), ROW(181:181))), "")</f>
        <v/>
      </c>
      <c r="W184" s="10" t="str">
        <f t="array" ref="W184">IFERROR(INDEX('Bank Schedule'!#REF!, SMALL(IF('Bank Schedule'!$K$2:$K$825="Vacant", ROW('Bank Schedule'!$K$2:$K$825)), ROW(181:181))), "")</f>
        <v/>
      </c>
      <c r="X184" s="10" t="str">
        <f t="array" ref="X184">IFERROR(INDEX('Bank Schedule'!V:V, SMALL(IF('Bank Schedule'!$K$2:$K$825="Vacant", ROW('Bank Schedule'!$K$2:$K$825)), ROW(181:181))), "")</f>
        <v/>
      </c>
      <c r="Y184" s="10" t="str">
        <f t="array" ref="Y184">IFERROR(INDEX('Bank Schedule'!W:W, SMALL(IF('Bank Schedule'!$K$2:$K$825="Vacant", ROW('Bank Schedule'!$K$2:$K$825)), ROW(181:181))), "")</f>
        <v/>
      </c>
      <c r="Z184" s="61" t="str">
        <f t="array" ref="Z184">IFERROR(INDEX('Bank Schedule'!Z:Z, SMALL(IF('Bank Schedule'!$K$2:$K$825="Vacant", ROW('Bank Schedule'!$K$2:$K$825)), ROW(181:181))), "")</f>
        <v/>
      </c>
      <c r="AA184" s="55" t="str">
        <f t="array" ref="AA184">IFERROR(INDEX('Bank Schedule'!AA:AA, SMALL(IF('Bank Schedule'!$K$2:$K$825="Vacant", ROW('Bank Schedule'!$K$2:$K$825)), ROW(181:181))), "")</f>
        <v/>
      </c>
      <c r="AB184" s="14" t="str">
        <f t="array" ref="AB184">IFERROR(INDEX('Bank Schedule'!AB:AB, SMALL(IF('Bank Schedule'!$K$2:$K$825="Vacant", ROW('Bank Schedule'!$K$2:$K$825)), ROW(181:181))), "")</f>
        <v/>
      </c>
      <c r="AC184" s="4" t="str">
        <f t="array" ref="AC184">IFERROR(INDEX('Bank Schedule'!AC:AC, SMALL(IF('Bank Schedule'!$K$2:$K$825="Vacant", ROW('Bank Schedule'!$K$2:$K$825)), ROW(181:181))), "")</f>
        <v/>
      </c>
    </row>
    <row r="185" spans="1:36" ht="23.25" customHeight="1">
      <c r="A185" s="2" t="str">
        <f t="array" ref="A185">IFERROR(INDEX('Bank Schedule'!A:A, SMALL(IF('Bank Schedule'!$K$2:$K$825="Vacant", ROW('Bank Schedule'!$K$2:$K$825)), ROW(182:182))), "")</f>
        <v/>
      </c>
      <c r="B185" s="11" t="str">
        <f t="array" ref="B185">IFERROR(INDEX('Bank Schedule'!B:B, SMALL(IF('Bank Schedule'!$K$2:$K$825="Vacant", ROW('Bank Schedule'!$K$2:$K$825)), ROW(182:182))), "")</f>
        <v/>
      </c>
      <c r="C185" s="11" t="str">
        <f t="array" ref="C185">IFERROR(INDEX('Bank Schedule'!C:C, SMALL(IF('Bank Schedule'!$K$2:$K$825="Vacant", ROW('Bank Schedule'!$K$2:$K$825)), ROW(182:182))), "")</f>
        <v/>
      </c>
      <c r="D185" s="2" t="str">
        <f t="array" ref="D185">IFERROR(INDEX('Bank Schedule'!D:D, SMALL(IF('Bank Schedule'!$K$2:$K$825="Vacant", ROW('Bank Schedule'!$K$2:$K$825)), ROW(182:182))), "")</f>
        <v/>
      </c>
      <c r="E185" s="4" t="str">
        <f t="array" ref="E185">IFERROR(INDEX('Bank Schedule'!E:E, SMALL(IF('Bank Schedule'!$K$2:$K$825="Vacant", ROW('Bank Schedule'!$K$2:$K$825)), ROW(182:182))), "")</f>
        <v/>
      </c>
      <c r="F185" s="4" t="str">
        <f t="array" ref="F185">IFERROR(INDEX('Bank Schedule'!F:F, SMALL(IF('Bank Schedule'!$K$2:$K$825="Vacant", ROW('Bank Schedule'!$K$2:$K$825)), ROW(182:182))), "")</f>
        <v/>
      </c>
      <c r="G185" s="14" t="str">
        <f t="array" ref="G185">IFERROR(INDEX('Bank Schedule'!G:G, SMALL(IF('Bank Schedule'!$K$2:$K$825="Vacant", ROW('Bank Schedule'!$K$2:$K$825)), ROW(182:182))), "")</f>
        <v/>
      </c>
      <c r="H185" s="7" t="str">
        <f t="array" ref="H185">IFERROR(INDEX('Bank Schedule'!H:H, SMALL(IF('Bank Schedule'!$K$2:$K$825="Vacant", ROW('Bank Schedule'!$K$2:$K$825)), ROW(182:182))), "")</f>
        <v/>
      </c>
      <c r="I185" s="7" t="str">
        <f t="array" ref="I185">IFERROR(INDEX('Bank Schedule'!I:I, SMALL(IF('Bank Schedule'!$K$2:$K$825="Vacant", ROW('Bank Schedule'!$K$2:$K$825)), ROW(182:182))), "")</f>
        <v/>
      </c>
      <c r="J185" s="14" t="str">
        <f t="array" ref="J185">IFERROR(INDEX('Bank Schedule'!K:K, SMALL(IF('Bank Schedule'!$K$2:$K$825="Vacant", ROW('Bank Schedule'!$K$2:$K$825)), ROW(182:182))), "")</f>
        <v/>
      </c>
      <c r="K185" s="25" t="str">
        <f t="array" ref="K185">IFERROR(INDEX('Bank Schedule'!#REF!, SMALL(IF('Bank Schedule'!$K$2:$K$825="Vacant", ROW('Bank Schedule'!$K$2:$K$825)), ROW(182:182))), "")</f>
        <v/>
      </c>
      <c r="L185" s="8" t="str">
        <f t="array" ref="L185">IFERROR(INDEX('Bank Schedule'!L:L, SMALL(IF('Bank Schedule'!$K$2:$K$825="Vacant", ROW('Bank Schedule'!$K$2:$K$825)), ROW(182:182))), "")</f>
        <v/>
      </c>
      <c r="M185" s="9" t="str">
        <f t="array" ref="M185">IFERROR(INDEX('Bank Schedule'!M:M, SMALL(IF('Bank Schedule'!$K$2:$K$825="Vacant", ROW('Bank Schedule'!$K$2:$K$825)), ROW(182:182))), "")</f>
        <v/>
      </c>
      <c r="N185" s="9" t="str">
        <f t="array" ref="N185">IFERROR(INDEX('Bank Schedule'!N:N, SMALL(IF('Bank Schedule'!$K$2:$K$825="Vacant", ROW('Bank Schedule'!$K$2:$K$825)), ROW(182:182))), "")</f>
        <v/>
      </c>
      <c r="O185" s="9" t="str">
        <f t="array" ref="O185">IFERROR(INDEX('Bank Schedule'!O:O, SMALL(IF('Bank Schedule'!$K$2:$K$825="Vacant", ROW('Bank Schedule'!$K$2:$K$825)), ROW(182:182))), "")</f>
        <v/>
      </c>
      <c r="P185" s="9" t="str">
        <f t="array" ref="P185">IFERROR(INDEX('Bank Schedule'!P:P, SMALL(IF('Bank Schedule'!$K$2:$K$825="Vacant", ROW('Bank Schedule'!$K$2:$K$825)), ROW(182:182))), "")</f>
        <v/>
      </c>
      <c r="Q185" s="9" t="str">
        <f t="array" ref="Q185">IFERROR(INDEX('Bank Schedule'!#REF!, SMALL(IF('Bank Schedule'!$K$2:$K$825="Vacant", ROW('Bank Schedule'!$K$2:$K$825)), ROW(182:182))), "")</f>
        <v/>
      </c>
      <c r="R185" s="10" t="str">
        <f t="array" ref="R185">IFERROR(INDEX('Bank Schedule'!Q:Q, SMALL(IF('Bank Schedule'!$K$2:$K$825="Vacant", ROW('Bank Schedule'!$K$2:$K$825)), ROW(182:182))), "")</f>
        <v/>
      </c>
      <c r="S185" s="10" t="str">
        <f t="array" ref="S185">IFERROR(INDEX('Bank Schedule'!R:R, SMALL(IF('Bank Schedule'!$K$2:$K$825="Vacant", ROW('Bank Schedule'!$K$2:$K$825)), ROW(182:182))), "")</f>
        <v/>
      </c>
      <c r="T185" s="10" t="str">
        <f t="array" ref="T185">IFERROR(INDEX('Bank Schedule'!S:S, SMALL(IF('Bank Schedule'!$K$2:$K$825="Vacant", ROW('Bank Schedule'!$K$2:$K$825)), ROW(182:182))), "")</f>
        <v/>
      </c>
      <c r="U185" s="106" t="str">
        <f t="array" ref="U185">IFERROR(INDEX('Bank Schedule'!#REF!, SMALL(IF('Bank Schedule'!$K$2:$K$825="Vacant", ROW('Bank Schedule'!$K$2:$K$825)), ROW(182:182))), "")</f>
        <v/>
      </c>
      <c r="V185" s="10" t="str">
        <f t="array" ref="V185">IFERROR(INDEX('Bank Schedule'!#REF!, SMALL(IF('Bank Schedule'!$K$2:$K$825="Vacant", ROW('Bank Schedule'!$K$2:$K$825)), ROW(182:182))), "")</f>
        <v/>
      </c>
      <c r="W185" s="10" t="str">
        <f t="array" ref="W185">IFERROR(INDEX('Bank Schedule'!#REF!, SMALL(IF('Bank Schedule'!$K$2:$K$825="Vacant", ROW('Bank Schedule'!$K$2:$K$825)), ROW(182:182))), "")</f>
        <v/>
      </c>
      <c r="X185" s="10" t="str">
        <f t="array" ref="X185">IFERROR(INDEX('Bank Schedule'!V:V, SMALL(IF('Bank Schedule'!$K$2:$K$825="Vacant", ROW('Bank Schedule'!$K$2:$K$825)), ROW(182:182))), "")</f>
        <v/>
      </c>
      <c r="Y185" s="10" t="str">
        <f t="array" ref="Y185">IFERROR(INDEX('Bank Schedule'!W:W, SMALL(IF('Bank Schedule'!$K$2:$K$825="Vacant", ROW('Bank Schedule'!$K$2:$K$825)), ROW(182:182))), "")</f>
        <v/>
      </c>
      <c r="Z185" s="61" t="str">
        <f t="array" ref="Z185">IFERROR(INDEX('Bank Schedule'!Z:Z, SMALL(IF('Bank Schedule'!$K$2:$K$825="Vacant", ROW('Bank Schedule'!$K$2:$K$825)), ROW(182:182))), "")</f>
        <v/>
      </c>
      <c r="AA185" s="55" t="str">
        <f t="array" ref="AA185">IFERROR(INDEX('Bank Schedule'!AA:AA, SMALL(IF('Bank Schedule'!$K$2:$K$825="Vacant", ROW('Bank Schedule'!$K$2:$K$825)), ROW(182:182))), "")</f>
        <v/>
      </c>
      <c r="AB185" s="14" t="str">
        <f t="array" ref="AB185">IFERROR(INDEX('Bank Schedule'!AB:AB, SMALL(IF('Bank Schedule'!$K$2:$K$825="Vacant", ROW('Bank Schedule'!$K$2:$K$825)), ROW(182:182))), "")</f>
        <v/>
      </c>
      <c r="AC185" s="4" t="str">
        <f t="array" ref="AC185">IFERROR(INDEX('Bank Schedule'!AC:AC, SMALL(IF('Bank Schedule'!$K$2:$K$825="Vacant", ROW('Bank Schedule'!$K$2:$K$825)), ROW(182:182))), "")</f>
        <v/>
      </c>
    </row>
    <row r="186" spans="1:36" ht="23.25" customHeight="1">
      <c r="A186" s="2" t="str">
        <f t="array" ref="A186">IFERROR(INDEX('Bank Schedule'!A:A, SMALL(IF('Bank Schedule'!$K$2:$K$825="Vacant", ROW('Bank Schedule'!$K$2:$K$825)), ROW(183:183))), "")</f>
        <v/>
      </c>
      <c r="B186" s="11" t="str">
        <f t="array" ref="B186">IFERROR(INDEX('Bank Schedule'!B:B, SMALL(IF('Bank Schedule'!$K$2:$K$825="Vacant", ROW('Bank Schedule'!$K$2:$K$825)), ROW(183:183))), "")</f>
        <v/>
      </c>
      <c r="C186" s="11" t="str">
        <f t="array" ref="C186">IFERROR(INDEX('Bank Schedule'!C:C, SMALL(IF('Bank Schedule'!$K$2:$K$825="Vacant", ROW('Bank Schedule'!$K$2:$K$825)), ROW(183:183))), "")</f>
        <v/>
      </c>
      <c r="D186" s="2" t="str">
        <f t="array" ref="D186">IFERROR(INDEX('Bank Schedule'!D:D, SMALL(IF('Bank Schedule'!$K$2:$K$825="Vacant", ROW('Bank Schedule'!$K$2:$K$825)), ROW(183:183))), "")</f>
        <v/>
      </c>
      <c r="E186" s="4" t="str">
        <f t="array" ref="E186">IFERROR(INDEX('Bank Schedule'!E:E, SMALL(IF('Bank Schedule'!$K$2:$K$825="Vacant", ROW('Bank Schedule'!$K$2:$K$825)), ROW(183:183))), "")</f>
        <v/>
      </c>
      <c r="F186" s="4" t="str">
        <f t="array" ref="F186">IFERROR(INDEX('Bank Schedule'!F:F, SMALL(IF('Bank Schedule'!$K$2:$K$825="Vacant", ROW('Bank Schedule'!$K$2:$K$825)), ROW(183:183))), "")</f>
        <v/>
      </c>
      <c r="G186" s="14" t="str">
        <f t="array" ref="G186">IFERROR(INDEX('Bank Schedule'!G:G, SMALL(IF('Bank Schedule'!$K$2:$K$825="Vacant", ROW('Bank Schedule'!$K$2:$K$825)), ROW(183:183))), "")</f>
        <v/>
      </c>
      <c r="H186" s="7" t="str">
        <f t="array" ref="H186">IFERROR(INDEX('Bank Schedule'!H:H, SMALL(IF('Bank Schedule'!$K$2:$K$825="Vacant", ROW('Bank Schedule'!$K$2:$K$825)), ROW(183:183))), "")</f>
        <v/>
      </c>
      <c r="I186" s="7" t="str">
        <f t="array" ref="I186">IFERROR(INDEX('Bank Schedule'!I:I, SMALL(IF('Bank Schedule'!$K$2:$K$825="Vacant", ROW('Bank Schedule'!$K$2:$K$825)), ROW(183:183))), "")</f>
        <v/>
      </c>
      <c r="J186" s="14" t="str">
        <f t="array" ref="J186">IFERROR(INDEX('Bank Schedule'!K:K, SMALL(IF('Bank Schedule'!$K$2:$K$825="Vacant", ROW('Bank Schedule'!$K$2:$K$825)), ROW(183:183))), "")</f>
        <v/>
      </c>
      <c r="K186" s="25" t="str">
        <f t="array" ref="K186">IFERROR(INDEX('Bank Schedule'!#REF!, SMALL(IF('Bank Schedule'!$K$2:$K$825="Vacant", ROW('Bank Schedule'!$K$2:$K$825)), ROW(183:183))), "")</f>
        <v/>
      </c>
      <c r="L186" s="8" t="str">
        <f t="array" ref="L186">IFERROR(INDEX('Bank Schedule'!L:L, SMALL(IF('Bank Schedule'!$K$2:$K$825="Vacant", ROW('Bank Schedule'!$K$2:$K$825)), ROW(183:183))), "")</f>
        <v/>
      </c>
      <c r="M186" s="9" t="str">
        <f t="array" ref="M186">IFERROR(INDEX('Bank Schedule'!M:M, SMALL(IF('Bank Schedule'!$K$2:$K$825="Vacant", ROW('Bank Schedule'!$K$2:$K$825)), ROW(183:183))), "")</f>
        <v/>
      </c>
      <c r="N186" s="9" t="str">
        <f t="array" ref="N186">IFERROR(INDEX('Bank Schedule'!N:N, SMALL(IF('Bank Schedule'!$K$2:$K$825="Vacant", ROW('Bank Schedule'!$K$2:$K$825)), ROW(183:183))), "")</f>
        <v/>
      </c>
      <c r="O186" s="9" t="str">
        <f t="array" ref="O186">IFERROR(INDEX('Bank Schedule'!O:O, SMALL(IF('Bank Schedule'!$K$2:$K$825="Vacant", ROW('Bank Schedule'!$K$2:$K$825)), ROW(183:183))), "")</f>
        <v/>
      </c>
      <c r="P186" s="9" t="str">
        <f t="array" ref="P186">IFERROR(INDEX('Bank Schedule'!P:P, SMALL(IF('Bank Schedule'!$K$2:$K$825="Vacant", ROW('Bank Schedule'!$K$2:$K$825)), ROW(183:183))), "")</f>
        <v/>
      </c>
      <c r="Q186" s="9" t="str">
        <f t="array" ref="Q186">IFERROR(INDEX('Bank Schedule'!#REF!, SMALL(IF('Bank Schedule'!$K$2:$K$825="Vacant", ROW('Bank Schedule'!$K$2:$K$825)), ROW(183:183))), "")</f>
        <v/>
      </c>
      <c r="R186" s="10" t="str">
        <f t="array" ref="R186">IFERROR(INDEX('Bank Schedule'!Q:Q, SMALL(IF('Bank Schedule'!$K$2:$K$825="Vacant", ROW('Bank Schedule'!$K$2:$K$825)), ROW(183:183))), "")</f>
        <v/>
      </c>
      <c r="S186" s="10" t="str">
        <f t="array" ref="S186">IFERROR(INDEX('Bank Schedule'!R:R, SMALL(IF('Bank Schedule'!$K$2:$K$825="Vacant", ROW('Bank Schedule'!$K$2:$K$825)), ROW(183:183))), "")</f>
        <v/>
      </c>
      <c r="T186" s="10" t="str">
        <f t="array" ref="T186">IFERROR(INDEX('Bank Schedule'!S:S, SMALL(IF('Bank Schedule'!$K$2:$K$825="Vacant", ROW('Bank Schedule'!$K$2:$K$825)), ROW(183:183))), "")</f>
        <v/>
      </c>
      <c r="U186" s="106" t="str">
        <f t="array" ref="U186">IFERROR(INDEX('Bank Schedule'!#REF!, SMALL(IF('Bank Schedule'!$K$2:$K$825="Vacant", ROW('Bank Schedule'!$K$2:$K$825)), ROW(183:183))), "")</f>
        <v/>
      </c>
      <c r="V186" s="10" t="str">
        <f t="array" ref="V186">IFERROR(INDEX('Bank Schedule'!#REF!, SMALL(IF('Bank Schedule'!$K$2:$K$825="Vacant", ROW('Bank Schedule'!$K$2:$K$825)), ROW(183:183))), "")</f>
        <v/>
      </c>
      <c r="W186" s="10" t="str">
        <f t="array" ref="W186">IFERROR(INDEX('Bank Schedule'!#REF!, SMALL(IF('Bank Schedule'!$K$2:$K$825="Vacant", ROW('Bank Schedule'!$K$2:$K$825)), ROW(183:183))), "")</f>
        <v/>
      </c>
      <c r="X186" s="10" t="str">
        <f t="array" ref="X186">IFERROR(INDEX('Bank Schedule'!V:V, SMALL(IF('Bank Schedule'!$K$2:$K$825="Vacant", ROW('Bank Schedule'!$K$2:$K$825)), ROW(183:183))), "")</f>
        <v/>
      </c>
      <c r="Y186" s="10" t="str">
        <f t="array" ref="Y186">IFERROR(INDEX('Bank Schedule'!W:W, SMALL(IF('Bank Schedule'!$K$2:$K$825="Vacant", ROW('Bank Schedule'!$K$2:$K$825)), ROW(183:183))), "")</f>
        <v/>
      </c>
      <c r="Z186" s="61" t="str">
        <f t="array" ref="Z186">IFERROR(INDEX('Bank Schedule'!Z:Z, SMALL(IF('Bank Schedule'!$K$2:$K$825="Vacant", ROW('Bank Schedule'!$K$2:$K$825)), ROW(183:183))), "")</f>
        <v/>
      </c>
      <c r="AA186" s="55" t="str">
        <f t="array" ref="AA186">IFERROR(INDEX('Bank Schedule'!AA:AA, SMALL(IF('Bank Schedule'!$K$2:$K$825="Vacant", ROW('Bank Schedule'!$K$2:$K$825)), ROW(183:183))), "")</f>
        <v/>
      </c>
      <c r="AB186" s="14" t="str">
        <f t="array" ref="AB186">IFERROR(INDEX('Bank Schedule'!AB:AB, SMALL(IF('Bank Schedule'!$K$2:$K$825="Vacant", ROW('Bank Schedule'!$K$2:$K$825)), ROW(183:183))), "")</f>
        <v/>
      </c>
      <c r="AC186" s="4" t="str">
        <f t="array" ref="AC186">IFERROR(INDEX('Bank Schedule'!AC:AC, SMALL(IF('Bank Schedule'!$K$2:$K$825="Vacant", ROW('Bank Schedule'!$K$2:$K$825)), ROW(183:183))), "")</f>
        <v/>
      </c>
    </row>
    <row r="187" spans="1:36" ht="23.25" customHeight="1">
      <c r="A187" s="2" t="str">
        <f t="array" ref="A187">IFERROR(INDEX('Bank Schedule'!A:A, SMALL(IF('Bank Schedule'!$K$2:$K$825="Vacant", ROW('Bank Schedule'!$K$2:$K$825)), ROW(184:184))), "")</f>
        <v/>
      </c>
      <c r="B187" s="11" t="str">
        <f t="array" ref="B187">IFERROR(INDEX('Bank Schedule'!B:B, SMALL(IF('Bank Schedule'!$K$2:$K$825="Vacant", ROW('Bank Schedule'!$K$2:$K$825)), ROW(184:184))), "")</f>
        <v/>
      </c>
      <c r="C187" s="11" t="str">
        <f t="array" ref="C187">IFERROR(INDEX('Bank Schedule'!C:C, SMALL(IF('Bank Schedule'!$K$2:$K$825="Vacant", ROW('Bank Schedule'!$K$2:$K$825)), ROW(184:184))), "")</f>
        <v/>
      </c>
      <c r="D187" s="2" t="str">
        <f t="array" ref="D187">IFERROR(INDEX('Bank Schedule'!D:D, SMALL(IF('Bank Schedule'!$K$2:$K$825="Vacant", ROW('Bank Schedule'!$K$2:$K$825)), ROW(184:184))), "")</f>
        <v/>
      </c>
      <c r="E187" s="4" t="str">
        <f t="array" ref="E187">IFERROR(INDEX('Bank Schedule'!E:E, SMALL(IF('Bank Schedule'!$K$2:$K$825="Vacant", ROW('Bank Schedule'!$K$2:$K$825)), ROW(184:184))), "")</f>
        <v/>
      </c>
      <c r="F187" s="4" t="str">
        <f t="array" ref="F187">IFERROR(INDEX('Bank Schedule'!F:F, SMALL(IF('Bank Schedule'!$K$2:$K$825="Vacant", ROW('Bank Schedule'!$K$2:$K$825)), ROW(184:184))), "")</f>
        <v/>
      </c>
      <c r="G187" s="14" t="str">
        <f t="array" ref="G187">IFERROR(INDEX('Bank Schedule'!G:G, SMALL(IF('Bank Schedule'!$K$2:$K$825="Vacant", ROW('Bank Schedule'!$K$2:$K$825)), ROW(184:184))), "")</f>
        <v/>
      </c>
      <c r="H187" s="7" t="str">
        <f t="array" ref="H187">IFERROR(INDEX('Bank Schedule'!H:H, SMALL(IF('Bank Schedule'!$K$2:$K$825="Vacant", ROW('Bank Schedule'!$K$2:$K$825)), ROW(184:184))), "")</f>
        <v/>
      </c>
      <c r="I187" s="7" t="str">
        <f t="array" ref="I187">IFERROR(INDEX('Bank Schedule'!I:I, SMALL(IF('Bank Schedule'!$K$2:$K$825="Vacant", ROW('Bank Schedule'!$K$2:$K$825)), ROW(184:184))), "")</f>
        <v/>
      </c>
      <c r="J187" s="14" t="str">
        <f t="array" ref="J187">IFERROR(INDEX('Bank Schedule'!K:K, SMALL(IF('Bank Schedule'!$K$2:$K$825="Vacant", ROW('Bank Schedule'!$K$2:$K$825)), ROW(184:184))), "")</f>
        <v/>
      </c>
      <c r="K187" s="25" t="str">
        <f t="array" ref="K187">IFERROR(INDEX('Bank Schedule'!#REF!, SMALL(IF('Bank Schedule'!$K$2:$K$825="Vacant", ROW('Bank Schedule'!$K$2:$K$825)), ROW(184:184))), "")</f>
        <v/>
      </c>
      <c r="L187" s="8" t="str">
        <f t="array" ref="L187">IFERROR(INDEX('Bank Schedule'!L:L, SMALL(IF('Bank Schedule'!$K$2:$K$825="Vacant", ROW('Bank Schedule'!$K$2:$K$825)), ROW(184:184))), "")</f>
        <v/>
      </c>
      <c r="M187" s="9" t="str">
        <f t="array" ref="M187">IFERROR(INDEX('Bank Schedule'!M:M, SMALL(IF('Bank Schedule'!$K$2:$K$825="Vacant", ROW('Bank Schedule'!$K$2:$K$825)), ROW(184:184))), "")</f>
        <v/>
      </c>
      <c r="N187" s="9" t="str">
        <f t="array" ref="N187">IFERROR(INDEX('Bank Schedule'!N:N, SMALL(IF('Bank Schedule'!$K$2:$K$825="Vacant", ROW('Bank Schedule'!$K$2:$K$825)), ROW(184:184))), "")</f>
        <v/>
      </c>
      <c r="O187" s="9" t="str">
        <f t="array" ref="O187">IFERROR(INDEX('Bank Schedule'!O:O, SMALL(IF('Bank Schedule'!$K$2:$K$825="Vacant", ROW('Bank Schedule'!$K$2:$K$825)), ROW(184:184))), "")</f>
        <v/>
      </c>
      <c r="P187" s="9" t="str">
        <f t="array" ref="P187">IFERROR(INDEX('Bank Schedule'!P:P, SMALL(IF('Bank Schedule'!$K$2:$K$825="Vacant", ROW('Bank Schedule'!$K$2:$K$825)), ROW(184:184))), "")</f>
        <v/>
      </c>
      <c r="Q187" s="9" t="str">
        <f t="array" ref="Q187">IFERROR(INDEX('Bank Schedule'!#REF!, SMALL(IF('Bank Schedule'!$K$2:$K$825="Vacant", ROW('Bank Schedule'!$K$2:$K$825)), ROW(184:184))), "")</f>
        <v/>
      </c>
      <c r="R187" s="10" t="str">
        <f t="array" ref="R187">IFERROR(INDEX('Bank Schedule'!Q:Q, SMALL(IF('Bank Schedule'!$K$2:$K$825="Vacant", ROW('Bank Schedule'!$K$2:$K$825)), ROW(184:184))), "")</f>
        <v/>
      </c>
      <c r="S187" s="10" t="str">
        <f t="array" ref="S187">IFERROR(INDEX('Bank Schedule'!R:R, SMALL(IF('Bank Schedule'!$K$2:$K$825="Vacant", ROW('Bank Schedule'!$K$2:$K$825)), ROW(184:184))), "")</f>
        <v/>
      </c>
      <c r="T187" s="10" t="str">
        <f t="array" ref="T187">IFERROR(INDEX('Bank Schedule'!S:S, SMALL(IF('Bank Schedule'!$K$2:$K$825="Vacant", ROW('Bank Schedule'!$K$2:$K$825)), ROW(184:184))), "")</f>
        <v/>
      </c>
      <c r="U187" s="106" t="str">
        <f t="array" ref="U187">IFERROR(INDEX('Bank Schedule'!#REF!, SMALL(IF('Bank Schedule'!$K$2:$K$825="Vacant", ROW('Bank Schedule'!$K$2:$K$825)), ROW(184:184))), "")</f>
        <v/>
      </c>
      <c r="V187" s="10" t="str">
        <f t="array" ref="V187">IFERROR(INDEX('Bank Schedule'!#REF!, SMALL(IF('Bank Schedule'!$K$2:$K$825="Vacant", ROW('Bank Schedule'!$K$2:$K$825)), ROW(184:184))), "")</f>
        <v/>
      </c>
      <c r="W187" s="10" t="str">
        <f t="array" ref="W187">IFERROR(INDEX('Bank Schedule'!#REF!, SMALL(IF('Bank Schedule'!$K$2:$K$825="Vacant", ROW('Bank Schedule'!$K$2:$K$825)), ROW(184:184))), "")</f>
        <v/>
      </c>
      <c r="X187" s="10" t="str">
        <f t="array" ref="X187">IFERROR(INDEX('Bank Schedule'!V:V, SMALL(IF('Bank Schedule'!$K$2:$K$825="Vacant", ROW('Bank Schedule'!$K$2:$K$825)), ROW(184:184))), "")</f>
        <v/>
      </c>
      <c r="Y187" s="10" t="str">
        <f t="array" ref="Y187">IFERROR(INDEX('Bank Schedule'!W:W, SMALL(IF('Bank Schedule'!$K$2:$K$825="Vacant", ROW('Bank Schedule'!$K$2:$K$825)), ROW(184:184))), "")</f>
        <v/>
      </c>
      <c r="Z187" s="61" t="str">
        <f t="array" ref="Z187">IFERROR(INDEX('Bank Schedule'!Z:Z, SMALL(IF('Bank Schedule'!$K$2:$K$825="Vacant", ROW('Bank Schedule'!$K$2:$K$825)), ROW(184:184))), "")</f>
        <v/>
      </c>
      <c r="AA187" s="55" t="str">
        <f t="array" ref="AA187">IFERROR(INDEX('Bank Schedule'!AA:AA, SMALL(IF('Bank Schedule'!$K$2:$K$825="Vacant", ROW('Bank Schedule'!$K$2:$K$825)), ROW(184:184))), "")</f>
        <v/>
      </c>
      <c r="AB187" s="14" t="str">
        <f t="array" ref="AB187">IFERROR(INDEX('Bank Schedule'!AB:AB, SMALL(IF('Bank Schedule'!$K$2:$K$825="Vacant", ROW('Bank Schedule'!$K$2:$K$825)), ROW(184:184))), "")</f>
        <v/>
      </c>
      <c r="AC187" s="4" t="str">
        <f t="array" ref="AC187">IFERROR(INDEX('Bank Schedule'!AC:AC, SMALL(IF('Bank Schedule'!$K$2:$K$825="Vacant", ROW('Bank Schedule'!$K$2:$K$825)), ROW(184:184))), "")</f>
        <v/>
      </c>
    </row>
    <row r="188" spans="1:36" ht="23.25" customHeight="1">
      <c r="A188" s="2" t="str">
        <f t="array" ref="A188">IFERROR(INDEX('Bank Schedule'!A:A, SMALL(IF('Bank Schedule'!$K$2:$K$825="Vacant", ROW('Bank Schedule'!$K$2:$K$825)), ROW(185:185))), "")</f>
        <v/>
      </c>
      <c r="B188" s="11" t="str">
        <f t="array" ref="B188">IFERROR(INDEX('Bank Schedule'!B:B, SMALL(IF('Bank Schedule'!$K$2:$K$825="Vacant", ROW('Bank Schedule'!$K$2:$K$825)), ROW(185:185))), "")</f>
        <v/>
      </c>
      <c r="C188" s="11" t="str">
        <f t="array" ref="C188">IFERROR(INDEX('Bank Schedule'!C:C, SMALL(IF('Bank Schedule'!$K$2:$K$825="Vacant", ROW('Bank Schedule'!$K$2:$K$825)), ROW(185:185))), "")</f>
        <v/>
      </c>
      <c r="D188" s="2" t="str">
        <f t="array" ref="D188">IFERROR(INDEX('Bank Schedule'!D:D, SMALL(IF('Bank Schedule'!$K$2:$K$825="Vacant", ROW('Bank Schedule'!$K$2:$K$825)), ROW(185:185))), "")</f>
        <v/>
      </c>
      <c r="E188" s="4" t="str">
        <f t="array" ref="E188">IFERROR(INDEX('Bank Schedule'!E:E, SMALL(IF('Bank Schedule'!$K$2:$K$825="Vacant", ROW('Bank Schedule'!$K$2:$K$825)), ROW(185:185))), "")</f>
        <v/>
      </c>
      <c r="F188" s="4" t="str">
        <f t="array" ref="F188">IFERROR(INDEX('Bank Schedule'!F:F, SMALL(IF('Bank Schedule'!$K$2:$K$825="Vacant", ROW('Bank Schedule'!$K$2:$K$825)), ROW(185:185))), "")</f>
        <v/>
      </c>
      <c r="G188" s="14" t="str">
        <f t="array" ref="G188">IFERROR(INDEX('Bank Schedule'!G:G, SMALL(IF('Bank Schedule'!$K$2:$K$825="Vacant", ROW('Bank Schedule'!$K$2:$K$825)), ROW(185:185))), "")</f>
        <v/>
      </c>
      <c r="H188" s="7" t="str">
        <f t="array" ref="H188">IFERROR(INDEX('Bank Schedule'!H:H, SMALL(IF('Bank Schedule'!$K$2:$K$825="Vacant", ROW('Bank Schedule'!$K$2:$K$825)), ROW(185:185))), "")</f>
        <v/>
      </c>
      <c r="I188" s="7" t="str">
        <f t="array" ref="I188">IFERROR(INDEX('Bank Schedule'!I:I, SMALL(IF('Bank Schedule'!$K$2:$K$825="Vacant", ROW('Bank Schedule'!$K$2:$K$825)), ROW(185:185))), "")</f>
        <v/>
      </c>
      <c r="J188" s="14" t="str">
        <f t="array" ref="J188">IFERROR(INDEX('Bank Schedule'!K:K, SMALL(IF('Bank Schedule'!$K$2:$K$825="Vacant", ROW('Bank Schedule'!$K$2:$K$825)), ROW(185:185))), "")</f>
        <v/>
      </c>
      <c r="K188" s="25" t="str">
        <f t="array" ref="K188">IFERROR(INDEX('Bank Schedule'!#REF!, SMALL(IF('Bank Schedule'!$K$2:$K$825="Vacant", ROW('Bank Schedule'!$K$2:$K$825)), ROW(185:185))), "")</f>
        <v/>
      </c>
      <c r="L188" s="8" t="str">
        <f t="array" ref="L188">IFERROR(INDEX('Bank Schedule'!L:L, SMALL(IF('Bank Schedule'!$K$2:$K$825="Vacant", ROW('Bank Schedule'!$K$2:$K$825)), ROW(185:185))), "")</f>
        <v/>
      </c>
      <c r="M188" s="9" t="str">
        <f t="array" ref="M188">IFERROR(INDEX('Bank Schedule'!M:M, SMALL(IF('Bank Schedule'!$K$2:$K$825="Vacant", ROW('Bank Schedule'!$K$2:$K$825)), ROW(185:185))), "")</f>
        <v/>
      </c>
      <c r="N188" s="9" t="str">
        <f t="array" ref="N188">IFERROR(INDEX('Bank Schedule'!N:N, SMALL(IF('Bank Schedule'!$K$2:$K$825="Vacant", ROW('Bank Schedule'!$K$2:$K$825)), ROW(185:185))), "")</f>
        <v/>
      </c>
      <c r="O188" s="9" t="str">
        <f t="array" ref="O188">IFERROR(INDEX('Bank Schedule'!O:O, SMALL(IF('Bank Schedule'!$K$2:$K$825="Vacant", ROW('Bank Schedule'!$K$2:$K$825)), ROW(185:185))), "")</f>
        <v/>
      </c>
      <c r="P188" s="9" t="str">
        <f t="array" ref="P188">IFERROR(INDEX('Bank Schedule'!P:P, SMALL(IF('Bank Schedule'!$K$2:$K$825="Vacant", ROW('Bank Schedule'!$K$2:$K$825)), ROW(185:185))), "")</f>
        <v/>
      </c>
      <c r="Q188" s="9" t="str">
        <f t="array" ref="Q188">IFERROR(INDEX('Bank Schedule'!#REF!, SMALL(IF('Bank Schedule'!$K$2:$K$825="Vacant", ROW('Bank Schedule'!$K$2:$K$825)), ROW(185:185))), "")</f>
        <v/>
      </c>
      <c r="R188" s="10" t="str">
        <f t="array" ref="R188">IFERROR(INDEX('Bank Schedule'!Q:Q, SMALL(IF('Bank Schedule'!$K$2:$K$825="Vacant", ROW('Bank Schedule'!$K$2:$K$825)), ROW(185:185))), "")</f>
        <v/>
      </c>
      <c r="S188" s="10" t="str">
        <f t="array" ref="S188">IFERROR(INDEX('Bank Schedule'!R:R, SMALL(IF('Bank Schedule'!$K$2:$K$825="Vacant", ROW('Bank Schedule'!$K$2:$K$825)), ROW(185:185))), "")</f>
        <v/>
      </c>
      <c r="T188" s="10" t="str">
        <f t="array" ref="T188">IFERROR(INDEX('Bank Schedule'!S:S, SMALL(IF('Bank Schedule'!$K$2:$K$825="Vacant", ROW('Bank Schedule'!$K$2:$K$825)), ROW(185:185))), "")</f>
        <v/>
      </c>
      <c r="U188" s="106" t="str">
        <f t="array" ref="U188">IFERROR(INDEX('Bank Schedule'!#REF!, SMALL(IF('Bank Schedule'!$K$2:$K$825="Vacant", ROW('Bank Schedule'!$K$2:$K$825)), ROW(185:185))), "")</f>
        <v/>
      </c>
      <c r="V188" s="10" t="str">
        <f t="array" ref="V188">IFERROR(INDEX('Bank Schedule'!#REF!, SMALL(IF('Bank Schedule'!$K$2:$K$825="Vacant", ROW('Bank Schedule'!$K$2:$K$825)), ROW(185:185))), "")</f>
        <v/>
      </c>
      <c r="W188" s="10" t="str">
        <f t="array" ref="W188">IFERROR(INDEX('Bank Schedule'!#REF!, SMALL(IF('Bank Schedule'!$K$2:$K$825="Vacant", ROW('Bank Schedule'!$K$2:$K$825)), ROW(185:185))), "")</f>
        <v/>
      </c>
      <c r="X188" s="10" t="str">
        <f t="array" ref="X188">IFERROR(INDEX('Bank Schedule'!V:V, SMALL(IF('Bank Schedule'!$K$2:$K$825="Vacant", ROW('Bank Schedule'!$K$2:$K$825)), ROW(185:185))), "")</f>
        <v/>
      </c>
      <c r="Y188" s="10" t="str">
        <f t="array" ref="Y188">IFERROR(INDEX('Bank Schedule'!W:W, SMALL(IF('Bank Schedule'!$K$2:$K$825="Vacant", ROW('Bank Schedule'!$K$2:$K$825)), ROW(185:185))), "")</f>
        <v/>
      </c>
      <c r="Z188" s="61" t="str">
        <f t="array" ref="Z188">IFERROR(INDEX('Bank Schedule'!Z:Z, SMALL(IF('Bank Schedule'!$K$2:$K$825="Vacant", ROW('Bank Schedule'!$K$2:$K$825)), ROW(185:185))), "")</f>
        <v/>
      </c>
      <c r="AA188" s="55" t="str">
        <f t="array" ref="AA188">IFERROR(INDEX('Bank Schedule'!AA:AA, SMALL(IF('Bank Schedule'!$K$2:$K$825="Vacant", ROW('Bank Schedule'!$K$2:$K$825)), ROW(185:185))), "")</f>
        <v/>
      </c>
      <c r="AB188" s="14" t="str">
        <f t="array" ref="AB188">IFERROR(INDEX('Bank Schedule'!AB:AB, SMALL(IF('Bank Schedule'!$K$2:$K$825="Vacant", ROW('Bank Schedule'!$K$2:$K$825)), ROW(185:185))), "")</f>
        <v/>
      </c>
      <c r="AC188" s="4" t="str">
        <f t="array" ref="AC188">IFERROR(INDEX('Bank Schedule'!AC:AC, SMALL(IF('Bank Schedule'!$K$2:$K$825="Vacant", ROW('Bank Schedule'!$K$2:$K$825)), ROW(185:185))), "")</f>
        <v/>
      </c>
    </row>
    <row r="189" spans="1:36" ht="23.25" customHeight="1">
      <c r="A189" s="2" t="str">
        <f t="array" ref="A189">IFERROR(INDEX('Bank Schedule'!A:A, SMALL(IF('Bank Schedule'!$K$2:$K$825="Vacant", ROW('Bank Schedule'!$K$2:$K$825)), ROW(186:186))), "")</f>
        <v/>
      </c>
      <c r="B189" s="11" t="str">
        <f t="array" ref="B189">IFERROR(INDEX('Bank Schedule'!B:B, SMALL(IF('Bank Schedule'!$K$2:$K$825="Vacant", ROW('Bank Schedule'!$K$2:$K$825)), ROW(186:186))), "")</f>
        <v/>
      </c>
      <c r="C189" s="11" t="str">
        <f t="array" ref="C189">IFERROR(INDEX('Bank Schedule'!C:C, SMALL(IF('Bank Schedule'!$K$2:$K$825="Vacant", ROW('Bank Schedule'!$K$2:$K$825)), ROW(186:186))), "")</f>
        <v/>
      </c>
      <c r="D189" s="2" t="str">
        <f t="array" ref="D189">IFERROR(INDEX('Bank Schedule'!D:D, SMALL(IF('Bank Schedule'!$K$2:$K$825="Vacant", ROW('Bank Schedule'!$K$2:$K$825)), ROW(186:186))), "")</f>
        <v/>
      </c>
      <c r="E189" s="4" t="str">
        <f t="array" ref="E189">IFERROR(INDEX('Bank Schedule'!E:E, SMALL(IF('Bank Schedule'!$K$2:$K$825="Vacant", ROW('Bank Schedule'!$K$2:$K$825)), ROW(186:186))), "")</f>
        <v/>
      </c>
      <c r="F189" s="4" t="str">
        <f t="array" ref="F189">IFERROR(INDEX('Bank Schedule'!F:F, SMALL(IF('Bank Schedule'!$K$2:$K$825="Vacant", ROW('Bank Schedule'!$K$2:$K$825)), ROW(186:186))), "")</f>
        <v/>
      </c>
      <c r="G189" s="14" t="str">
        <f t="array" ref="G189">IFERROR(INDEX('Bank Schedule'!G:G, SMALL(IF('Bank Schedule'!$K$2:$K$825="Vacant", ROW('Bank Schedule'!$K$2:$K$825)), ROW(186:186))), "")</f>
        <v/>
      </c>
      <c r="H189" s="7" t="str">
        <f t="array" ref="H189">IFERROR(INDEX('Bank Schedule'!H:H, SMALL(IF('Bank Schedule'!$K$2:$K$825="Vacant", ROW('Bank Schedule'!$K$2:$K$825)), ROW(186:186))), "")</f>
        <v/>
      </c>
      <c r="I189" s="7" t="str">
        <f t="array" ref="I189">IFERROR(INDEX('Bank Schedule'!I:I, SMALL(IF('Bank Schedule'!$K$2:$K$825="Vacant", ROW('Bank Schedule'!$K$2:$K$825)), ROW(186:186))), "")</f>
        <v/>
      </c>
      <c r="J189" s="14" t="str">
        <f t="array" ref="J189">IFERROR(INDEX('Bank Schedule'!K:K, SMALL(IF('Bank Schedule'!$K$2:$K$825="Vacant", ROW('Bank Schedule'!$K$2:$K$825)), ROW(186:186))), "")</f>
        <v/>
      </c>
      <c r="K189" s="25" t="str">
        <f t="array" ref="K189">IFERROR(INDEX('Bank Schedule'!#REF!, SMALL(IF('Bank Schedule'!$K$2:$K$825="Vacant", ROW('Bank Schedule'!$K$2:$K$825)), ROW(186:186))), "")</f>
        <v/>
      </c>
      <c r="L189" s="8" t="str">
        <f t="array" ref="L189">IFERROR(INDEX('Bank Schedule'!L:L, SMALL(IF('Bank Schedule'!$K$2:$K$825="Vacant", ROW('Bank Schedule'!$K$2:$K$825)), ROW(186:186))), "")</f>
        <v/>
      </c>
      <c r="M189" s="9" t="str">
        <f t="array" ref="M189">IFERROR(INDEX('Bank Schedule'!M:M, SMALL(IF('Bank Schedule'!$K$2:$K$825="Vacant", ROW('Bank Schedule'!$K$2:$K$825)), ROW(186:186))), "")</f>
        <v/>
      </c>
      <c r="N189" s="9" t="str">
        <f t="array" ref="N189">IFERROR(INDEX('Bank Schedule'!N:N, SMALL(IF('Bank Schedule'!$K$2:$K$825="Vacant", ROW('Bank Schedule'!$K$2:$K$825)), ROW(186:186))), "")</f>
        <v/>
      </c>
      <c r="O189" s="9" t="str">
        <f t="array" ref="O189">IFERROR(INDEX('Bank Schedule'!O:O, SMALL(IF('Bank Schedule'!$K$2:$K$825="Vacant", ROW('Bank Schedule'!$K$2:$K$825)), ROW(186:186))), "")</f>
        <v/>
      </c>
      <c r="P189" s="9" t="str">
        <f t="array" ref="P189">IFERROR(INDEX('Bank Schedule'!P:P, SMALL(IF('Bank Schedule'!$K$2:$K$825="Vacant", ROW('Bank Schedule'!$K$2:$K$825)), ROW(186:186))), "")</f>
        <v/>
      </c>
      <c r="Q189" s="9" t="str">
        <f t="array" ref="Q189">IFERROR(INDEX('Bank Schedule'!#REF!, SMALL(IF('Bank Schedule'!$K$2:$K$825="Vacant", ROW('Bank Schedule'!$K$2:$K$825)), ROW(186:186))), "")</f>
        <v/>
      </c>
      <c r="R189" s="10" t="str">
        <f t="array" ref="R189">IFERROR(INDEX('Bank Schedule'!Q:Q, SMALL(IF('Bank Schedule'!$K$2:$K$825="Vacant", ROW('Bank Schedule'!$K$2:$K$825)), ROW(186:186))), "")</f>
        <v/>
      </c>
      <c r="S189" s="10" t="str">
        <f t="array" ref="S189">IFERROR(INDEX('Bank Schedule'!R:R, SMALL(IF('Bank Schedule'!$K$2:$K$825="Vacant", ROW('Bank Schedule'!$K$2:$K$825)), ROW(186:186))), "")</f>
        <v/>
      </c>
      <c r="T189" s="10" t="str">
        <f t="array" ref="T189">IFERROR(INDEX('Bank Schedule'!S:S, SMALL(IF('Bank Schedule'!$K$2:$K$825="Vacant", ROW('Bank Schedule'!$K$2:$K$825)), ROW(186:186))), "")</f>
        <v/>
      </c>
      <c r="U189" s="106" t="str">
        <f t="array" ref="U189">IFERROR(INDEX('Bank Schedule'!#REF!, SMALL(IF('Bank Schedule'!$K$2:$K$825="Vacant", ROW('Bank Schedule'!$K$2:$K$825)), ROW(186:186))), "")</f>
        <v/>
      </c>
      <c r="V189" s="10" t="str">
        <f t="array" ref="V189">IFERROR(INDEX('Bank Schedule'!#REF!, SMALL(IF('Bank Schedule'!$K$2:$K$825="Vacant", ROW('Bank Schedule'!$K$2:$K$825)), ROW(186:186))), "")</f>
        <v/>
      </c>
      <c r="W189" s="10" t="str">
        <f t="array" ref="W189">IFERROR(INDEX('Bank Schedule'!#REF!, SMALL(IF('Bank Schedule'!$K$2:$K$825="Vacant", ROW('Bank Schedule'!$K$2:$K$825)), ROW(186:186))), "")</f>
        <v/>
      </c>
      <c r="X189" s="10" t="str">
        <f t="array" ref="X189">IFERROR(INDEX('Bank Schedule'!V:V, SMALL(IF('Bank Schedule'!$K$2:$K$825="Vacant", ROW('Bank Schedule'!$K$2:$K$825)), ROW(186:186))), "")</f>
        <v/>
      </c>
      <c r="Y189" s="10" t="str">
        <f t="array" ref="Y189">IFERROR(INDEX('Bank Schedule'!W:W, SMALL(IF('Bank Schedule'!$K$2:$K$825="Vacant", ROW('Bank Schedule'!$K$2:$K$825)), ROW(186:186))), "")</f>
        <v/>
      </c>
      <c r="Z189" s="61" t="str">
        <f t="array" ref="Z189">IFERROR(INDEX('Bank Schedule'!Z:Z, SMALL(IF('Bank Schedule'!$K$2:$K$825="Vacant", ROW('Bank Schedule'!$K$2:$K$825)), ROW(186:186))), "")</f>
        <v/>
      </c>
      <c r="AA189" s="55" t="str">
        <f t="array" ref="AA189">IFERROR(INDEX('Bank Schedule'!AA:AA, SMALL(IF('Bank Schedule'!$K$2:$K$825="Vacant", ROW('Bank Schedule'!$K$2:$K$825)), ROW(186:186))), "")</f>
        <v/>
      </c>
      <c r="AB189" s="14" t="str">
        <f t="array" ref="AB189">IFERROR(INDEX('Bank Schedule'!AB:AB, SMALL(IF('Bank Schedule'!$K$2:$K$825="Vacant", ROW('Bank Schedule'!$K$2:$K$825)), ROW(186:186))), "")</f>
        <v/>
      </c>
      <c r="AC189" s="4" t="str">
        <f t="array" ref="AC189">IFERROR(INDEX('Bank Schedule'!AC:AC, SMALL(IF('Bank Schedule'!$K$2:$K$825="Vacant", ROW('Bank Schedule'!$K$2:$K$825)), ROW(186:186))), "")</f>
        <v/>
      </c>
    </row>
    <row r="190" spans="1:36" ht="23.25" customHeight="1">
      <c r="A190" s="2" t="str">
        <f t="array" ref="A190">IFERROR(INDEX('Bank Schedule'!A:A, SMALL(IF('Bank Schedule'!$K$2:$K$825="Vacant", ROW('Bank Schedule'!$K$2:$K$825)), ROW(187:187))), "")</f>
        <v/>
      </c>
      <c r="B190" s="11" t="str">
        <f t="array" ref="B190">IFERROR(INDEX('Bank Schedule'!B:B, SMALL(IF('Bank Schedule'!$K$2:$K$825="Vacant", ROW('Bank Schedule'!$K$2:$K$825)), ROW(187:187))), "")</f>
        <v/>
      </c>
      <c r="C190" s="11" t="str">
        <f t="array" ref="C190">IFERROR(INDEX('Bank Schedule'!C:C, SMALL(IF('Bank Schedule'!$K$2:$K$825="Vacant", ROW('Bank Schedule'!$K$2:$K$825)), ROW(187:187))), "")</f>
        <v/>
      </c>
      <c r="D190" s="2" t="str">
        <f t="array" ref="D190">IFERROR(INDEX('Bank Schedule'!D:D, SMALL(IF('Bank Schedule'!$K$2:$K$825="Vacant", ROW('Bank Schedule'!$K$2:$K$825)), ROW(187:187))), "")</f>
        <v/>
      </c>
      <c r="E190" s="4" t="str">
        <f t="array" ref="E190">IFERROR(INDEX('Bank Schedule'!E:E, SMALL(IF('Bank Schedule'!$K$2:$K$825="Vacant", ROW('Bank Schedule'!$K$2:$K$825)), ROW(187:187))), "")</f>
        <v/>
      </c>
      <c r="F190" s="4" t="str">
        <f t="array" ref="F190">IFERROR(INDEX('Bank Schedule'!F:F, SMALL(IF('Bank Schedule'!$K$2:$K$825="Vacant", ROW('Bank Schedule'!$K$2:$K$825)), ROW(187:187))), "")</f>
        <v/>
      </c>
      <c r="G190" s="14" t="str">
        <f t="array" ref="G190">IFERROR(INDEX('Bank Schedule'!G:G, SMALL(IF('Bank Schedule'!$K$2:$K$825="Vacant", ROW('Bank Schedule'!$K$2:$K$825)), ROW(187:187))), "")</f>
        <v/>
      </c>
      <c r="H190" s="7" t="str">
        <f t="array" ref="H190">IFERROR(INDEX('Bank Schedule'!H:H, SMALL(IF('Bank Schedule'!$K$2:$K$825="Vacant", ROW('Bank Schedule'!$K$2:$K$825)), ROW(187:187))), "")</f>
        <v/>
      </c>
      <c r="I190" s="7" t="str">
        <f t="array" ref="I190">IFERROR(INDEX('Bank Schedule'!I:I, SMALL(IF('Bank Schedule'!$K$2:$K$825="Vacant", ROW('Bank Schedule'!$K$2:$K$825)), ROW(187:187))), "")</f>
        <v/>
      </c>
      <c r="J190" s="14" t="str">
        <f t="array" ref="J190">IFERROR(INDEX('Bank Schedule'!K:K, SMALL(IF('Bank Schedule'!$K$2:$K$825="Vacant", ROW('Bank Schedule'!$K$2:$K$825)), ROW(187:187))), "")</f>
        <v/>
      </c>
      <c r="K190" s="25" t="str">
        <f t="array" ref="K190">IFERROR(INDEX('Bank Schedule'!#REF!, SMALL(IF('Bank Schedule'!$K$2:$K$825="Vacant", ROW('Bank Schedule'!$K$2:$K$825)), ROW(187:187))), "")</f>
        <v/>
      </c>
      <c r="L190" s="8" t="str">
        <f t="array" ref="L190">IFERROR(INDEX('Bank Schedule'!L:L, SMALL(IF('Bank Schedule'!$K$2:$K$825="Vacant", ROW('Bank Schedule'!$K$2:$K$825)), ROW(187:187))), "")</f>
        <v/>
      </c>
      <c r="M190" s="9" t="str">
        <f t="array" ref="M190">IFERROR(INDEX('Bank Schedule'!M:M, SMALL(IF('Bank Schedule'!$K$2:$K$825="Vacant", ROW('Bank Schedule'!$K$2:$K$825)), ROW(187:187))), "")</f>
        <v/>
      </c>
      <c r="N190" s="9" t="str">
        <f t="array" ref="N190">IFERROR(INDEX('Bank Schedule'!N:N, SMALL(IF('Bank Schedule'!$K$2:$K$825="Vacant", ROW('Bank Schedule'!$K$2:$K$825)), ROW(187:187))), "")</f>
        <v/>
      </c>
      <c r="O190" s="9" t="str">
        <f t="array" ref="O190">IFERROR(INDEX('Bank Schedule'!O:O, SMALL(IF('Bank Schedule'!$K$2:$K$825="Vacant", ROW('Bank Schedule'!$K$2:$K$825)), ROW(187:187))), "")</f>
        <v/>
      </c>
      <c r="P190" s="9" t="str">
        <f t="array" ref="P190">IFERROR(INDEX('Bank Schedule'!P:P, SMALL(IF('Bank Schedule'!$K$2:$K$825="Vacant", ROW('Bank Schedule'!$K$2:$K$825)), ROW(187:187))), "")</f>
        <v/>
      </c>
      <c r="Q190" s="9" t="str">
        <f t="array" ref="Q190">IFERROR(INDEX('Bank Schedule'!#REF!, SMALL(IF('Bank Schedule'!$K$2:$K$825="Vacant", ROW('Bank Schedule'!$K$2:$K$825)), ROW(187:187))), "")</f>
        <v/>
      </c>
      <c r="R190" s="10" t="str">
        <f t="array" ref="R190">IFERROR(INDEX('Bank Schedule'!Q:Q, SMALL(IF('Bank Schedule'!$K$2:$K$825="Vacant", ROW('Bank Schedule'!$K$2:$K$825)), ROW(187:187))), "")</f>
        <v/>
      </c>
      <c r="S190" s="10" t="str">
        <f t="array" ref="S190">IFERROR(INDEX('Bank Schedule'!R:R, SMALL(IF('Bank Schedule'!$K$2:$K$825="Vacant", ROW('Bank Schedule'!$K$2:$K$825)), ROW(187:187))), "")</f>
        <v/>
      </c>
      <c r="T190" s="10" t="str">
        <f t="array" ref="T190">IFERROR(INDEX('Bank Schedule'!S:S, SMALL(IF('Bank Schedule'!$K$2:$K$825="Vacant", ROW('Bank Schedule'!$K$2:$K$825)), ROW(187:187))), "")</f>
        <v/>
      </c>
      <c r="U190" s="106" t="str">
        <f t="array" ref="U190">IFERROR(INDEX('Bank Schedule'!#REF!, SMALL(IF('Bank Schedule'!$K$2:$K$825="Vacant", ROW('Bank Schedule'!$K$2:$K$825)), ROW(187:187))), "")</f>
        <v/>
      </c>
      <c r="V190" s="10" t="str">
        <f t="array" ref="V190">IFERROR(INDEX('Bank Schedule'!#REF!, SMALL(IF('Bank Schedule'!$K$2:$K$825="Vacant", ROW('Bank Schedule'!$K$2:$K$825)), ROW(187:187))), "")</f>
        <v/>
      </c>
      <c r="W190" s="10" t="str">
        <f t="array" ref="W190">IFERROR(INDEX('Bank Schedule'!#REF!, SMALL(IF('Bank Schedule'!$K$2:$K$825="Vacant", ROW('Bank Schedule'!$K$2:$K$825)), ROW(187:187))), "")</f>
        <v/>
      </c>
      <c r="X190" s="10" t="str">
        <f t="array" ref="X190">IFERROR(INDEX('Bank Schedule'!V:V, SMALL(IF('Bank Schedule'!$K$2:$K$825="Vacant", ROW('Bank Schedule'!$K$2:$K$825)), ROW(187:187))), "")</f>
        <v/>
      </c>
      <c r="Y190" s="10" t="str">
        <f t="array" ref="Y190">IFERROR(INDEX('Bank Schedule'!W:W, SMALL(IF('Bank Schedule'!$K$2:$K$825="Vacant", ROW('Bank Schedule'!$K$2:$K$825)), ROW(187:187))), "")</f>
        <v/>
      </c>
      <c r="Z190" s="61" t="str">
        <f t="array" ref="Z190">IFERROR(INDEX('Bank Schedule'!Z:Z, SMALL(IF('Bank Schedule'!$K$2:$K$825="Vacant", ROW('Bank Schedule'!$K$2:$K$825)), ROW(187:187))), "")</f>
        <v/>
      </c>
      <c r="AA190" s="55" t="str">
        <f t="array" ref="AA190">IFERROR(INDEX('Bank Schedule'!AA:AA, SMALL(IF('Bank Schedule'!$K$2:$K$825="Vacant", ROW('Bank Schedule'!$K$2:$K$825)), ROW(187:187))), "")</f>
        <v/>
      </c>
      <c r="AB190" s="14" t="str">
        <f t="array" ref="AB190">IFERROR(INDEX('Bank Schedule'!AB:AB, SMALL(IF('Bank Schedule'!$K$2:$K$825="Vacant", ROW('Bank Schedule'!$K$2:$K$825)), ROW(187:187))), "")</f>
        <v/>
      </c>
      <c r="AC190" s="4" t="str">
        <f t="array" ref="AC190">IFERROR(INDEX('Bank Schedule'!AC:AC, SMALL(IF('Bank Schedule'!$K$2:$K$825="Vacant", ROW('Bank Schedule'!$K$2:$K$825)), ROW(187:187))), "")</f>
        <v/>
      </c>
    </row>
    <row r="191" spans="1:36" ht="23.25" customHeight="1">
      <c r="A191" s="2" t="str">
        <f t="array" ref="A191">IFERROR(INDEX('Bank Schedule'!A:A, SMALL(IF('Bank Schedule'!$K$2:$K$825="Vacant", ROW('Bank Schedule'!$K$2:$K$825)), ROW(188:188))), "")</f>
        <v/>
      </c>
      <c r="B191" s="11" t="str">
        <f t="array" ref="B191">IFERROR(INDEX('Bank Schedule'!B:B, SMALL(IF('Bank Schedule'!$K$2:$K$825="Vacant", ROW('Bank Schedule'!$K$2:$K$825)), ROW(188:188))), "")</f>
        <v/>
      </c>
      <c r="C191" s="11" t="str">
        <f t="array" ref="C191">IFERROR(INDEX('Bank Schedule'!C:C, SMALL(IF('Bank Schedule'!$K$2:$K$825="Vacant", ROW('Bank Schedule'!$K$2:$K$825)), ROW(188:188))), "")</f>
        <v/>
      </c>
      <c r="D191" s="2" t="str">
        <f t="array" ref="D191">IFERROR(INDEX('Bank Schedule'!D:D, SMALL(IF('Bank Schedule'!$K$2:$K$825="Vacant", ROW('Bank Schedule'!$K$2:$K$825)), ROW(188:188))), "")</f>
        <v/>
      </c>
      <c r="E191" s="4" t="str">
        <f t="array" ref="E191">IFERROR(INDEX('Bank Schedule'!E:E, SMALL(IF('Bank Schedule'!$K$2:$K$825="Vacant", ROW('Bank Schedule'!$K$2:$K$825)), ROW(188:188))), "")</f>
        <v/>
      </c>
      <c r="F191" s="4" t="str">
        <f t="array" ref="F191">IFERROR(INDEX('Bank Schedule'!F:F, SMALL(IF('Bank Schedule'!$K$2:$K$825="Vacant", ROW('Bank Schedule'!$K$2:$K$825)), ROW(188:188))), "")</f>
        <v/>
      </c>
      <c r="G191" s="14" t="str">
        <f t="array" ref="G191">IFERROR(INDEX('Bank Schedule'!G:G, SMALL(IF('Bank Schedule'!$K$2:$K$825="Vacant", ROW('Bank Schedule'!$K$2:$K$825)), ROW(188:188))), "")</f>
        <v/>
      </c>
      <c r="H191" s="7" t="str">
        <f t="array" ref="H191">IFERROR(INDEX('Bank Schedule'!H:H, SMALL(IF('Bank Schedule'!$K$2:$K$825="Vacant", ROW('Bank Schedule'!$K$2:$K$825)), ROW(188:188))), "")</f>
        <v/>
      </c>
      <c r="I191" s="7" t="str">
        <f t="array" ref="I191">IFERROR(INDEX('Bank Schedule'!I:I, SMALL(IF('Bank Schedule'!$K$2:$K$825="Vacant", ROW('Bank Schedule'!$K$2:$K$825)), ROW(188:188))), "")</f>
        <v/>
      </c>
      <c r="J191" s="14" t="str">
        <f t="array" ref="J191">IFERROR(INDEX('Bank Schedule'!K:K, SMALL(IF('Bank Schedule'!$K$2:$K$825="Vacant", ROW('Bank Schedule'!$K$2:$K$825)), ROW(188:188))), "")</f>
        <v/>
      </c>
      <c r="K191" s="25" t="str">
        <f t="array" ref="K191">IFERROR(INDEX('Bank Schedule'!#REF!, SMALL(IF('Bank Schedule'!$K$2:$K$825="Vacant", ROW('Bank Schedule'!$K$2:$K$825)), ROW(188:188))), "")</f>
        <v/>
      </c>
      <c r="L191" s="8" t="str">
        <f t="array" ref="L191">IFERROR(INDEX('Bank Schedule'!L:L, SMALL(IF('Bank Schedule'!$K$2:$K$825="Vacant", ROW('Bank Schedule'!$K$2:$K$825)), ROW(188:188))), "")</f>
        <v/>
      </c>
      <c r="M191" s="9" t="str">
        <f t="array" ref="M191">IFERROR(INDEX('Bank Schedule'!M:M, SMALL(IF('Bank Schedule'!$K$2:$K$825="Vacant", ROW('Bank Schedule'!$K$2:$K$825)), ROW(188:188))), "")</f>
        <v/>
      </c>
      <c r="N191" s="9" t="str">
        <f t="array" ref="N191">IFERROR(INDEX('Bank Schedule'!N:N, SMALL(IF('Bank Schedule'!$K$2:$K$825="Vacant", ROW('Bank Schedule'!$K$2:$K$825)), ROW(188:188))), "")</f>
        <v/>
      </c>
      <c r="O191" s="9" t="str">
        <f t="array" ref="O191">IFERROR(INDEX('Bank Schedule'!O:O, SMALL(IF('Bank Schedule'!$K$2:$K$825="Vacant", ROW('Bank Schedule'!$K$2:$K$825)), ROW(188:188))), "")</f>
        <v/>
      </c>
      <c r="P191" s="9" t="str">
        <f t="array" ref="P191">IFERROR(INDEX('Bank Schedule'!P:P, SMALL(IF('Bank Schedule'!$K$2:$K$825="Vacant", ROW('Bank Schedule'!$K$2:$K$825)), ROW(188:188))), "")</f>
        <v/>
      </c>
      <c r="Q191" s="9" t="str">
        <f t="array" ref="Q191">IFERROR(INDEX('Bank Schedule'!#REF!, SMALL(IF('Bank Schedule'!$K$2:$K$825="Vacant", ROW('Bank Schedule'!$K$2:$K$825)), ROW(188:188))), "")</f>
        <v/>
      </c>
      <c r="R191" s="10" t="str">
        <f t="array" ref="R191">IFERROR(INDEX('Bank Schedule'!Q:Q, SMALL(IF('Bank Schedule'!$K$2:$K$825="Vacant", ROW('Bank Schedule'!$K$2:$K$825)), ROW(188:188))), "")</f>
        <v/>
      </c>
      <c r="S191" s="10" t="str">
        <f t="array" ref="S191">IFERROR(INDEX('Bank Schedule'!R:R, SMALL(IF('Bank Schedule'!$K$2:$K$825="Vacant", ROW('Bank Schedule'!$K$2:$K$825)), ROW(188:188))), "")</f>
        <v/>
      </c>
      <c r="T191" s="10" t="str">
        <f t="array" ref="T191">IFERROR(INDEX('Bank Schedule'!S:S, SMALL(IF('Bank Schedule'!$K$2:$K$825="Vacant", ROW('Bank Schedule'!$K$2:$K$825)), ROW(188:188))), "")</f>
        <v/>
      </c>
      <c r="U191" s="106" t="str">
        <f t="array" ref="U191">IFERROR(INDEX('Bank Schedule'!#REF!, SMALL(IF('Bank Schedule'!$K$2:$K$825="Vacant", ROW('Bank Schedule'!$K$2:$K$825)), ROW(188:188))), "")</f>
        <v/>
      </c>
      <c r="V191" s="10" t="str">
        <f t="array" ref="V191">IFERROR(INDEX('Bank Schedule'!#REF!, SMALL(IF('Bank Schedule'!$K$2:$K$825="Vacant", ROW('Bank Schedule'!$K$2:$K$825)), ROW(188:188))), "")</f>
        <v/>
      </c>
      <c r="W191" s="10" t="str">
        <f t="array" ref="W191">IFERROR(INDEX('Bank Schedule'!#REF!, SMALL(IF('Bank Schedule'!$K$2:$K$825="Vacant", ROW('Bank Schedule'!$K$2:$K$825)), ROW(188:188))), "")</f>
        <v/>
      </c>
      <c r="X191" s="10" t="str">
        <f t="array" ref="X191">IFERROR(INDEX('Bank Schedule'!V:V, SMALL(IF('Bank Schedule'!$K$2:$K$825="Vacant", ROW('Bank Schedule'!$K$2:$K$825)), ROW(188:188))), "")</f>
        <v/>
      </c>
      <c r="Y191" s="10" t="str">
        <f t="array" ref="Y191">IFERROR(INDEX('Bank Schedule'!W:W, SMALL(IF('Bank Schedule'!$K$2:$K$825="Vacant", ROW('Bank Schedule'!$K$2:$K$825)), ROW(188:188))), "")</f>
        <v/>
      </c>
      <c r="Z191" s="61" t="str">
        <f t="array" ref="Z191">IFERROR(INDEX('Bank Schedule'!Z:Z, SMALL(IF('Bank Schedule'!$K$2:$K$825="Vacant", ROW('Bank Schedule'!$K$2:$K$825)), ROW(188:188))), "")</f>
        <v/>
      </c>
      <c r="AA191" s="55" t="str">
        <f t="array" ref="AA191">IFERROR(INDEX('Bank Schedule'!AA:AA, SMALL(IF('Bank Schedule'!$K$2:$K$825="Vacant", ROW('Bank Schedule'!$K$2:$K$825)), ROW(188:188))), "")</f>
        <v/>
      </c>
      <c r="AB191" s="14" t="str">
        <f t="array" ref="AB191">IFERROR(INDEX('Bank Schedule'!AB:AB, SMALL(IF('Bank Schedule'!$K$2:$K$825="Vacant", ROW('Bank Schedule'!$K$2:$K$825)), ROW(188:188))), "")</f>
        <v/>
      </c>
      <c r="AC191" s="4" t="str">
        <f t="array" ref="AC191">IFERROR(INDEX('Bank Schedule'!AC:AC, SMALL(IF('Bank Schedule'!$K$2:$K$825="Vacant", ROW('Bank Schedule'!$K$2:$K$825)), ROW(188:188))), "")</f>
        <v/>
      </c>
    </row>
    <row r="192" spans="1:36" ht="23.25" customHeight="1">
      <c r="A192" s="2" t="str">
        <f t="array" ref="A192">IFERROR(INDEX('Bank Schedule'!A:A, SMALL(IF('Bank Schedule'!$K$2:$K$825="Vacant", ROW('Bank Schedule'!$K$2:$K$825)), ROW(189:189))), "")</f>
        <v/>
      </c>
      <c r="B192" s="11" t="str">
        <f t="array" ref="B192">IFERROR(INDEX('Bank Schedule'!B:B, SMALL(IF('Bank Schedule'!$K$2:$K$825="Vacant", ROW('Bank Schedule'!$K$2:$K$825)), ROW(189:189))), "")</f>
        <v/>
      </c>
      <c r="C192" s="11" t="str">
        <f t="array" ref="C192">IFERROR(INDEX('Bank Schedule'!C:C, SMALL(IF('Bank Schedule'!$K$2:$K$825="Vacant", ROW('Bank Schedule'!$K$2:$K$825)), ROW(189:189))), "")</f>
        <v/>
      </c>
      <c r="D192" s="2" t="str">
        <f t="array" ref="D192">IFERROR(INDEX('Bank Schedule'!D:D, SMALL(IF('Bank Schedule'!$K$2:$K$825="Vacant", ROW('Bank Schedule'!$K$2:$K$825)), ROW(189:189))), "")</f>
        <v/>
      </c>
      <c r="E192" s="4" t="str">
        <f t="array" ref="E192">IFERROR(INDEX('Bank Schedule'!E:E, SMALL(IF('Bank Schedule'!$K$2:$K$825="Vacant", ROW('Bank Schedule'!$K$2:$K$825)), ROW(189:189))), "")</f>
        <v/>
      </c>
      <c r="F192" s="4" t="str">
        <f t="array" ref="F192">IFERROR(INDEX('Bank Schedule'!F:F, SMALL(IF('Bank Schedule'!$K$2:$K$825="Vacant", ROW('Bank Schedule'!$K$2:$K$825)), ROW(189:189))), "")</f>
        <v/>
      </c>
      <c r="G192" s="14" t="str">
        <f t="array" ref="G192">IFERROR(INDEX('Bank Schedule'!G:G, SMALL(IF('Bank Schedule'!$K$2:$K$825="Vacant", ROW('Bank Schedule'!$K$2:$K$825)), ROW(189:189))), "")</f>
        <v/>
      </c>
      <c r="H192" s="7" t="str">
        <f t="array" ref="H192">IFERROR(INDEX('Bank Schedule'!H:H, SMALL(IF('Bank Schedule'!$K$2:$K$825="Vacant", ROW('Bank Schedule'!$K$2:$K$825)), ROW(189:189))), "")</f>
        <v/>
      </c>
      <c r="I192" s="7" t="str">
        <f t="array" ref="I192">IFERROR(INDEX('Bank Schedule'!I:I, SMALL(IF('Bank Schedule'!$K$2:$K$825="Vacant", ROW('Bank Schedule'!$K$2:$K$825)), ROW(189:189))), "")</f>
        <v/>
      </c>
      <c r="J192" s="14" t="str">
        <f t="array" ref="J192">IFERROR(INDEX('Bank Schedule'!K:K, SMALL(IF('Bank Schedule'!$K$2:$K$825="Vacant", ROW('Bank Schedule'!$K$2:$K$825)), ROW(189:189))), "")</f>
        <v/>
      </c>
      <c r="K192" s="25" t="str">
        <f t="array" ref="K192">IFERROR(INDEX('Bank Schedule'!#REF!, SMALL(IF('Bank Schedule'!$K$2:$K$825="Vacant", ROW('Bank Schedule'!$K$2:$K$825)), ROW(189:189))), "")</f>
        <v/>
      </c>
      <c r="L192" s="8" t="str">
        <f t="array" ref="L192">IFERROR(INDEX('Bank Schedule'!L:L, SMALL(IF('Bank Schedule'!$K$2:$K$825="Vacant", ROW('Bank Schedule'!$K$2:$K$825)), ROW(189:189))), "")</f>
        <v/>
      </c>
      <c r="M192" s="9" t="str">
        <f t="array" ref="M192">IFERROR(INDEX('Bank Schedule'!M:M, SMALL(IF('Bank Schedule'!$K$2:$K$825="Vacant", ROW('Bank Schedule'!$K$2:$K$825)), ROW(189:189))), "")</f>
        <v/>
      </c>
      <c r="N192" s="9" t="str">
        <f t="array" ref="N192">IFERROR(INDEX('Bank Schedule'!N:N, SMALL(IF('Bank Schedule'!$K$2:$K$825="Vacant", ROW('Bank Schedule'!$K$2:$K$825)), ROW(189:189))), "")</f>
        <v/>
      </c>
      <c r="O192" s="9" t="str">
        <f t="array" ref="O192">IFERROR(INDEX('Bank Schedule'!O:O, SMALL(IF('Bank Schedule'!$K$2:$K$825="Vacant", ROW('Bank Schedule'!$K$2:$K$825)), ROW(189:189))), "")</f>
        <v/>
      </c>
      <c r="P192" s="9" t="str">
        <f t="array" ref="P192">IFERROR(INDEX('Bank Schedule'!P:P, SMALL(IF('Bank Schedule'!$K$2:$K$825="Vacant", ROW('Bank Schedule'!$K$2:$K$825)), ROW(189:189))), "")</f>
        <v/>
      </c>
      <c r="Q192" s="9" t="str">
        <f t="array" ref="Q192">IFERROR(INDEX('Bank Schedule'!#REF!, SMALL(IF('Bank Schedule'!$K$2:$K$825="Vacant", ROW('Bank Schedule'!$K$2:$K$825)), ROW(189:189))), "")</f>
        <v/>
      </c>
      <c r="R192" s="10" t="str">
        <f t="array" ref="R192">IFERROR(INDEX('Bank Schedule'!Q:Q, SMALL(IF('Bank Schedule'!$K$2:$K$825="Vacant", ROW('Bank Schedule'!$K$2:$K$825)), ROW(189:189))), "")</f>
        <v/>
      </c>
      <c r="S192" s="10" t="str">
        <f t="array" ref="S192">IFERROR(INDEX('Bank Schedule'!R:R, SMALL(IF('Bank Schedule'!$K$2:$K$825="Vacant", ROW('Bank Schedule'!$K$2:$K$825)), ROW(189:189))), "")</f>
        <v/>
      </c>
      <c r="T192" s="10" t="str">
        <f t="array" ref="T192">IFERROR(INDEX('Bank Schedule'!S:S, SMALL(IF('Bank Schedule'!$K$2:$K$825="Vacant", ROW('Bank Schedule'!$K$2:$K$825)), ROW(189:189))), "")</f>
        <v/>
      </c>
      <c r="U192" s="106" t="str">
        <f t="array" ref="U192">IFERROR(INDEX('Bank Schedule'!#REF!, SMALL(IF('Bank Schedule'!$K$2:$K$825="Vacant", ROW('Bank Schedule'!$K$2:$K$825)), ROW(189:189))), "")</f>
        <v/>
      </c>
      <c r="V192" s="10" t="str">
        <f t="array" ref="V192">IFERROR(INDEX('Bank Schedule'!#REF!, SMALL(IF('Bank Schedule'!$K$2:$K$825="Vacant", ROW('Bank Schedule'!$K$2:$K$825)), ROW(189:189))), "")</f>
        <v/>
      </c>
      <c r="W192" s="10" t="str">
        <f t="array" ref="W192">IFERROR(INDEX('Bank Schedule'!#REF!, SMALL(IF('Bank Schedule'!$K$2:$K$825="Vacant", ROW('Bank Schedule'!$K$2:$K$825)), ROW(189:189))), "")</f>
        <v/>
      </c>
      <c r="X192" s="10" t="str">
        <f t="array" ref="X192">IFERROR(INDEX('Bank Schedule'!V:V, SMALL(IF('Bank Schedule'!$K$2:$K$825="Vacant", ROW('Bank Schedule'!$K$2:$K$825)), ROW(189:189))), "")</f>
        <v/>
      </c>
      <c r="Y192" s="10" t="str">
        <f t="array" ref="Y192">IFERROR(INDEX('Bank Schedule'!W:W, SMALL(IF('Bank Schedule'!$K$2:$K$825="Vacant", ROW('Bank Schedule'!$K$2:$K$825)), ROW(189:189))), "")</f>
        <v/>
      </c>
      <c r="Z192" s="61" t="str">
        <f t="array" ref="Z192">IFERROR(INDEX('Bank Schedule'!Z:Z, SMALL(IF('Bank Schedule'!$K$2:$K$825="Vacant", ROW('Bank Schedule'!$K$2:$K$825)), ROW(189:189))), "")</f>
        <v/>
      </c>
      <c r="AA192" s="55" t="str">
        <f t="array" ref="AA192">IFERROR(INDEX('Bank Schedule'!AA:AA, SMALL(IF('Bank Schedule'!$K$2:$K$825="Vacant", ROW('Bank Schedule'!$K$2:$K$825)), ROW(189:189))), "")</f>
        <v/>
      </c>
      <c r="AB192" s="14" t="str">
        <f t="array" ref="AB192">IFERROR(INDEX('Bank Schedule'!AB:AB, SMALL(IF('Bank Schedule'!$K$2:$K$825="Vacant", ROW('Bank Schedule'!$K$2:$K$825)), ROW(189:189))), "")</f>
        <v/>
      </c>
      <c r="AC192" s="4" t="str">
        <f t="array" ref="AC192">IFERROR(INDEX('Bank Schedule'!AC:AC, SMALL(IF('Bank Schedule'!$K$2:$K$825="Vacant", ROW('Bank Schedule'!$K$2:$K$825)), ROW(189:189))), "")</f>
        <v/>
      </c>
    </row>
    <row r="193" spans="1:29" ht="14" customHeight="1">
      <c r="A193" s="2" t="str">
        <f t="array" ref="A193">IFERROR(INDEX('Bank Schedule'!A:A, SMALL(IF('Bank Schedule'!$K$2:$K$825="Vacant", ROW('Bank Schedule'!$K$2:$K$825)), ROW(190:190))), "")</f>
        <v/>
      </c>
      <c r="B193" s="11" t="str">
        <f t="array" ref="B193">IFERROR(INDEX('Bank Schedule'!B:B, SMALL(IF('Bank Schedule'!$K$2:$K$825="Vacant", ROW('Bank Schedule'!$K$2:$K$825)), ROW(190:190))), "")</f>
        <v/>
      </c>
      <c r="C193" s="11" t="str">
        <f t="array" ref="C193">IFERROR(INDEX('Bank Schedule'!C:C, SMALL(IF('Bank Schedule'!$K$2:$K$825="Vacant", ROW('Bank Schedule'!$K$2:$K$825)), ROW(190:190))), "")</f>
        <v/>
      </c>
      <c r="D193" s="2" t="str">
        <f t="array" ref="D193">IFERROR(INDEX('Bank Schedule'!D:D, SMALL(IF('Bank Schedule'!$K$2:$K$825="Vacant", ROW('Bank Schedule'!$K$2:$K$825)), ROW(190:190))), "")</f>
        <v/>
      </c>
      <c r="E193" s="4" t="str">
        <f t="array" ref="E193">IFERROR(INDEX('Bank Schedule'!E:E, SMALL(IF('Bank Schedule'!$K$2:$K$825="Vacant", ROW('Bank Schedule'!$K$2:$K$825)), ROW(190:190))), "")</f>
        <v/>
      </c>
      <c r="F193" s="4" t="str">
        <f t="array" ref="F193">IFERROR(INDEX('Bank Schedule'!F:F, SMALL(IF('Bank Schedule'!$K$2:$K$825="Vacant", ROW('Bank Schedule'!$K$2:$K$825)), ROW(190:190))), "")</f>
        <v/>
      </c>
      <c r="G193" s="14" t="str">
        <f t="array" ref="G193">IFERROR(INDEX('Bank Schedule'!G:G, SMALL(IF('Bank Schedule'!$K$2:$K$825="Vacant", ROW('Bank Schedule'!$K$2:$K$825)), ROW(190:190))), "")</f>
        <v/>
      </c>
      <c r="H193" s="7" t="str">
        <f t="array" ref="H193">IFERROR(INDEX('Bank Schedule'!H:H, SMALL(IF('Bank Schedule'!$K$2:$K$825="Vacant", ROW('Bank Schedule'!$K$2:$K$825)), ROW(190:190))), "")</f>
        <v/>
      </c>
      <c r="I193" s="7" t="str">
        <f t="array" ref="I193">IFERROR(INDEX('Bank Schedule'!I:I, SMALL(IF('Bank Schedule'!$K$2:$K$825="Vacant", ROW('Bank Schedule'!$K$2:$K$825)), ROW(190:190))), "")</f>
        <v/>
      </c>
      <c r="J193" s="14" t="str">
        <f t="array" ref="J193">IFERROR(INDEX('Bank Schedule'!K:K, SMALL(IF('Bank Schedule'!$K$2:$K$825="Vacant", ROW('Bank Schedule'!$K$2:$K$825)), ROW(190:190))), "")</f>
        <v/>
      </c>
      <c r="K193" s="25" t="str">
        <f t="array" ref="K193">IFERROR(INDEX('Bank Schedule'!#REF!, SMALL(IF('Bank Schedule'!$K$2:$K$825="Vacant", ROW('Bank Schedule'!$K$2:$K$825)), ROW(190:190))), "")</f>
        <v/>
      </c>
      <c r="L193" s="8" t="str">
        <f t="array" ref="L193">IFERROR(INDEX('Bank Schedule'!L:L, SMALL(IF('Bank Schedule'!$K$2:$K$825="Vacant", ROW('Bank Schedule'!$K$2:$K$825)), ROW(190:190))), "")</f>
        <v/>
      </c>
      <c r="M193" s="9" t="str">
        <f t="array" ref="M193">IFERROR(INDEX('Bank Schedule'!M:M, SMALL(IF('Bank Schedule'!$K$2:$K$825="Vacant", ROW('Bank Schedule'!$K$2:$K$825)), ROW(190:190))), "")</f>
        <v/>
      </c>
      <c r="N193" s="9" t="str">
        <f t="array" ref="N193">IFERROR(INDEX('Bank Schedule'!N:N, SMALL(IF('Bank Schedule'!$K$2:$K$825="Vacant", ROW('Bank Schedule'!$K$2:$K$825)), ROW(190:190))), "")</f>
        <v/>
      </c>
      <c r="O193" s="9" t="str">
        <f t="array" ref="O193">IFERROR(INDEX('Bank Schedule'!O:O, SMALL(IF('Bank Schedule'!$K$2:$K$825="Vacant", ROW('Bank Schedule'!$K$2:$K$825)), ROW(190:190))), "")</f>
        <v/>
      </c>
      <c r="P193" s="9" t="str">
        <f t="array" ref="P193">IFERROR(INDEX('Bank Schedule'!P:P, SMALL(IF('Bank Schedule'!$K$2:$K$825="Vacant", ROW('Bank Schedule'!$K$2:$K$825)), ROW(190:190))), "")</f>
        <v/>
      </c>
      <c r="Q193" s="9" t="str">
        <f t="array" ref="Q193">IFERROR(INDEX('Bank Schedule'!#REF!, SMALL(IF('Bank Schedule'!$K$2:$K$825="Vacant", ROW('Bank Schedule'!$K$2:$K$825)), ROW(190:190))), "")</f>
        <v/>
      </c>
      <c r="R193" s="10" t="str">
        <f t="array" ref="R193">IFERROR(INDEX('Bank Schedule'!Q:Q, SMALL(IF('Bank Schedule'!$K$2:$K$825="Vacant", ROW('Bank Schedule'!$K$2:$K$825)), ROW(190:190))), "")</f>
        <v/>
      </c>
      <c r="S193" s="10" t="str">
        <f t="array" ref="S193">IFERROR(INDEX('Bank Schedule'!R:R, SMALL(IF('Bank Schedule'!$K$2:$K$825="Vacant", ROW('Bank Schedule'!$K$2:$K$825)), ROW(190:190))), "")</f>
        <v/>
      </c>
      <c r="T193" s="10" t="str">
        <f t="array" ref="T193">IFERROR(INDEX('Bank Schedule'!S:S, SMALL(IF('Bank Schedule'!$K$2:$K$825="Vacant", ROW('Bank Schedule'!$K$2:$K$825)), ROW(190:190))), "")</f>
        <v/>
      </c>
      <c r="U193" s="106" t="str">
        <f t="array" ref="U193">IFERROR(INDEX('Bank Schedule'!#REF!, SMALL(IF('Bank Schedule'!$K$2:$K$825="Vacant", ROW('Bank Schedule'!$K$2:$K$825)), ROW(190:190))), "")</f>
        <v/>
      </c>
      <c r="V193" s="10" t="str">
        <f t="array" ref="V193">IFERROR(INDEX('Bank Schedule'!#REF!, SMALL(IF('Bank Schedule'!$K$2:$K$825="Vacant", ROW('Bank Schedule'!$K$2:$K$825)), ROW(190:190))), "")</f>
        <v/>
      </c>
      <c r="W193" s="10" t="str">
        <f t="array" ref="W193">IFERROR(INDEX('Bank Schedule'!#REF!, SMALL(IF('Bank Schedule'!$K$2:$K$825="Vacant", ROW('Bank Schedule'!$K$2:$K$825)), ROW(190:190))), "")</f>
        <v/>
      </c>
      <c r="X193" s="10" t="str">
        <f t="array" ref="X193">IFERROR(INDEX('Bank Schedule'!V:V, SMALL(IF('Bank Schedule'!$K$2:$K$825="Vacant", ROW('Bank Schedule'!$K$2:$K$825)), ROW(190:190))), "")</f>
        <v/>
      </c>
      <c r="Y193" s="10" t="str">
        <f t="array" ref="Y193">IFERROR(INDEX('Bank Schedule'!W:W, SMALL(IF('Bank Schedule'!$K$2:$K$825="Vacant", ROW('Bank Schedule'!$K$2:$K$825)), ROW(190:190))), "")</f>
        <v/>
      </c>
      <c r="Z193" s="61" t="str">
        <f t="array" ref="Z193">IFERROR(INDEX('Bank Schedule'!Z:Z, SMALL(IF('Bank Schedule'!$K$2:$K$825="Vacant", ROW('Bank Schedule'!$K$2:$K$825)), ROW(190:190))), "")</f>
        <v/>
      </c>
      <c r="AA193" s="55" t="str">
        <f t="array" ref="AA193">IFERROR(INDEX('Bank Schedule'!AA:AA, SMALL(IF('Bank Schedule'!$K$2:$K$825="Vacant", ROW('Bank Schedule'!$K$2:$K$825)), ROW(190:190))), "")</f>
        <v/>
      </c>
      <c r="AB193" s="14" t="str">
        <f t="array" ref="AB193">IFERROR(INDEX('Bank Schedule'!AB:AB, SMALL(IF('Bank Schedule'!$K$2:$K$825="Vacant", ROW('Bank Schedule'!$K$2:$K$825)), ROW(190:190))), "")</f>
        <v/>
      </c>
      <c r="AC193" s="4" t="str">
        <f t="array" ref="AC193">IFERROR(INDEX('Bank Schedule'!AC:AC, SMALL(IF('Bank Schedule'!$K$2:$K$825="Vacant", ROW('Bank Schedule'!$K$2:$K$825)), ROW(190:190))), "")</f>
        <v/>
      </c>
    </row>
    <row r="194" spans="1:29" ht="14" customHeight="1">
      <c r="A194" s="2" t="str">
        <f t="array" ref="A194">IFERROR(INDEX('Bank Schedule'!A:A, SMALL(IF('Bank Schedule'!$K$2:$K$825="Vacant", ROW('Bank Schedule'!$K$2:$K$825)), ROW(191:191))), "")</f>
        <v/>
      </c>
      <c r="B194" s="11" t="str">
        <f t="array" ref="B194">IFERROR(INDEX('Bank Schedule'!B:B, SMALL(IF('Bank Schedule'!$K$2:$K$825="Vacant", ROW('Bank Schedule'!$K$2:$K$825)), ROW(191:191))), "")</f>
        <v/>
      </c>
      <c r="C194" s="11" t="str">
        <f t="array" ref="C194">IFERROR(INDEX('Bank Schedule'!C:C, SMALL(IF('Bank Schedule'!$K$2:$K$825="Vacant", ROW('Bank Schedule'!$K$2:$K$825)), ROW(191:191))), "")</f>
        <v/>
      </c>
      <c r="D194" s="2" t="str">
        <f t="array" ref="D194">IFERROR(INDEX('Bank Schedule'!D:D, SMALL(IF('Bank Schedule'!$K$2:$K$825="Vacant", ROW('Bank Schedule'!$K$2:$K$825)), ROW(191:191))), "")</f>
        <v/>
      </c>
      <c r="E194" s="4" t="str">
        <f t="array" ref="E194">IFERROR(INDEX('Bank Schedule'!E:E, SMALL(IF('Bank Schedule'!$K$2:$K$825="Vacant", ROW('Bank Schedule'!$K$2:$K$825)), ROW(191:191))), "")</f>
        <v/>
      </c>
      <c r="F194" s="4" t="str">
        <f t="array" ref="F194">IFERROR(INDEX('Bank Schedule'!F:F, SMALL(IF('Bank Schedule'!$K$2:$K$825="Vacant", ROW('Bank Schedule'!$K$2:$K$825)), ROW(191:191))), "")</f>
        <v/>
      </c>
      <c r="G194" s="14" t="str">
        <f t="array" ref="G194">IFERROR(INDEX('Bank Schedule'!G:G, SMALL(IF('Bank Schedule'!$K$2:$K$825="Vacant", ROW('Bank Schedule'!$K$2:$K$825)), ROW(191:191))), "")</f>
        <v/>
      </c>
      <c r="H194" s="7" t="str">
        <f t="array" ref="H194">IFERROR(INDEX('Bank Schedule'!H:H, SMALL(IF('Bank Schedule'!$K$2:$K$825="Vacant", ROW('Bank Schedule'!$K$2:$K$825)), ROW(191:191))), "")</f>
        <v/>
      </c>
      <c r="I194" s="7" t="str">
        <f t="array" ref="I194">IFERROR(INDEX('Bank Schedule'!I:I, SMALL(IF('Bank Schedule'!$K$2:$K$825="Vacant", ROW('Bank Schedule'!$K$2:$K$825)), ROW(191:191))), "")</f>
        <v/>
      </c>
      <c r="J194" s="14" t="str">
        <f t="array" ref="J194">IFERROR(INDEX('Bank Schedule'!K:K, SMALL(IF('Bank Schedule'!$K$2:$K$825="Vacant", ROW('Bank Schedule'!$K$2:$K$825)), ROW(191:191))), "")</f>
        <v/>
      </c>
      <c r="K194" s="25" t="str">
        <f t="array" ref="K194">IFERROR(INDEX('Bank Schedule'!#REF!, SMALL(IF('Bank Schedule'!$K$2:$K$825="Vacant", ROW('Bank Schedule'!$K$2:$K$825)), ROW(191:191))), "")</f>
        <v/>
      </c>
      <c r="L194" s="8" t="str">
        <f t="array" ref="L194">IFERROR(INDEX('Bank Schedule'!L:L, SMALL(IF('Bank Schedule'!$K$2:$K$825="Vacant", ROW('Bank Schedule'!$K$2:$K$825)), ROW(191:191))), "")</f>
        <v/>
      </c>
      <c r="M194" s="9" t="str">
        <f t="array" ref="M194">IFERROR(INDEX('Bank Schedule'!M:M, SMALL(IF('Bank Schedule'!$K$2:$K$825="Vacant", ROW('Bank Schedule'!$K$2:$K$825)), ROW(191:191))), "")</f>
        <v/>
      </c>
      <c r="N194" s="9" t="str">
        <f t="array" ref="N194">IFERROR(INDEX('Bank Schedule'!N:N, SMALL(IF('Bank Schedule'!$K$2:$K$825="Vacant", ROW('Bank Schedule'!$K$2:$K$825)), ROW(191:191))), "")</f>
        <v/>
      </c>
      <c r="O194" s="9" t="str">
        <f t="array" ref="O194">IFERROR(INDEX('Bank Schedule'!O:O, SMALL(IF('Bank Schedule'!$K$2:$K$825="Vacant", ROW('Bank Schedule'!$K$2:$K$825)), ROW(191:191))), "")</f>
        <v/>
      </c>
      <c r="P194" s="9" t="str">
        <f t="array" ref="P194">IFERROR(INDEX('Bank Schedule'!P:P, SMALL(IF('Bank Schedule'!$K$2:$K$825="Vacant", ROW('Bank Schedule'!$K$2:$K$825)), ROW(191:191))), "")</f>
        <v/>
      </c>
      <c r="Q194" s="9" t="str">
        <f t="array" ref="Q194">IFERROR(INDEX('Bank Schedule'!#REF!, SMALL(IF('Bank Schedule'!$K$2:$K$825="Vacant", ROW('Bank Schedule'!$K$2:$K$825)), ROW(191:191))), "")</f>
        <v/>
      </c>
      <c r="R194" s="10" t="str">
        <f t="array" ref="R194">IFERROR(INDEX('Bank Schedule'!Q:Q, SMALL(IF('Bank Schedule'!$K$2:$K$825="Vacant", ROW('Bank Schedule'!$K$2:$K$825)), ROW(191:191))), "")</f>
        <v/>
      </c>
      <c r="S194" s="10" t="str">
        <f t="array" ref="S194">IFERROR(INDEX('Bank Schedule'!R:R, SMALL(IF('Bank Schedule'!$K$2:$K$825="Vacant", ROW('Bank Schedule'!$K$2:$K$825)), ROW(191:191))), "")</f>
        <v/>
      </c>
      <c r="T194" s="10" t="str">
        <f t="array" ref="T194">IFERROR(INDEX('Bank Schedule'!S:S, SMALL(IF('Bank Schedule'!$K$2:$K$825="Vacant", ROW('Bank Schedule'!$K$2:$K$825)), ROW(191:191))), "")</f>
        <v/>
      </c>
      <c r="U194" s="106" t="str">
        <f t="array" ref="U194">IFERROR(INDEX('Bank Schedule'!#REF!, SMALL(IF('Bank Schedule'!$K$2:$K$825="Vacant", ROW('Bank Schedule'!$K$2:$K$825)), ROW(191:191))), "")</f>
        <v/>
      </c>
      <c r="V194" s="10" t="str">
        <f t="array" ref="V194">IFERROR(INDEX('Bank Schedule'!#REF!, SMALL(IF('Bank Schedule'!$K$2:$K$825="Vacant", ROW('Bank Schedule'!$K$2:$K$825)), ROW(191:191))), "")</f>
        <v/>
      </c>
      <c r="W194" s="10" t="str">
        <f t="array" ref="W194">IFERROR(INDEX('Bank Schedule'!#REF!, SMALL(IF('Bank Schedule'!$K$2:$K$825="Vacant", ROW('Bank Schedule'!$K$2:$K$825)), ROW(191:191))), "")</f>
        <v/>
      </c>
      <c r="X194" s="10" t="str">
        <f t="array" ref="X194">IFERROR(INDEX('Bank Schedule'!V:V, SMALL(IF('Bank Schedule'!$K$2:$K$825="Vacant", ROW('Bank Schedule'!$K$2:$K$825)), ROW(191:191))), "")</f>
        <v/>
      </c>
      <c r="Y194" s="10" t="str">
        <f t="array" ref="Y194">IFERROR(INDEX('Bank Schedule'!W:W, SMALL(IF('Bank Schedule'!$K$2:$K$825="Vacant", ROW('Bank Schedule'!$K$2:$K$825)), ROW(191:191))), "")</f>
        <v/>
      </c>
      <c r="Z194" s="61" t="str">
        <f t="array" ref="Z194">IFERROR(INDEX('Bank Schedule'!Z:Z, SMALL(IF('Bank Schedule'!$K$2:$K$825="Vacant", ROW('Bank Schedule'!$K$2:$K$825)), ROW(191:191))), "")</f>
        <v/>
      </c>
      <c r="AA194" s="55" t="str">
        <f t="array" ref="AA194">IFERROR(INDEX('Bank Schedule'!AA:AA, SMALL(IF('Bank Schedule'!$K$2:$K$825="Vacant", ROW('Bank Schedule'!$K$2:$K$825)), ROW(191:191))), "")</f>
        <v/>
      </c>
      <c r="AB194" s="14" t="str">
        <f t="array" ref="AB194">IFERROR(INDEX('Bank Schedule'!AB:AB, SMALL(IF('Bank Schedule'!$K$2:$K$825="Vacant", ROW('Bank Schedule'!$K$2:$K$825)), ROW(191:191))), "")</f>
        <v/>
      </c>
      <c r="AC194" s="4" t="str">
        <f t="array" ref="AC194">IFERROR(INDEX('Bank Schedule'!AC:AC, SMALL(IF('Bank Schedule'!$K$2:$K$825="Vacant", ROW('Bank Schedule'!$K$2:$K$825)), ROW(191:191))), "")</f>
        <v/>
      </c>
    </row>
    <row r="195" spans="1:29" ht="14" customHeight="1">
      <c r="A195" s="2" t="str">
        <f t="array" ref="A195">IFERROR(INDEX('Bank Schedule'!A:A, SMALL(IF('Bank Schedule'!$K$2:$K$825="Vacant", ROW('Bank Schedule'!$K$2:$K$825)), ROW(192:192))), "")</f>
        <v/>
      </c>
      <c r="B195" s="11" t="str">
        <f t="array" ref="B195">IFERROR(INDEX('Bank Schedule'!B:B, SMALL(IF('Bank Schedule'!$K$2:$K$825="Vacant", ROW('Bank Schedule'!$K$2:$K$825)), ROW(192:192))), "")</f>
        <v/>
      </c>
      <c r="C195" s="11" t="str">
        <f t="array" ref="C195">IFERROR(INDEX('Bank Schedule'!C:C, SMALL(IF('Bank Schedule'!$K$2:$K$825="Vacant", ROW('Bank Schedule'!$K$2:$K$825)), ROW(192:192))), "")</f>
        <v/>
      </c>
      <c r="D195" s="2" t="str">
        <f t="array" ref="D195">IFERROR(INDEX('Bank Schedule'!D:D, SMALL(IF('Bank Schedule'!$K$2:$K$825="Vacant", ROW('Bank Schedule'!$K$2:$K$825)), ROW(192:192))), "")</f>
        <v/>
      </c>
      <c r="E195" s="4" t="str">
        <f t="array" ref="E195">IFERROR(INDEX('Bank Schedule'!E:E, SMALL(IF('Bank Schedule'!$K$2:$K$825="Vacant", ROW('Bank Schedule'!$K$2:$K$825)), ROW(192:192))), "")</f>
        <v/>
      </c>
      <c r="F195" s="4" t="str">
        <f t="array" ref="F195">IFERROR(INDEX('Bank Schedule'!F:F, SMALL(IF('Bank Schedule'!$K$2:$K$825="Vacant", ROW('Bank Schedule'!$K$2:$K$825)), ROW(192:192))), "")</f>
        <v/>
      </c>
      <c r="G195" s="14" t="str">
        <f t="array" ref="G195">IFERROR(INDEX('Bank Schedule'!G:G, SMALL(IF('Bank Schedule'!$K$2:$K$825="Vacant", ROW('Bank Schedule'!$K$2:$K$825)), ROW(192:192))), "")</f>
        <v/>
      </c>
      <c r="H195" s="7" t="str">
        <f t="array" ref="H195">IFERROR(INDEX('Bank Schedule'!H:H, SMALL(IF('Bank Schedule'!$K$2:$K$825="Vacant", ROW('Bank Schedule'!$K$2:$K$825)), ROW(192:192))), "")</f>
        <v/>
      </c>
      <c r="I195" s="7" t="str">
        <f t="array" ref="I195">IFERROR(INDEX('Bank Schedule'!I:I, SMALL(IF('Bank Schedule'!$K$2:$K$825="Vacant", ROW('Bank Schedule'!$K$2:$K$825)), ROW(192:192))), "")</f>
        <v/>
      </c>
      <c r="J195" s="14" t="str">
        <f t="array" ref="J195">IFERROR(INDEX('Bank Schedule'!K:K, SMALL(IF('Bank Schedule'!$K$2:$K$825="Vacant", ROW('Bank Schedule'!$K$2:$K$825)), ROW(192:192))), "")</f>
        <v/>
      </c>
      <c r="K195" s="25" t="str">
        <f t="array" ref="K195">IFERROR(INDEX('Bank Schedule'!#REF!, SMALL(IF('Bank Schedule'!$K$2:$K$825="Vacant", ROW('Bank Schedule'!$K$2:$K$825)), ROW(192:192))), "")</f>
        <v/>
      </c>
      <c r="L195" s="8" t="str">
        <f t="array" ref="L195">IFERROR(INDEX('Bank Schedule'!L:L, SMALL(IF('Bank Schedule'!$K$2:$K$825="Vacant", ROW('Bank Schedule'!$K$2:$K$825)), ROW(192:192))), "")</f>
        <v/>
      </c>
      <c r="M195" s="9" t="str">
        <f t="array" ref="M195">IFERROR(INDEX('Bank Schedule'!M:M, SMALL(IF('Bank Schedule'!$K$2:$K$825="Vacant", ROW('Bank Schedule'!$K$2:$K$825)), ROW(192:192))), "")</f>
        <v/>
      </c>
      <c r="N195" s="9" t="str">
        <f t="array" ref="N195">IFERROR(INDEX('Bank Schedule'!N:N, SMALL(IF('Bank Schedule'!$K$2:$K$825="Vacant", ROW('Bank Schedule'!$K$2:$K$825)), ROW(192:192))), "")</f>
        <v/>
      </c>
      <c r="O195" s="9" t="str">
        <f t="array" ref="O195">IFERROR(INDEX('Bank Schedule'!O:O, SMALL(IF('Bank Schedule'!$K$2:$K$825="Vacant", ROW('Bank Schedule'!$K$2:$K$825)), ROW(192:192))), "")</f>
        <v/>
      </c>
      <c r="P195" s="9" t="str">
        <f t="array" ref="P195">IFERROR(INDEX('Bank Schedule'!P:P, SMALL(IF('Bank Schedule'!$K$2:$K$825="Vacant", ROW('Bank Schedule'!$K$2:$K$825)), ROW(192:192))), "")</f>
        <v/>
      </c>
      <c r="Q195" s="9" t="str">
        <f t="array" ref="Q195">IFERROR(INDEX('Bank Schedule'!#REF!, SMALL(IF('Bank Schedule'!$K$2:$K$825="Vacant", ROW('Bank Schedule'!$K$2:$K$825)), ROW(192:192))), "")</f>
        <v/>
      </c>
      <c r="R195" s="10" t="str">
        <f t="array" ref="R195">IFERROR(INDEX('Bank Schedule'!Q:Q, SMALL(IF('Bank Schedule'!$K$2:$K$825="Vacant", ROW('Bank Schedule'!$K$2:$K$825)), ROW(192:192))), "")</f>
        <v/>
      </c>
      <c r="S195" s="10" t="str">
        <f t="array" ref="S195">IFERROR(INDEX('Bank Schedule'!R:R, SMALL(IF('Bank Schedule'!$K$2:$K$825="Vacant", ROW('Bank Schedule'!$K$2:$K$825)), ROW(192:192))), "")</f>
        <v/>
      </c>
      <c r="T195" s="10" t="str">
        <f t="array" ref="T195">IFERROR(INDEX('Bank Schedule'!S:S, SMALL(IF('Bank Schedule'!$K$2:$K$825="Vacant", ROW('Bank Schedule'!$K$2:$K$825)), ROW(192:192))), "")</f>
        <v/>
      </c>
      <c r="U195" s="106" t="str">
        <f t="array" ref="U195">IFERROR(INDEX('Bank Schedule'!#REF!, SMALL(IF('Bank Schedule'!$K$2:$K$825="Vacant", ROW('Bank Schedule'!$K$2:$K$825)), ROW(192:192))), "")</f>
        <v/>
      </c>
      <c r="V195" s="10" t="str">
        <f t="array" ref="V195">IFERROR(INDEX('Bank Schedule'!#REF!, SMALL(IF('Bank Schedule'!$K$2:$K$825="Vacant", ROW('Bank Schedule'!$K$2:$K$825)), ROW(192:192))), "")</f>
        <v/>
      </c>
      <c r="W195" s="10" t="str">
        <f t="array" ref="W195">IFERROR(INDEX('Bank Schedule'!#REF!, SMALL(IF('Bank Schedule'!$K$2:$K$825="Vacant", ROW('Bank Schedule'!$K$2:$K$825)), ROW(192:192))), "")</f>
        <v/>
      </c>
      <c r="X195" s="10" t="str">
        <f t="array" ref="X195">IFERROR(INDEX('Bank Schedule'!V:V, SMALL(IF('Bank Schedule'!$K$2:$K$825="Vacant", ROW('Bank Schedule'!$K$2:$K$825)), ROW(192:192))), "")</f>
        <v/>
      </c>
      <c r="Y195" s="10" t="str">
        <f t="array" ref="Y195">IFERROR(INDEX('Bank Schedule'!W:W, SMALL(IF('Bank Schedule'!$K$2:$K$825="Vacant", ROW('Bank Schedule'!$K$2:$K$825)), ROW(192:192))), "")</f>
        <v/>
      </c>
      <c r="Z195" s="61" t="str">
        <f t="array" ref="Z195">IFERROR(INDEX('Bank Schedule'!Z:Z, SMALL(IF('Bank Schedule'!$K$2:$K$825="Vacant", ROW('Bank Schedule'!$K$2:$K$825)), ROW(192:192))), "")</f>
        <v/>
      </c>
      <c r="AA195" s="55" t="str">
        <f t="array" ref="AA195">IFERROR(INDEX('Bank Schedule'!AA:AA, SMALL(IF('Bank Schedule'!$K$2:$K$825="Vacant", ROW('Bank Schedule'!$K$2:$K$825)), ROW(192:192))), "")</f>
        <v/>
      </c>
      <c r="AB195" s="14" t="str">
        <f t="array" ref="AB195">IFERROR(INDEX('Bank Schedule'!AB:AB, SMALL(IF('Bank Schedule'!$K$2:$K$825="Vacant", ROW('Bank Schedule'!$K$2:$K$825)), ROW(192:192))), "")</f>
        <v/>
      </c>
      <c r="AC195" s="4" t="str">
        <f t="array" ref="AC195">IFERROR(INDEX('Bank Schedule'!AC:AC, SMALL(IF('Bank Schedule'!$K$2:$K$825="Vacant", ROW('Bank Schedule'!$K$2:$K$825)), ROW(192:192))), "")</f>
        <v/>
      </c>
    </row>
    <row r="196" spans="1:29" ht="14" customHeight="1">
      <c r="A196" s="2" t="str">
        <f t="array" ref="A196">IFERROR(INDEX('Bank Schedule'!A:A, SMALL(IF('Bank Schedule'!$K$2:$K$825="Vacant", ROW('Bank Schedule'!$K$2:$K$825)), ROW(193:193))), "")</f>
        <v/>
      </c>
      <c r="B196" s="11" t="str">
        <f t="array" ref="B196">IFERROR(INDEX('Bank Schedule'!B:B, SMALL(IF('Bank Schedule'!$K$2:$K$825="Vacant", ROW('Bank Schedule'!$K$2:$K$825)), ROW(193:193))), "")</f>
        <v/>
      </c>
      <c r="C196" s="11" t="str">
        <f t="array" ref="C196">IFERROR(INDEX('Bank Schedule'!C:C, SMALL(IF('Bank Schedule'!$K$2:$K$825="Vacant", ROW('Bank Schedule'!$K$2:$K$825)), ROW(193:193))), "")</f>
        <v/>
      </c>
      <c r="D196" s="2" t="str">
        <f t="array" ref="D196">IFERROR(INDEX('Bank Schedule'!D:D, SMALL(IF('Bank Schedule'!$K$2:$K$825="Vacant", ROW('Bank Schedule'!$K$2:$K$825)), ROW(193:193))), "")</f>
        <v/>
      </c>
      <c r="E196" s="4" t="str">
        <f t="array" ref="E196">IFERROR(INDEX('Bank Schedule'!E:E, SMALL(IF('Bank Schedule'!$K$2:$K$825="Vacant", ROW('Bank Schedule'!$K$2:$K$825)), ROW(193:193))), "")</f>
        <v/>
      </c>
      <c r="F196" s="4" t="str">
        <f t="array" ref="F196">IFERROR(INDEX('Bank Schedule'!F:F, SMALL(IF('Bank Schedule'!$K$2:$K$825="Vacant", ROW('Bank Schedule'!$K$2:$K$825)), ROW(193:193))), "")</f>
        <v/>
      </c>
      <c r="G196" s="14" t="str">
        <f t="array" ref="G196">IFERROR(INDEX('Bank Schedule'!G:G, SMALL(IF('Bank Schedule'!$K$2:$K$825="Vacant", ROW('Bank Schedule'!$K$2:$K$825)), ROW(193:193))), "")</f>
        <v/>
      </c>
      <c r="H196" s="7" t="str">
        <f t="array" ref="H196">IFERROR(INDEX('Bank Schedule'!H:H, SMALL(IF('Bank Schedule'!$K$2:$K$825="Vacant", ROW('Bank Schedule'!$K$2:$K$825)), ROW(193:193))), "")</f>
        <v/>
      </c>
      <c r="I196" s="7" t="str">
        <f t="array" ref="I196">IFERROR(INDEX('Bank Schedule'!I:I, SMALL(IF('Bank Schedule'!$K$2:$K$825="Vacant", ROW('Bank Schedule'!$K$2:$K$825)), ROW(193:193))), "")</f>
        <v/>
      </c>
      <c r="J196" s="14" t="str">
        <f t="array" ref="J196">IFERROR(INDEX('Bank Schedule'!K:K, SMALL(IF('Bank Schedule'!$K$2:$K$825="Vacant", ROW('Bank Schedule'!$K$2:$K$825)), ROW(193:193))), "")</f>
        <v/>
      </c>
      <c r="K196" s="25" t="str">
        <f t="array" ref="K196">IFERROR(INDEX('Bank Schedule'!#REF!, SMALL(IF('Bank Schedule'!$K$2:$K$825="Vacant", ROW('Bank Schedule'!$K$2:$K$825)), ROW(193:193))), "")</f>
        <v/>
      </c>
      <c r="L196" s="8" t="str">
        <f t="array" ref="L196">IFERROR(INDEX('Bank Schedule'!L:L, SMALL(IF('Bank Schedule'!$K$2:$K$825="Vacant", ROW('Bank Schedule'!$K$2:$K$825)), ROW(193:193))), "")</f>
        <v/>
      </c>
      <c r="M196" s="9" t="str">
        <f t="array" ref="M196">IFERROR(INDEX('Bank Schedule'!M:M, SMALL(IF('Bank Schedule'!$K$2:$K$825="Vacant", ROW('Bank Schedule'!$K$2:$K$825)), ROW(193:193))), "")</f>
        <v/>
      </c>
      <c r="N196" s="9" t="str">
        <f t="array" ref="N196">IFERROR(INDEX('Bank Schedule'!N:N, SMALL(IF('Bank Schedule'!$K$2:$K$825="Vacant", ROW('Bank Schedule'!$K$2:$K$825)), ROW(193:193))), "")</f>
        <v/>
      </c>
      <c r="O196" s="9" t="str">
        <f t="array" ref="O196">IFERROR(INDEX('Bank Schedule'!O:O, SMALL(IF('Bank Schedule'!$K$2:$K$825="Vacant", ROW('Bank Schedule'!$K$2:$K$825)), ROW(193:193))), "")</f>
        <v/>
      </c>
      <c r="P196" s="9" t="str">
        <f t="array" ref="P196">IFERROR(INDEX('Bank Schedule'!P:P, SMALL(IF('Bank Schedule'!$K$2:$K$825="Vacant", ROW('Bank Schedule'!$K$2:$K$825)), ROW(193:193))), "")</f>
        <v/>
      </c>
      <c r="Q196" s="9" t="str">
        <f t="array" ref="Q196">IFERROR(INDEX('Bank Schedule'!#REF!, SMALL(IF('Bank Schedule'!$K$2:$K$825="Vacant", ROW('Bank Schedule'!$K$2:$K$825)), ROW(193:193))), "")</f>
        <v/>
      </c>
      <c r="R196" s="10" t="str">
        <f t="array" ref="R196">IFERROR(INDEX('Bank Schedule'!Q:Q, SMALL(IF('Bank Schedule'!$K$2:$K$825="Vacant", ROW('Bank Schedule'!$K$2:$K$825)), ROW(193:193))), "")</f>
        <v/>
      </c>
      <c r="S196" s="10" t="str">
        <f t="array" ref="S196">IFERROR(INDEX('Bank Schedule'!R:R, SMALL(IF('Bank Schedule'!$K$2:$K$825="Vacant", ROW('Bank Schedule'!$K$2:$K$825)), ROW(193:193))), "")</f>
        <v/>
      </c>
      <c r="T196" s="10" t="str">
        <f t="array" ref="T196">IFERROR(INDEX('Bank Schedule'!S:S, SMALL(IF('Bank Schedule'!$K$2:$K$825="Vacant", ROW('Bank Schedule'!$K$2:$K$825)), ROW(193:193))), "")</f>
        <v/>
      </c>
      <c r="U196" s="106" t="str">
        <f t="array" ref="U196">IFERROR(INDEX('Bank Schedule'!#REF!, SMALL(IF('Bank Schedule'!$K$2:$K$825="Vacant", ROW('Bank Schedule'!$K$2:$K$825)), ROW(193:193))), "")</f>
        <v/>
      </c>
      <c r="V196" s="10" t="str">
        <f t="array" ref="V196">IFERROR(INDEX('Bank Schedule'!#REF!, SMALL(IF('Bank Schedule'!$K$2:$K$825="Vacant", ROW('Bank Schedule'!$K$2:$K$825)), ROW(193:193))), "")</f>
        <v/>
      </c>
      <c r="W196" s="10" t="str">
        <f t="array" ref="W196">IFERROR(INDEX('Bank Schedule'!#REF!, SMALL(IF('Bank Schedule'!$K$2:$K$825="Vacant", ROW('Bank Schedule'!$K$2:$K$825)), ROW(193:193))), "")</f>
        <v/>
      </c>
      <c r="X196" s="10" t="str">
        <f t="array" ref="X196">IFERROR(INDEX('Bank Schedule'!V:V, SMALL(IF('Bank Schedule'!$K$2:$K$825="Vacant", ROW('Bank Schedule'!$K$2:$K$825)), ROW(193:193))), "")</f>
        <v/>
      </c>
      <c r="Y196" s="10" t="str">
        <f t="array" ref="Y196">IFERROR(INDEX('Bank Schedule'!W:W, SMALL(IF('Bank Schedule'!$K$2:$K$825="Vacant", ROW('Bank Schedule'!$K$2:$K$825)), ROW(193:193))), "")</f>
        <v/>
      </c>
      <c r="Z196" s="61" t="str">
        <f t="array" ref="Z196">IFERROR(INDEX('Bank Schedule'!Z:Z, SMALL(IF('Bank Schedule'!$K$2:$K$825="Vacant", ROW('Bank Schedule'!$K$2:$K$825)), ROW(193:193))), "")</f>
        <v/>
      </c>
      <c r="AA196" s="55" t="str">
        <f t="array" ref="AA196">IFERROR(INDEX('Bank Schedule'!AA:AA, SMALL(IF('Bank Schedule'!$K$2:$K$825="Vacant", ROW('Bank Schedule'!$K$2:$K$825)), ROW(193:193))), "")</f>
        <v/>
      </c>
      <c r="AB196" s="14" t="str">
        <f t="array" ref="AB196">IFERROR(INDEX('Bank Schedule'!AB:AB, SMALL(IF('Bank Schedule'!$K$2:$K$825="Vacant", ROW('Bank Schedule'!$K$2:$K$825)), ROW(193:193))), "")</f>
        <v/>
      </c>
      <c r="AC196" s="4" t="str">
        <f t="array" ref="AC196">IFERROR(INDEX('Bank Schedule'!AC:AC, SMALL(IF('Bank Schedule'!$K$2:$K$825="Vacant", ROW('Bank Schedule'!$K$2:$K$825)), ROW(193:193))), "")</f>
        <v/>
      </c>
    </row>
    <row r="197" spans="1:29" ht="14" customHeight="1">
      <c r="A197" s="2" t="str">
        <f t="array" ref="A197">IFERROR(INDEX('Bank Schedule'!A:A, SMALL(IF('Bank Schedule'!$K$2:$K$825="Vacant", ROW('Bank Schedule'!$K$2:$K$825)), ROW(194:194))), "")</f>
        <v/>
      </c>
      <c r="B197" s="11" t="str">
        <f t="array" ref="B197">IFERROR(INDEX('Bank Schedule'!B:B, SMALL(IF('Bank Schedule'!$K$2:$K$825="Vacant", ROW('Bank Schedule'!$K$2:$K$825)), ROW(194:194))), "")</f>
        <v/>
      </c>
      <c r="C197" s="11" t="str">
        <f t="array" ref="C197">IFERROR(INDEX('Bank Schedule'!C:C, SMALL(IF('Bank Schedule'!$K$2:$K$825="Vacant", ROW('Bank Schedule'!$K$2:$K$825)), ROW(194:194))), "")</f>
        <v/>
      </c>
      <c r="D197" s="2" t="str">
        <f t="array" ref="D197">IFERROR(INDEX('Bank Schedule'!D:D, SMALL(IF('Bank Schedule'!$K$2:$K$825="Vacant", ROW('Bank Schedule'!$K$2:$K$825)), ROW(194:194))), "")</f>
        <v/>
      </c>
      <c r="E197" s="4" t="str">
        <f t="array" ref="E197">IFERROR(INDEX('Bank Schedule'!E:E, SMALL(IF('Bank Schedule'!$K$2:$K$825="Vacant", ROW('Bank Schedule'!$K$2:$K$825)), ROW(194:194))), "")</f>
        <v/>
      </c>
      <c r="F197" s="4" t="str">
        <f t="array" ref="F197">IFERROR(INDEX('Bank Schedule'!F:F, SMALL(IF('Bank Schedule'!$K$2:$K$825="Vacant", ROW('Bank Schedule'!$K$2:$K$825)), ROW(194:194))), "")</f>
        <v/>
      </c>
      <c r="G197" s="14" t="str">
        <f t="array" ref="G197">IFERROR(INDEX('Bank Schedule'!G:G, SMALL(IF('Bank Schedule'!$K$2:$K$825="Vacant", ROW('Bank Schedule'!$K$2:$K$825)), ROW(194:194))), "")</f>
        <v/>
      </c>
      <c r="H197" s="7" t="str">
        <f t="array" ref="H197">IFERROR(INDEX('Bank Schedule'!H:H, SMALL(IF('Bank Schedule'!$K$2:$K$825="Vacant", ROW('Bank Schedule'!$K$2:$K$825)), ROW(194:194))), "")</f>
        <v/>
      </c>
      <c r="I197" s="7" t="str">
        <f t="array" ref="I197">IFERROR(INDEX('Bank Schedule'!I:I, SMALL(IF('Bank Schedule'!$K$2:$K$825="Vacant", ROW('Bank Schedule'!$K$2:$K$825)), ROW(194:194))), "")</f>
        <v/>
      </c>
      <c r="J197" s="14" t="str">
        <f t="array" ref="J197">IFERROR(INDEX('Bank Schedule'!K:K, SMALL(IF('Bank Schedule'!$K$2:$K$825="Vacant", ROW('Bank Schedule'!$K$2:$K$825)), ROW(194:194))), "")</f>
        <v/>
      </c>
      <c r="K197" s="25" t="str">
        <f t="array" ref="K197">IFERROR(INDEX('Bank Schedule'!#REF!, SMALL(IF('Bank Schedule'!$K$2:$K$825="Vacant", ROW('Bank Schedule'!$K$2:$K$825)), ROW(194:194))), "")</f>
        <v/>
      </c>
      <c r="L197" s="8" t="str">
        <f t="array" ref="L197">IFERROR(INDEX('Bank Schedule'!L:L, SMALL(IF('Bank Schedule'!$K$2:$K$825="Vacant", ROW('Bank Schedule'!$K$2:$K$825)), ROW(194:194))), "")</f>
        <v/>
      </c>
      <c r="M197" s="9" t="str">
        <f t="array" ref="M197">IFERROR(INDEX('Bank Schedule'!M:M, SMALL(IF('Bank Schedule'!$K$2:$K$825="Vacant", ROW('Bank Schedule'!$K$2:$K$825)), ROW(194:194))), "")</f>
        <v/>
      </c>
      <c r="N197" s="9" t="str">
        <f t="array" ref="N197">IFERROR(INDEX('Bank Schedule'!N:N, SMALL(IF('Bank Schedule'!$K$2:$K$825="Vacant", ROW('Bank Schedule'!$K$2:$K$825)), ROW(194:194))), "")</f>
        <v/>
      </c>
      <c r="O197" s="9" t="str">
        <f t="array" ref="O197">IFERROR(INDEX('Bank Schedule'!O:O, SMALL(IF('Bank Schedule'!$K$2:$K$825="Vacant", ROW('Bank Schedule'!$K$2:$K$825)), ROW(194:194))), "")</f>
        <v/>
      </c>
      <c r="P197" s="9" t="str">
        <f t="array" ref="P197">IFERROR(INDEX('Bank Schedule'!P:P, SMALL(IF('Bank Schedule'!$K$2:$K$825="Vacant", ROW('Bank Schedule'!$K$2:$K$825)), ROW(194:194))), "")</f>
        <v/>
      </c>
      <c r="Q197" s="9" t="str">
        <f t="array" ref="Q197">IFERROR(INDEX('Bank Schedule'!#REF!, SMALL(IF('Bank Schedule'!$K$2:$K$825="Vacant", ROW('Bank Schedule'!$K$2:$K$825)), ROW(194:194))), "")</f>
        <v/>
      </c>
      <c r="R197" s="10" t="str">
        <f t="array" ref="R197">IFERROR(INDEX('Bank Schedule'!Q:Q, SMALL(IF('Bank Schedule'!$K$2:$K$825="Vacant", ROW('Bank Schedule'!$K$2:$K$825)), ROW(194:194))), "")</f>
        <v/>
      </c>
      <c r="S197" s="10" t="str">
        <f t="array" ref="S197">IFERROR(INDEX('Bank Schedule'!R:R, SMALL(IF('Bank Schedule'!$K$2:$K$825="Vacant", ROW('Bank Schedule'!$K$2:$K$825)), ROW(194:194))), "")</f>
        <v/>
      </c>
      <c r="T197" s="10" t="str">
        <f t="array" ref="T197">IFERROR(INDEX('Bank Schedule'!S:S, SMALL(IF('Bank Schedule'!$K$2:$K$825="Vacant", ROW('Bank Schedule'!$K$2:$K$825)), ROW(194:194))), "")</f>
        <v/>
      </c>
      <c r="U197" s="106" t="str">
        <f t="array" ref="U197">IFERROR(INDEX('Bank Schedule'!#REF!, SMALL(IF('Bank Schedule'!$K$2:$K$825="Vacant", ROW('Bank Schedule'!$K$2:$K$825)), ROW(194:194))), "")</f>
        <v/>
      </c>
      <c r="V197" s="10" t="str">
        <f t="array" ref="V197">IFERROR(INDEX('Bank Schedule'!#REF!, SMALL(IF('Bank Schedule'!$K$2:$K$825="Vacant", ROW('Bank Schedule'!$K$2:$K$825)), ROW(194:194))), "")</f>
        <v/>
      </c>
      <c r="W197" s="10" t="str">
        <f t="array" ref="W197">IFERROR(INDEX('Bank Schedule'!#REF!, SMALL(IF('Bank Schedule'!$K$2:$K$825="Vacant", ROW('Bank Schedule'!$K$2:$K$825)), ROW(194:194))), "")</f>
        <v/>
      </c>
      <c r="X197" s="10" t="str">
        <f t="array" ref="X197">IFERROR(INDEX('Bank Schedule'!V:V, SMALL(IF('Bank Schedule'!$K$2:$K$825="Vacant", ROW('Bank Schedule'!$K$2:$K$825)), ROW(194:194))), "")</f>
        <v/>
      </c>
      <c r="Y197" s="10" t="str">
        <f t="array" ref="Y197">IFERROR(INDEX('Bank Schedule'!W:W, SMALL(IF('Bank Schedule'!$K$2:$K$825="Vacant", ROW('Bank Schedule'!$K$2:$K$825)), ROW(194:194))), "")</f>
        <v/>
      </c>
      <c r="Z197" s="61" t="str">
        <f t="array" ref="Z197">IFERROR(INDEX('Bank Schedule'!Z:Z, SMALL(IF('Bank Schedule'!$K$2:$K$825="Vacant", ROW('Bank Schedule'!$K$2:$K$825)), ROW(194:194))), "")</f>
        <v/>
      </c>
      <c r="AA197" s="55" t="str">
        <f t="array" ref="AA197">IFERROR(INDEX('Bank Schedule'!AA:AA, SMALL(IF('Bank Schedule'!$K$2:$K$825="Vacant", ROW('Bank Schedule'!$K$2:$K$825)), ROW(194:194))), "")</f>
        <v/>
      </c>
      <c r="AB197" s="14" t="str">
        <f t="array" ref="AB197">IFERROR(INDEX('Bank Schedule'!AB:AB, SMALL(IF('Bank Schedule'!$K$2:$K$825="Vacant", ROW('Bank Schedule'!$K$2:$K$825)), ROW(194:194))), "")</f>
        <v/>
      </c>
      <c r="AC197" s="4" t="str">
        <f t="array" ref="AC197">IFERROR(INDEX('Bank Schedule'!AC:AC, SMALL(IF('Bank Schedule'!$K$2:$K$825="Vacant", ROW('Bank Schedule'!$K$2:$K$825)), ROW(194:194))), "")</f>
        <v/>
      </c>
    </row>
  </sheetData>
  <autoFilter ref="A3:AC197" xr:uid="{00000000-0009-0000-0000-000003000000}">
    <filterColumn colId="6">
      <filters blank="1">
        <filter val="D1"/>
        <filter val="Educational"/>
        <filter val="Hotel                       25 Beds"/>
        <filter val="Retail / Offices"/>
        <filter val="Retail/ Ancillary"/>
        <filter val="Retail/Café"/>
        <filter val="Showroom"/>
        <filter val="Showroom/ Office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8" customFormat="1">
      <c r="A1" s="75" t="s">
        <v>10</v>
      </c>
      <c r="B1" s="99" t="s">
        <v>886</v>
      </c>
    </row>
    <row r="2" spans="1:2" s="98" customFormat="1">
      <c r="A2" s="243" t="s">
        <v>775</v>
      </c>
      <c r="B2" s="244" t="s">
        <v>887</v>
      </c>
    </row>
    <row r="3" spans="1:2" s="98" customFormat="1">
      <c r="A3" s="245" t="s">
        <v>38</v>
      </c>
      <c r="B3" s="246" t="s">
        <v>888</v>
      </c>
    </row>
    <row r="4" spans="1:2" s="98" customFormat="1">
      <c r="A4" s="245" t="s">
        <v>889</v>
      </c>
      <c r="B4" s="247" t="s">
        <v>46</v>
      </c>
    </row>
    <row r="5" spans="1:2" s="98" customFormat="1">
      <c r="A5" s="248" t="s">
        <v>295</v>
      </c>
      <c r="B5" s="247" t="s">
        <v>890</v>
      </c>
    </row>
    <row r="6" spans="1:2" s="98" customFormat="1">
      <c r="A6" s="245" t="s">
        <v>342</v>
      </c>
      <c r="B6" s="247" t="s">
        <v>46</v>
      </c>
    </row>
    <row r="7" spans="1:2" s="98" customFormat="1">
      <c r="A7" s="245" t="s">
        <v>353</v>
      </c>
      <c r="B7" s="247" t="s">
        <v>46</v>
      </c>
    </row>
    <row r="8" spans="1:2" s="98" customFormat="1">
      <c r="A8" s="245" t="s">
        <v>891</v>
      </c>
      <c r="B8" s="247" t="s">
        <v>888</v>
      </c>
    </row>
    <row r="9" spans="1:2" s="98" customFormat="1">
      <c r="A9" s="157" t="s">
        <v>847</v>
      </c>
      <c r="B9" s="157" t="s">
        <v>888</v>
      </c>
    </row>
    <row r="10" spans="1:2" s="98" customFormat="1">
      <c r="A10" s="245" t="s">
        <v>374</v>
      </c>
      <c r="B10" s="247" t="s">
        <v>210</v>
      </c>
    </row>
    <row r="11" spans="1:2" s="98" customFormat="1">
      <c r="A11" s="157" t="s">
        <v>463</v>
      </c>
      <c r="B11" s="157" t="s">
        <v>46</v>
      </c>
    </row>
    <row r="12" spans="1:2" s="98" customFormat="1">
      <c r="A12" s="245" t="s">
        <v>892</v>
      </c>
      <c r="B12" s="247" t="s">
        <v>46</v>
      </c>
    </row>
    <row r="13" spans="1:2" s="98" customFormat="1">
      <c r="A13" s="245" t="s">
        <v>495</v>
      </c>
      <c r="B13" s="247" t="s">
        <v>893</v>
      </c>
    </row>
    <row r="14" spans="1:2" s="98" customFormat="1">
      <c r="A14" s="245" t="s">
        <v>308</v>
      </c>
      <c r="B14" s="247" t="s">
        <v>46</v>
      </c>
    </row>
    <row r="15" spans="1:2" s="98" customFormat="1">
      <c r="A15" s="245" t="s">
        <v>508</v>
      </c>
      <c r="B15" s="247" t="s">
        <v>46</v>
      </c>
    </row>
    <row r="16" spans="1:2" s="98" customFormat="1">
      <c r="A16" s="245" t="s">
        <v>263</v>
      </c>
      <c r="B16" s="247" t="s">
        <v>46</v>
      </c>
    </row>
    <row r="17" spans="1:2" s="98" customFormat="1">
      <c r="A17" s="245" t="s">
        <v>263</v>
      </c>
      <c r="B17" s="247" t="s">
        <v>46</v>
      </c>
    </row>
    <row r="18" spans="1:2" s="98" customFormat="1">
      <c r="A18" s="245" t="s">
        <v>263</v>
      </c>
      <c r="B18" s="247" t="s">
        <v>46</v>
      </c>
    </row>
    <row r="19" spans="1:2" s="98" customFormat="1">
      <c r="A19" s="249" t="s">
        <v>270</v>
      </c>
      <c r="B19" s="249" t="s">
        <v>894</v>
      </c>
    </row>
    <row r="20" spans="1:2" s="98" customFormat="1">
      <c r="A20" s="245" t="s">
        <v>270</v>
      </c>
      <c r="B20" s="247" t="s">
        <v>894</v>
      </c>
    </row>
    <row r="21" spans="1:2" s="98" customFormat="1">
      <c r="A21" s="245" t="s">
        <v>270</v>
      </c>
      <c r="B21" s="247" t="s">
        <v>894</v>
      </c>
    </row>
    <row r="22" spans="1:2" s="98" customFormat="1">
      <c r="A22" s="245" t="s">
        <v>270</v>
      </c>
      <c r="B22" s="247" t="s">
        <v>894</v>
      </c>
    </row>
    <row r="23" spans="1:2" s="98" customFormat="1">
      <c r="A23" s="245" t="s">
        <v>270</v>
      </c>
      <c r="B23" s="247" t="s">
        <v>888</v>
      </c>
    </row>
    <row r="24" spans="1:2" s="98" customFormat="1">
      <c r="A24" s="245" t="s">
        <v>93</v>
      </c>
      <c r="B24" s="247" t="s">
        <v>895</v>
      </c>
    </row>
    <row r="25" spans="1:2" s="98" customFormat="1">
      <c r="A25" s="245" t="s">
        <v>140</v>
      </c>
      <c r="B25" s="247" t="s">
        <v>46</v>
      </c>
    </row>
    <row r="26" spans="1:2" s="98" customFormat="1">
      <c r="A26" s="245" t="s">
        <v>143</v>
      </c>
      <c r="B26" s="247" t="s">
        <v>890</v>
      </c>
    </row>
    <row r="27" spans="1:2" s="98" customFormat="1">
      <c r="A27" s="245" t="s">
        <v>896</v>
      </c>
      <c r="B27" s="247" t="s">
        <v>894</v>
      </c>
    </row>
    <row r="28" spans="1:2" s="98" customFormat="1">
      <c r="A28" s="157" t="s">
        <v>897</v>
      </c>
      <c r="B28" s="157" t="s">
        <v>888</v>
      </c>
    </row>
    <row r="29" spans="1:2" s="98" customFormat="1">
      <c r="A29" s="245" t="s">
        <v>797</v>
      </c>
      <c r="B29" s="247" t="s">
        <v>894</v>
      </c>
    </row>
    <row r="30" spans="1:2" s="98" customFormat="1">
      <c r="A30" s="245" t="s">
        <v>389</v>
      </c>
      <c r="B30" s="247" t="s">
        <v>887</v>
      </c>
    </row>
    <row r="31" spans="1:2" s="98" customFormat="1">
      <c r="A31" s="245" t="s">
        <v>229</v>
      </c>
      <c r="B31" s="247" t="s">
        <v>890</v>
      </c>
    </row>
    <row r="32" spans="1:2" s="98" customFormat="1">
      <c r="A32" s="245" t="s">
        <v>832</v>
      </c>
      <c r="B32" s="247" t="s">
        <v>210</v>
      </c>
    </row>
    <row r="33" spans="1:2" s="98" customFormat="1">
      <c r="A33" s="245" t="s">
        <v>282</v>
      </c>
      <c r="B33" s="247" t="s">
        <v>46</v>
      </c>
    </row>
    <row r="34" spans="1:2" s="98" customFormat="1">
      <c r="A34" s="245" t="s">
        <v>675</v>
      </c>
      <c r="B34" s="247" t="s">
        <v>888</v>
      </c>
    </row>
    <row r="35" spans="1:2" s="98" customFormat="1">
      <c r="A35" s="245" t="s">
        <v>640</v>
      </c>
      <c r="B35" s="247" t="s">
        <v>888</v>
      </c>
    </row>
    <row r="36" spans="1:2" s="98" customFormat="1">
      <c r="A36" s="245" t="s">
        <v>761</v>
      </c>
      <c r="B36" s="247" t="s">
        <v>888</v>
      </c>
    </row>
    <row r="37" spans="1:2" s="98" customFormat="1">
      <c r="A37" s="245" t="s">
        <v>737</v>
      </c>
      <c r="B37" s="247" t="s">
        <v>46</v>
      </c>
    </row>
    <row r="38" spans="1:2" s="98" customFormat="1">
      <c r="A38" s="157" t="s">
        <v>836</v>
      </c>
      <c r="B38" s="157" t="s">
        <v>888</v>
      </c>
    </row>
    <row r="39" spans="1:2" s="98" customFormat="1">
      <c r="A39" s="245" t="s">
        <v>395</v>
      </c>
      <c r="B39" s="247" t="s">
        <v>890</v>
      </c>
    </row>
    <row r="40" spans="1:2" s="98" customFormat="1">
      <c r="A40" s="245" t="s">
        <v>898</v>
      </c>
      <c r="B40" s="247" t="s">
        <v>46</v>
      </c>
    </row>
    <row r="41" spans="1:2" s="98" customFormat="1">
      <c r="A41" s="245" t="s">
        <v>898</v>
      </c>
      <c r="B41" s="247" t="s">
        <v>46</v>
      </c>
    </row>
    <row r="42" spans="1:2" s="98" customFormat="1">
      <c r="A42" s="245" t="s">
        <v>479</v>
      </c>
      <c r="B42" s="247" t="s">
        <v>899</v>
      </c>
    </row>
    <row r="43" spans="1:2" s="98" customFormat="1">
      <c r="A43" s="245" t="s">
        <v>80</v>
      </c>
      <c r="B43" s="247" t="s">
        <v>890</v>
      </c>
    </row>
    <row r="44" spans="1:2" s="98" customFormat="1">
      <c r="A44" s="157" t="s">
        <v>441</v>
      </c>
      <c r="B44" s="157" t="s">
        <v>888</v>
      </c>
    </row>
    <row r="45" spans="1:2" s="98" customFormat="1">
      <c r="A45" s="250" t="s">
        <v>171</v>
      </c>
      <c r="B45" s="251"/>
    </row>
    <row r="46" spans="1:2" s="98" customFormat="1">
      <c r="A46" s="248" t="s">
        <v>242</v>
      </c>
      <c r="B46" s="252" t="s">
        <v>888</v>
      </c>
    </row>
    <row r="47" spans="1:2" s="98" customFormat="1">
      <c r="A47" s="245" t="s">
        <v>575</v>
      </c>
      <c r="B47" s="247" t="s">
        <v>888</v>
      </c>
    </row>
    <row r="48" spans="1:2" s="98" customFormat="1">
      <c r="A48" s="245" t="s">
        <v>621</v>
      </c>
      <c r="B48" s="247" t="s">
        <v>894</v>
      </c>
    </row>
    <row r="49" spans="1:2" s="98" customFormat="1">
      <c r="A49" s="245" t="s">
        <v>555</v>
      </c>
      <c r="B49" s="247" t="s">
        <v>890</v>
      </c>
    </row>
    <row r="50" spans="1:2" s="98" customFormat="1">
      <c r="A50" s="245" t="s">
        <v>900</v>
      </c>
      <c r="B50" s="247" t="s">
        <v>894</v>
      </c>
    </row>
    <row r="51" spans="1:2" s="98" customFormat="1">
      <c r="A51" s="245" t="s">
        <v>900</v>
      </c>
      <c r="B51" s="247" t="s">
        <v>894</v>
      </c>
    </row>
    <row r="52" spans="1:2" s="98" customFormat="1">
      <c r="A52" s="245" t="s">
        <v>900</v>
      </c>
      <c r="B52" s="247" t="s">
        <v>894</v>
      </c>
    </row>
    <row r="53" spans="1:2" s="98" customFormat="1">
      <c r="A53" s="245" t="s">
        <v>900</v>
      </c>
      <c r="B53" s="247" t="s">
        <v>894</v>
      </c>
    </row>
    <row r="54" spans="1:2" s="98" customFormat="1">
      <c r="A54" s="245" t="s">
        <v>257</v>
      </c>
      <c r="B54" s="252" t="s">
        <v>894</v>
      </c>
    </row>
    <row r="55" spans="1:2" s="98" customFormat="1">
      <c r="A55" s="245" t="s">
        <v>257</v>
      </c>
      <c r="B55" s="247" t="s">
        <v>894</v>
      </c>
    </row>
    <row r="56" spans="1:2" s="98" customFormat="1">
      <c r="A56" s="245" t="s">
        <v>901</v>
      </c>
      <c r="B56" s="247" t="s">
        <v>888</v>
      </c>
    </row>
    <row r="57" spans="1:2" s="98" customFormat="1">
      <c r="A57" s="245" t="s">
        <v>416</v>
      </c>
      <c r="B57" s="247" t="s">
        <v>46</v>
      </c>
    </row>
    <row r="58" spans="1:2" s="98" customFormat="1">
      <c r="A58" s="245" t="s">
        <v>222</v>
      </c>
      <c r="B58" s="247" t="s">
        <v>46</v>
      </c>
    </row>
    <row r="59" spans="1:2" s="98" customFormat="1">
      <c r="A59" s="245" t="s">
        <v>319</v>
      </c>
      <c r="B59" s="247" t="s">
        <v>46</v>
      </c>
    </row>
    <row r="60" spans="1:2" s="98" customFormat="1">
      <c r="A60" s="157" t="s">
        <v>861</v>
      </c>
      <c r="B60" s="247" t="s">
        <v>887</v>
      </c>
    </row>
    <row r="61" spans="1:2" s="98" customFormat="1">
      <c r="A61" s="245" t="s">
        <v>828</v>
      </c>
      <c r="B61" s="247" t="s">
        <v>210</v>
      </c>
    </row>
    <row r="62" spans="1:2" s="98" customFormat="1">
      <c r="A62" s="245" t="s">
        <v>329</v>
      </c>
      <c r="B62" s="247" t="s">
        <v>46</v>
      </c>
    </row>
    <row r="63" spans="1:2" s="98" customFormat="1">
      <c r="A63" s="245" t="s">
        <v>699</v>
      </c>
      <c r="B63" s="247" t="s">
        <v>888</v>
      </c>
    </row>
    <row r="64" spans="1:2" s="98" customFormat="1">
      <c r="A64" s="245" t="s">
        <v>486</v>
      </c>
      <c r="B64" s="253" t="s">
        <v>894</v>
      </c>
    </row>
    <row r="65" spans="1:2" s="98" customFormat="1">
      <c r="A65" s="245" t="s">
        <v>486</v>
      </c>
      <c r="B65" s="247" t="s">
        <v>894</v>
      </c>
    </row>
    <row r="66" spans="1:2" s="98" customFormat="1">
      <c r="A66" s="247" t="s">
        <v>902</v>
      </c>
      <c r="B66" s="247" t="s">
        <v>894</v>
      </c>
    </row>
    <row r="67" spans="1:2" s="98" customFormat="1">
      <c r="A67" s="245" t="s">
        <v>488</v>
      </c>
      <c r="B67" s="253" t="s">
        <v>903</v>
      </c>
    </row>
    <row r="68" spans="1:2" s="98" customFormat="1">
      <c r="A68" s="157" t="s">
        <v>468</v>
      </c>
      <c r="B68" s="157" t="s">
        <v>46</v>
      </c>
    </row>
    <row r="69" spans="1:2" s="98" customFormat="1">
      <c r="A69" s="245" t="s">
        <v>755</v>
      </c>
      <c r="B69" s="247" t="s">
        <v>46</v>
      </c>
    </row>
    <row r="70" spans="1:2" s="98" customFormat="1">
      <c r="A70" s="245" t="s">
        <v>111</v>
      </c>
      <c r="B70" s="247" t="s">
        <v>46</v>
      </c>
    </row>
    <row r="71" spans="1:2" s="98" customFormat="1">
      <c r="A71" s="248" t="s">
        <v>669</v>
      </c>
      <c r="B71" s="252" t="s">
        <v>894</v>
      </c>
    </row>
    <row r="72" spans="1:2" s="98" customFormat="1">
      <c r="A72" s="245" t="s">
        <v>736</v>
      </c>
      <c r="B72" s="247" t="s">
        <v>888</v>
      </c>
    </row>
    <row r="73" spans="1:2" s="98" customFormat="1">
      <c r="A73" s="245" t="s">
        <v>736</v>
      </c>
      <c r="B73" s="247" t="s">
        <v>888</v>
      </c>
    </row>
    <row r="74" spans="1:2" s="98" customFormat="1">
      <c r="A74" s="245" t="s">
        <v>736</v>
      </c>
      <c r="B74" s="247" t="s">
        <v>904</v>
      </c>
    </row>
    <row r="75" spans="1:2" s="98" customFormat="1">
      <c r="A75" s="245" t="s">
        <v>551</v>
      </c>
      <c r="B75" s="247" t="s">
        <v>894</v>
      </c>
    </row>
    <row r="76" spans="1:2" s="98" customFormat="1">
      <c r="A76" s="245" t="s">
        <v>551</v>
      </c>
      <c r="B76" s="252" t="s">
        <v>894</v>
      </c>
    </row>
    <row r="77" spans="1:2" s="98" customFormat="1">
      <c r="A77" s="248" t="s">
        <v>121</v>
      </c>
      <c r="B77" s="252" t="s">
        <v>46</v>
      </c>
    </row>
    <row r="78" spans="1:2" s="98" customFormat="1">
      <c r="A78" s="245" t="s">
        <v>753</v>
      </c>
      <c r="B78" s="247" t="s">
        <v>894</v>
      </c>
    </row>
    <row r="79" spans="1:2" s="98" customFormat="1">
      <c r="A79" s="245" t="s">
        <v>753</v>
      </c>
      <c r="B79" s="247" t="s">
        <v>888</v>
      </c>
    </row>
    <row r="80" spans="1:2" s="98" customFormat="1">
      <c r="A80" s="245" t="s">
        <v>753</v>
      </c>
      <c r="B80" s="247" t="s">
        <v>888</v>
      </c>
    </row>
    <row r="81" spans="1:2" s="98" customFormat="1">
      <c r="A81" s="245" t="s">
        <v>753</v>
      </c>
      <c r="B81" s="247" t="s">
        <v>894</v>
      </c>
    </row>
    <row r="82" spans="1:2" s="98" customFormat="1">
      <c r="A82" s="245" t="s">
        <v>500</v>
      </c>
      <c r="B82" s="247" t="s">
        <v>893</v>
      </c>
    </row>
    <row r="83" spans="1:2" s="98" customFormat="1">
      <c r="A83" s="245" t="s">
        <v>615</v>
      </c>
      <c r="B83" s="247" t="s">
        <v>894</v>
      </c>
    </row>
    <row r="84" spans="1:2" s="98" customFormat="1">
      <c r="A84" s="245" t="s">
        <v>615</v>
      </c>
      <c r="B84" s="247" t="s">
        <v>894</v>
      </c>
    </row>
    <row r="85" spans="1:2" s="98" customFormat="1">
      <c r="A85" s="245" t="s">
        <v>615</v>
      </c>
      <c r="B85" s="247" t="s">
        <v>894</v>
      </c>
    </row>
    <row r="86" spans="1:2" s="98" customFormat="1">
      <c r="A86" s="245" t="s">
        <v>615</v>
      </c>
      <c r="B86" s="247" t="s">
        <v>894</v>
      </c>
    </row>
    <row r="87" spans="1:2" s="98" customFormat="1">
      <c r="A87" s="245" t="s">
        <v>615</v>
      </c>
      <c r="B87" s="247" t="s">
        <v>894</v>
      </c>
    </row>
    <row r="88" spans="1:2" s="98" customFormat="1">
      <c r="A88" s="245" t="s">
        <v>615</v>
      </c>
      <c r="B88" s="247" t="s">
        <v>894</v>
      </c>
    </row>
    <row r="89" spans="1:2" s="98" customFormat="1">
      <c r="A89" s="245" t="s">
        <v>787</v>
      </c>
      <c r="B89" s="247" t="s">
        <v>895</v>
      </c>
    </row>
    <row r="90" spans="1:2" s="98" customFormat="1">
      <c r="A90" s="245" t="s">
        <v>117</v>
      </c>
      <c r="B90" s="247" t="s">
        <v>46</v>
      </c>
    </row>
    <row r="91" spans="1:2" s="98" customFormat="1">
      <c r="A91" s="245" t="s">
        <v>905</v>
      </c>
      <c r="B91" s="247" t="s">
        <v>46</v>
      </c>
    </row>
    <row r="92" spans="1:2" s="98" customFormat="1">
      <c r="A92" s="245" t="s">
        <v>356</v>
      </c>
      <c r="B92" s="247" t="s">
        <v>46</v>
      </c>
    </row>
    <row r="93" spans="1:2" s="98" customFormat="1">
      <c r="A93" s="245" t="s">
        <v>356</v>
      </c>
      <c r="B93" s="247" t="s">
        <v>46</v>
      </c>
    </row>
    <row r="94" spans="1:2" s="98" customFormat="1">
      <c r="A94" s="245" t="s">
        <v>582</v>
      </c>
      <c r="B94" s="247" t="s">
        <v>894</v>
      </c>
    </row>
    <row r="95" spans="1:2" s="98" customFormat="1">
      <c r="A95" s="245" t="s">
        <v>237</v>
      </c>
      <c r="B95" s="247" t="s">
        <v>893</v>
      </c>
    </row>
    <row r="96" spans="1:2" s="98" customFormat="1">
      <c r="A96" s="245" t="s">
        <v>237</v>
      </c>
      <c r="B96" s="247" t="s">
        <v>893</v>
      </c>
    </row>
    <row r="97" spans="1:2" s="98" customFormat="1">
      <c r="A97" s="245" t="s">
        <v>906</v>
      </c>
      <c r="B97" s="247" t="s">
        <v>888</v>
      </c>
    </row>
    <row r="98" spans="1:2" s="98" customFormat="1">
      <c r="A98" s="245" t="s">
        <v>907</v>
      </c>
      <c r="B98" s="247" t="s">
        <v>890</v>
      </c>
    </row>
    <row r="99" spans="1:2" s="98" customFormat="1">
      <c r="A99" s="245" t="s">
        <v>724</v>
      </c>
      <c r="B99" s="247" t="s">
        <v>888</v>
      </c>
    </row>
    <row r="100" spans="1:2" s="98" customFormat="1">
      <c r="A100" s="245" t="s">
        <v>608</v>
      </c>
      <c r="B100" s="247" t="s">
        <v>894</v>
      </c>
    </row>
    <row r="101" spans="1:2" s="98" customFormat="1">
      <c r="A101" s="245" t="s">
        <v>770</v>
      </c>
      <c r="B101" s="247" t="s">
        <v>908</v>
      </c>
    </row>
    <row r="102" spans="1:2" s="98" customFormat="1">
      <c r="A102" s="157" t="s">
        <v>842</v>
      </c>
      <c r="B102" s="157" t="s">
        <v>888</v>
      </c>
    </row>
    <row r="103" spans="1:2" s="98" customFormat="1">
      <c r="A103" s="245" t="s">
        <v>718</v>
      </c>
      <c r="B103" s="247" t="s">
        <v>893</v>
      </c>
    </row>
    <row r="104" spans="1:2" s="98" customFormat="1">
      <c r="A104" s="245" t="s">
        <v>168</v>
      </c>
      <c r="B104" s="247" t="s">
        <v>46</v>
      </c>
    </row>
    <row r="105" spans="1:2" s="98" customFormat="1">
      <c r="A105" s="245" t="s">
        <v>129</v>
      </c>
      <c r="B105" s="252" t="s">
        <v>894</v>
      </c>
    </row>
    <row r="106" spans="1:2" s="98" customFormat="1">
      <c r="A106" s="245" t="s">
        <v>129</v>
      </c>
      <c r="B106" s="252" t="s">
        <v>894</v>
      </c>
    </row>
    <row r="107" spans="1:2" s="98" customFormat="1">
      <c r="A107" s="245" t="s">
        <v>531</v>
      </c>
      <c r="B107" s="247" t="s">
        <v>890</v>
      </c>
    </row>
    <row r="108" spans="1:2" s="98" customFormat="1">
      <c r="A108" s="245" t="s">
        <v>62</v>
      </c>
      <c r="B108" s="247" t="s">
        <v>895</v>
      </c>
    </row>
    <row r="109" spans="1:2" s="98" customFormat="1">
      <c r="A109" s="157" t="s">
        <v>838</v>
      </c>
      <c r="B109" s="157" t="s">
        <v>893</v>
      </c>
    </row>
    <row r="110" spans="1:2" s="98" customFormat="1">
      <c r="A110" s="245" t="s">
        <v>423</v>
      </c>
      <c r="B110" s="247" t="s">
        <v>46</v>
      </c>
    </row>
    <row r="111" spans="1:2" s="98" customFormat="1">
      <c r="A111" s="247" t="s">
        <v>593</v>
      </c>
      <c r="B111" s="247" t="s">
        <v>210</v>
      </c>
    </row>
    <row r="112" spans="1:2" s="98" customFormat="1">
      <c r="A112" s="157" t="s">
        <v>843</v>
      </c>
      <c r="B112" s="157" t="s">
        <v>890</v>
      </c>
    </row>
    <row r="113" spans="1:2" s="98" customFormat="1">
      <c r="A113" s="245" t="s">
        <v>333</v>
      </c>
      <c r="B113" s="247" t="s">
        <v>890</v>
      </c>
    </row>
    <row r="114" spans="1:2" s="98" customFormat="1">
      <c r="A114" s="250" t="s">
        <v>391</v>
      </c>
      <c r="B114" s="251"/>
    </row>
    <row r="115" spans="1:2" s="98" customFormat="1">
      <c r="A115" s="245" t="s">
        <v>419</v>
      </c>
      <c r="B115" s="247" t="s">
        <v>899</v>
      </c>
    </row>
    <row r="116" spans="1:2" s="98" customFormat="1">
      <c r="A116" s="248" t="s">
        <v>716</v>
      </c>
      <c r="B116" s="247" t="s">
        <v>890</v>
      </c>
    </row>
    <row r="117" spans="1:2" s="98" customFormat="1">
      <c r="A117" s="245" t="s">
        <v>596</v>
      </c>
      <c r="B117" s="247" t="s">
        <v>888</v>
      </c>
    </row>
    <row r="118" spans="1:2" s="98" customFormat="1">
      <c r="A118" s="245" t="s">
        <v>645</v>
      </c>
      <c r="B118" s="247" t="s">
        <v>890</v>
      </c>
    </row>
    <row r="119" spans="1:2" s="98" customFormat="1">
      <c r="A119" s="157" t="s">
        <v>846</v>
      </c>
      <c r="B119" s="157" t="s">
        <v>895</v>
      </c>
    </row>
    <row r="120" spans="1:2" s="98" customFormat="1">
      <c r="A120" s="245" t="s">
        <v>909</v>
      </c>
      <c r="B120" s="247" t="s">
        <v>46</v>
      </c>
    </row>
    <row r="121" spans="1:2" s="98" customFormat="1">
      <c r="A121" s="245" t="s">
        <v>149</v>
      </c>
      <c r="B121" s="247" t="s">
        <v>46</v>
      </c>
    </row>
    <row r="122" spans="1:2" s="98" customFormat="1">
      <c r="A122" s="245" t="s">
        <v>523</v>
      </c>
      <c r="B122" s="247" t="s">
        <v>46</v>
      </c>
    </row>
    <row r="123" spans="1:2" s="98" customFormat="1">
      <c r="A123" s="245" t="s">
        <v>585</v>
      </c>
      <c r="B123" s="247" t="s">
        <v>888</v>
      </c>
    </row>
    <row r="124" spans="1:2" s="98" customFormat="1">
      <c r="A124" s="245" t="s">
        <v>507</v>
      </c>
      <c r="B124" s="247" t="s">
        <v>888</v>
      </c>
    </row>
    <row r="125" spans="1:2" s="98" customFormat="1">
      <c r="A125" s="245" t="s">
        <v>910</v>
      </c>
      <c r="B125" s="247" t="s">
        <v>888</v>
      </c>
    </row>
    <row r="126" spans="1:2" s="98" customFormat="1">
      <c r="A126" s="157" t="s">
        <v>853</v>
      </c>
      <c r="B126" s="157" t="s">
        <v>888</v>
      </c>
    </row>
    <row r="127" spans="1:2" s="98" customFormat="1">
      <c r="A127" s="245" t="s">
        <v>506</v>
      </c>
      <c r="B127" s="247" t="s">
        <v>46</v>
      </c>
    </row>
    <row r="128" spans="1:2" s="98" customFormat="1">
      <c r="A128" s="245" t="s">
        <v>650</v>
      </c>
      <c r="B128" s="247" t="s">
        <v>895</v>
      </c>
    </row>
    <row r="129" spans="1:2" s="98" customFormat="1">
      <c r="A129" s="245" t="s">
        <v>730</v>
      </c>
      <c r="B129" s="247" t="s">
        <v>46</v>
      </c>
    </row>
    <row r="130" spans="1:2" s="98" customFormat="1">
      <c r="A130" s="248" t="s">
        <v>298</v>
      </c>
      <c r="B130" s="247" t="s">
        <v>890</v>
      </c>
    </row>
    <row r="131" spans="1:2" s="98" customFormat="1">
      <c r="A131" s="248" t="s">
        <v>298</v>
      </c>
      <c r="B131" s="247" t="s">
        <v>890</v>
      </c>
    </row>
    <row r="132" spans="1:2" s="98" customFormat="1">
      <c r="A132" s="245" t="s">
        <v>642</v>
      </c>
      <c r="B132" s="247" t="s">
        <v>888</v>
      </c>
    </row>
    <row r="133" spans="1:2" s="98" customFormat="1">
      <c r="A133" s="245" t="s">
        <v>516</v>
      </c>
      <c r="B133" s="247" t="s">
        <v>894</v>
      </c>
    </row>
    <row r="134" spans="1:2" s="98" customFormat="1">
      <c r="A134" s="245" t="s">
        <v>252</v>
      </c>
      <c r="B134" s="247" t="s">
        <v>893</v>
      </c>
    </row>
    <row r="135" spans="1:2" s="98" customFormat="1">
      <c r="A135" s="245" t="s">
        <v>252</v>
      </c>
      <c r="B135" s="252" t="s">
        <v>893</v>
      </c>
    </row>
    <row r="136" spans="1:2" s="98" customFormat="1">
      <c r="A136" s="245" t="s">
        <v>252</v>
      </c>
      <c r="B136" s="252" t="s">
        <v>893</v>
      </c>
    </row>
    <row r="137" spans="1:2" s="98" customFormat="1">
      <c r="A137" s="245" t="s">
        <v>252</v>
      </c>
      <c r="B137" s="252" t="s">
        <v>893</v>
      </c>
    </row>
    <row r="138" spans="1:2" s="98" customFormat="1">
      <c r="A138" s="245" t="s">
        <v>252</v>
      </c>
      <c r="B138" s="252" t="s">
        <v>893</v>
      </c>
    </row>
    <row r="139" spans="1:2" s="98" customFormat="1">
      <c r="A139" s="245" t="s">
        <v>252</v>
      </c>
      <c r="B139" s="252" t="s">
        <v>893</v>
      </c>
    </row>
    <row r="140" spans="1:2" s="98" customFormat="1">
      <c r="A140" s="245" t="s">
        <v>252</v>
      </c>
      <c r="B140" s="247" t="s">
        <v>893</v>
      </c>
    </row>
    <row r="141" spans="1:2" s="98" customFormat="1">
      <c r="A141" s="245" t="s">
        <v>252</v>
      </c>
      <c r="B141" s="247" t="s">
        <v>893</v>
      </c>
    </row>
    <row r="142" spans="1:2" s="98" customFormat="1">
      <c r="A142" s="245" t="s">
        <v>252</v>
      </c>
      <c r="B142" s="247" t="s">
        <v>893</v>
      </c>
    </row>
    <row r="143" spans="1:2" s="98" customFormat="1">
      <c r="A143" s="245" t="s">
        <v>252</v>
      </c>
      <c r="B143" s="247" t="s">
        <v>893</v>
      </c>
    </row>
    <row r="144" spans="1:2" s="98" customFormat="1">
      <c r="A144" s="245" t="s">
        <v>252</v>
      </c>
      <c r="B144" s="247" t="s">
        <v>893</v>
      </c>
    </row>
    <row r="145" spans="1:2" s="98" customFormat="1">
      <c r="A145" s="245" t="s">
        <v>252</v>
      </c>
      <c r="B145" s="247" t="s">
        <v>893</v>
      </c>
    </row>
    <row r="146" spans="1:2" s="98" customFormat="1">
      <c r="A146" s="245" t="s">
        <v>740</v>
      </c>
      <c r="B146" s="247" t="s">
        <v>894</v>
      </c>
    </row>
    <row r="147" spans="1:2" s="98" customFormat="1">
      <c r="A147" s="152" t="s">
        <v>434</v>
      </c>
      <c r="B147" s="152" t="s">
        <v>46</v>
      </c>
    </row>
    <row r="148" spans="1:2" s="98" customFormat="1">
      <c r="A148" s="245" t="s">
        <v>835</v>
      </c>
      <c r="B148" s="247" t="s">
        <v>210</v>
      </c>
    </row>
    <row r="149" spans="1:2" s="98" customFormat="1">
      <c r="A149" s="245" t="s">
        <v>911</v>
      </c>
      <c r="B149" s="247" t="s">
        <v>904</v>
      </c>
    </row>
    <row r="150" spans="1:2" s="98" customFormat="1">
      <c r="A150" s="245" t="s">
        <v>820</v>
      </c>
      <c r="B150" s="247" t="s">
        <v>908</v>
      </c>
    </row>
    <row r="151" spans="1:2" s="98" customFormat="1">
      <c r="A151" s="245" t="s">
        <v>820</v>
      </c>
      <c r="B151" s="247" t="s">
        <v>908</v>
      </c>
    </row>
    <row r="152" spans="1:2" s="98" customFormat="1">
      <c r="A152" s="245" t="s">
        <v>820</v>
      </c>
      <c r="B152" s="247" t="s">
        <v>908</v>
      </c>
    </row>
    <row r="153" spans="1:2" s="98" customFormat="1">
      <c r="A153" s="245" t="s">
        <v>820</v>
      </c>
      <c r="B153" s="247" t="s">
        <v>908</v>
      </c>
    </row>
    <row r="154" spans="1:2" s="98" customFormat="1">
      <c r="A154" s="245" t="s">
        <v>448</v>
      </c>
      <c r="B154" s="247" t="s">
        <v>887</v>
      </c>
    </row>
    <row r="155" spans="1:2" s="98" customFormat="1">
      <c r="A155" s="245" t="s">
        <v>448</v>
      </c>
      <c r="B155" s="245" t="s">
        <v>887</v>
      </c>
    </row>
    <row r="156" spans="1:2" s="98" customFormat="1">
      <c r="A156" s="245" t="s">
        <v>448</v>
      </c>
      <c r="B156" s="245" t="s">
        <v>887</v>
      </c>
    </row>
    <row r="157" spans="1:2" s="98" customFormat="1">
      <c r="A157" s="245" t="s">
        <v>448</v>
      </c>
      <c r="B157" s="245" t="s">
        <v>887</v>
      </c>
    </row>
    <row r="158" spans="1:2" s="98" customFormat="1">
      <c r="A158" s="245" t="s">
        <v>448</v>
      </c>
      <c r="B158" s="245" t="s">
        <v>887</v>
      </c>
    </row>
    <row r="159" spans="1:2" s="98" customFormat="1">
      <c r="A159" s="245" t="s">
        <v>448</v>
      </c>
      <c r="B159" s="245" t="s">
        <v>887</v>
      </c>
    </row>
    <row r="160" spans="1:2" s="98" customFormat="1">
      <c r="A160" s="157" t="s">
        <v>448</v>
      </c>
      <c r="B160" s="247" t="s">
        <v>887</v>
      </c>
    </row>
    <row r="161" spans="1:2" s="98" customFormat="1">
      <c r="A161" s="157" t="s">
        <v>448</v>
      </c>
      <c r="B161" s="247" t="s">
        <v>887</v>
      </c>
    </row>
    <row r="162" spans="1:2" s="98" customFormat="1">
      <c r="A162" s="245" t="s">
        <v>811</v>
      </c>
      <c r="B162" s="247" t="s">
        <v>912</v>
      </c>
    </row>
    <row r="163" spans="1:2" s="98" customFormat="1">
      <c r="A163" s="245" t="s">
        <v>780</v>
      </c>
      <c r="B163" s="247" t="s">
        <v>894</v>
      </c>
    </row>
    <row r="164" spans="1:2" s="98" customFormat="1">
      <c r="A164" s="245" t="s">
        <v>316</v>
      </c>
      <c r="B164" s="247" t="s">
        <v>894</v>
      </c>
    </row>
    <row r="165" spans="1:2" s="98" customFormat="1">
      <c r="A165" s="157" t="s">
        <v>849</v>
      </c>
      <c r="B165" s="157" t="s">
        <v>46</v>
      </c>
    </row>
    <row r="166" spans="1:2" s="98" customFormat="1">
      <c r="A166" s="245" t="s">
        <v>747</v>
      </c>
      <c r="B166" s="247" t="s">
        <v>888</v>
      </c>
    </row>
    <row r="167" spans="1:2" s="98" customFormat="1">
      <c r="A167" s="245" t="s">
        <v>113</v>
      </c>
      <c r="B167" s="247" t="s">
        <v>890</v>
      </c>
    </row>
    <row r="168" spans="1:2" s="98" customFormat="1">
      <c r="A168" s="245" t="s">
        <v>310</v>
      </c>
      <c r="B168" s="247" t="s">
        <v>890</v>
      </c>
    </row>
    <row r="169" spans="1:2" s="98" customFormat="1">
      <c r="A169" s="245" t="s">
        <v>337</v>
      </c>
      <c r="B169" s="247" t="s">
        <v>890</v>
      </c>
    </row>
    <row r="170" spans="1:2" s="98" customFormat="1">
      <c r="A170" s="245" t="s">
        <v>685</v>
      </c>
      <c r="B170" s="247" t="s">
        <v>893</v>
      </c>
    </row>
    <row r="171" spans="1:2" s="98" customFormat="1">
      <c r="A171" s="245" t="s">
        <v>626</v>
      </c>
      <c r="B171" s="247" t="s">
        <v>888</v>
      </c>
    </row>
    <row r="172" spans="1:2" s="98" customFormat="1">
      <c r="A172" s="245" t="s">
        <v>286</v>
      </c>
      <c r="B172" s="247" t="s">
        <v>890</v>
      </c>
    </row>
    <row r="173" spans="1:2" s="98" customFormat="1">
      <c r="A173" s="245" t="s">
        <v>745</v>
      </c>
      <c r="B173" s="252" t="s">
        <v>46</v>
      </c>
    </row>
    <row r="174" spans="1:2" s="98" customFormat="1">
      <c r="A174" s="248" t="s">
        <v>727</v>
      </c>
      <c r="B174" s="247" t="s">
        <v>46</v>
      </c>
    </row>
    <row r="175" spans="1:2" s="98" customFormat="1">
      <c r="A175" s="250" t="s">
        <v>525</v>
      </c>
      <c r="B175" s="251"/>
    </row>
    <row r="176" spans="1:2" s="98" customFormat="1">
      <c r="A176" s="245" t="s">
        <v>185</v>
      </c>
      <c r="B176" s="247" t="s">
        <v>894</v>
      </c>
    </row>
    <row r="177" spans="1:2" s="98" customFormat="1">
      <c r="A177" s="245" t="s">
        <v>185</v>
      </c>
      <c r="B177" s="247" t="s">
        <v>894</v>
      </c>
    </row>
    <row r="178" spans="1:2" s="98" customFormat="1">
      <c r="A178" s="245" t="s">
        <v>185</v>
      </c>
      <c r="B178" s="247" t="s">
        <v>894</v>
      </c>
    </row>
    <row r="179" spans="1:2" s="98" customFormat="1">
      <c r="A179" s="245" t="s">
        <v>624</v>
      </c>
      <c r="B179" s="247" t="s">
        <v>894</v>
      </c>
    </row>
    <row r="180" spans="1:2" s="98" customFormat="1">
      <c r="A180" s="245" t="s">
        <v>913</v>
      </c>
      <c r="B180" s="253" t="s">
        <v>888</v>
      </c>
    </row>
    <row r="181" spans="1:2" s="98" customFormat="1">
      <c r="A181" s="245" t="s">
        <v>914</v>
      </c>
      <c r="B181" s="247" t="s">
        <v>46</v>
      </c>
    </row>
    <row r="182" spans="1:2" s="98" customFormat="1">
      <c r="A182" s="245" t="s">
        <v>723</v>
      </c>
      <c r="B182" s="247" t="s">
        <v>894</v>
      </c>
    </row>
    <row r="183" spans="1:2" s="98" customFormat="1">
      <c r="A183" s="245" t="s">
        <v>194</v>
      </c>
      <c r="B183" s="247" t="s">
        <v>46</v>
      </c>
    </row>
    <row r="184" spans="1:2" s="98" customFormat="1">
      <c r="A184" s="245" t="s">
        <v>194</v>
      </c>
      <c r="B184" s="247" t="s">
        <v>46</v>
      </c>
    </row>
    <row r="185" spans="1:2" s="98" customFormat="1">
      <c r="A185" s="245" t="s">
        <v>194</v>
      </c>
      <c r="B185" s="247" t="s">
        <v>46</v>
      </c>
    </row>
    <row r="186" spans="1:2" s="98" customFormat="1">
      <c r="A186" s="245" t="s">
        <v>713</v>
      </c>
      <c r="B186" s="247" t="s">
        <v>210</v>
      </c>
    </row>
    <row r="187" spans="1:2" s="98" customFormat="1">
      <c r="A187" s="245" t="s">
        <v>704</v>
      </c>
      <c r="B187" s="247" t="s">
        <v>888</v>
      </c>
    </row>
    <row r="188" spans="1:2" s="98" customFormat="1">
      <c r="A188" s="245" t="s">
        <v>915</v>
      </c>
      <c r="B188" s="247" t="s">
        <v>210</v>
      </c>
    </row>
    <row r="189" spans="1:2" s="98" customFormat="1">
      <c r="A189" s="245" t="s">
        <v>280</v>
      </c>
      <c r="B189" s="247" t="s">
        <v>46</v>
      </c>
    </row>
    <row r="190" spans="1:2" s="98" customFormat="1">
      <c r="A190" s="157" t="s">
        <v>916</v>
      </c>
      <c r="B190" s="157" t="s">
        <v>888</v>
      </c>
    </row>
    <row r="191" spans="1:2" s="98" customFormat="1">
      <c r="A191" s="245" t="s">
        <v>711</v>
      </c>
      <c r="B191" s="247" t="s">
        <v>888</v>
      </c>
    </row>
    <row r="192" spans="1:2" s="98" customFormat="1">
      <c r="A192" s="245" t="s">
        <v>499</v>
      </c>
      <c r="B192" s="247" t="s">
        <v>904</v>
      </c>
    </row>
    <row r="193" spans="1:2" s="98" customFormat="1">
      <c r="A193" s="245" t="s">
        <v>706</v>
      </c>
      <c r="B193" s="247" t="s">
        <v>904</v>
      </c>
    </row>
    <row r="194" spans="1:2" s="98" customFormat="1">
      <c r="A194" s="245" t="s">
        <v>708</v>
      </c>
      <c r="B194" s="247" t="s">
        <v>904</v>
      </c>
    </row>
    <row r="195" spans="1:2" s="98" customFormat="1">
      <c r="A195" s="245" t="s">
        <v>289</v>
      </c>
      <c r="B195" s="247" t="s">
        <v>46</v>
      </c>
    </row>
    <row r="196" spans="1:2" s="98" customFormat="1">
      <c r="A196" s="245" t="s">
        <v>502</v>
      </c>
      <c r="B196" s="247" t="s">
        <v>888</v>
      </c>
    </row>
    <row r="197" spans="1:2" s="98" customFormat="1">
      <c r="A197" s="157" t="s">
        <v>858</v>
      </c>
      <c r="B197" s="157" t="s">
        <v>888</v>
      </c>
    </row>
    <row r="198" spans="1:2" s="98" customFormat="1">
      <c r="A198" s="157" t="s">
        <v>858</v>
      </c>
      <c r="B198" s="157" t="s">
        <v>888</v>
      </c>
    </row>
    <row r="199" spans="1:2" s="98" customFormat="1">
      <c r="A199" s="157" t="s">
        <v>453</v>
      </c>
      <c r="B199" s="157" t="s">
        <v>888</v>
      </c>
    </row>
    <row r="200" spans="1:2" s="98" customFormat="1">
      <c r="A200" s="245" t="s">
        <v>627</v>
      </c>
      <c r="B200" s="247" t="s">
        <v>888</v>
      </c>
    </row>
    <row r="201" spans="1:2" s="98" customFormat="1">
      <c r="A201" s="157" t="s">
        <v>837</v>
      </c>
      <c r="B201" s="157" t="s">
        <v>895</v>
      </c>
    </row>
    <row r="202" spans="1:2" s="98" customFormat="1">
      <c r="A202" s="245" t="s">
        <v>436</v>
      </c>
      <c r="B202" s="247" t="s">
        <v>890</v>
      </c>
    </row>
    <row r="203" spans="1:2" s="98" customFormat="1">
      <c r="A203" s="157" t="s">
        <v>436</v>
      </c>
      <c r="B203" s="157" t="s">
        <v>890</v>
      </c>
    </row>
    <row r="204" spans="1:2" s="98" customFormat="1">
      <c r="A204" s="245" t="s">
        <v>146</v>
      </c>
      <c r="B204" s="247" t="s">
        <v>890</v>
      </c>
    </row>
    <row r="205" spans="1:2" s="98" customFormat="1">
      <c r="A205" s="245" t="s">
        <v>146</v>
      </c>
      <c r="B205" s="247" t="s">
        <v>890</v>
      </c>
    </row>
    <row r="206" spans="1:2" s="98" customFormat="1">
      <c r="A206" s="245" t="s">
        <v>146</v>
      </c>
      <c r="B206" s="247" t="s">
        <v>890</v>
      </c>
    </row>
    <row r="207" spans="1:2" s="98" customFormat="1">
      <c r="A207" s="157" t="s">
        <v>466</v>
      </c>
      <c r="B207" s="157" t="s">
        <v>46</v>
      </c>
    </row>
    <row r="208" spans="1:2" s="98" customFormat="1">
      <c r="A208" s="245" t="s">
        <v>636</v>
      </c>
      <c r="B208" s="247" t="s">
        <v>894</v>
      </c>
    </row>
    <row r="209" spans="1:2" s="98" customFormat="1">
      <c r="A209" s="245" t="s">
        <v>766</v>
      </c>
      <c r="B209" s="247" t="s">
        <v>46</v>
      </c>
    </row>
    <row r="210" spans="1:2" s="98" customFormat="1">
      <c r="A210" s="245" t="s">
        <v>557</v>
      </c>
      <c r="B210" s="247" t="s">
        <v>888</v>
      </c>
    </row>
    <row r="211" spans="1:2" s="98" customFormat="1">
      <c r="A211" s="245" t="s">
        <v>587</v>
      </c>
      <c r="B211" s="247" t="s">
        <v>888</v>
      </c>
    </row>
    <row r="212" spans="1:2" s="98" customFormat="1">
      <c r="A212" s="245" t="s">
        <v>234</v>
      </c>
      <c r="B212" s="247" t="s">
        <v>904</v>
      </c>
    </row>
    <row r="213" spans="1:2" s="98" customFormat="1">
      <c r="A213" s="248" t="s">
        <v>292</v>
      </c>
      <c r="B213" s="247" t="s">
        <v>46</v>
      </c>
    </row>
    <row r="214" spans="1:2" s="98" customFormat="1">
      <c r="A214" s="245" t="s">
        <v>917</v>
      </c>
      <c r="B214" s="247" t="s">
        <v>894</v>
      </c>
    </row>
    <row r="215" spans="1:2" s="98" customFormat="1">
      <c r="A215" s="245" t="s">
        <v>819</v>
      </c>
      <c r="B215" s="247" t="s">
        <v>46</v>
      </c>
    </row>
    <row r="216" spans="1:2" s="98" customFormat="1">
      <c r="A216" s="245" t="s">
        <v>360</v>
      </c>
      <c r="B216" s="247" t="s">
        <v>890</v>
      </c>
    </row>
    <row r="217" spans="1:2" s="98" customFormat="1">
      <c r="A217" s="245" t="s">
        <v>741</v>
      </c>
      <c r="B217" s="247" t="s">
        <v>888</v>
      </c>
    </row>
    <row r="218" spans="1:2" s="98" customFormat="1">
      <c r="A218" s="245" t="s">
        <v>162</v>
      </c>
      <c r="B218" s="247" t="s">
        <v>890</v>
      </c>
    </row>
    <row r="219" spans="1:2" s="98" customFormat="1">
      <c r="A219" s="245" t="s">
        <v>303</v>
      </c>
      <c r="B219" s="247" t="s">
        <v>46</v>
      </c>
    </row>
    <row r="220" spans="1:2" s="98" customFormat="1">
      <c r="A220" s="245" t="s">
        <v>402</v>
      </c>
      <c r="B220" s="247" t="s">
        <v>46</v>
      </c>
    </row>
    <row r="221" spans="1:2" s="98" customFormat="1">
      <c r="A221" s="245" t="s">
        <v>807</v>
      </c>
      <c r="B221" s="247" t="s">
        <v>46</v>
      </c>
    </row>
    <row r="222" spans="1:2" s="98" customFormat="1">
      <c r="A222" s="245" t="s">
        <v>918</v>
      </c>
      <c r="B222" s="247" t="s">
        <v>894</v>
      </c>
    </row>
    <row r="223" spans="1:2" s="98" customFormat="1">
      <c r="A223" s="245" t="s">
        <v>918</v>
      </c>
      <c r="B223" s="247" t="s">
        <v>894</v>
      </c>
    </row>
    <row r="224" spans="1:2" s="98" customFormat="1">
      <c r="A224" s="254" t="s">
        <v>457</v>
      </c>
      <c r="B224" s="254"/>
    </row>
    <row r="225" spans="1:2" s="98" customFormat="1">
      <c r="A225" s="245" t="s">
        <v>503</v>
      </c>
      <c r="B225" s="247" t="s">
        <v>893</v>
      </c>
    </row>
    <row r="226" spans="1:2" s="98" customFormat="1">
      <c r="A226" s="249" t="s">
        <v>792</v>
      </c>
      <c r="B226" s="247" t="s">
        <v>888</v>
      </c>
    </row>
    <row r="227" spans="1:2" s="98" customFormat="1">
      <c r="A227" s="245" t="s">
        <v>563</v>
      </c>
      <c r="B227" s="247" t="s">
        <v>888</v>
      </c>
    </row>
    <row r="228" spans="1:2" s="98" customFormat="1">
      <c r="A228" s="245" t="s">
        <v>217</v>
      </c>
      <c r="B228" s="247" t="s">
        <v>894</v>
      </c>
    </row>
    <row r="229" spans="1:2" s="98" customFormat="1">
      <c r="A229" s="245" t="s">
        <v>247</v>
      </c>
      <c r="B229" s="247" t="s">
        <v>894</v>
      </c>
    </row>
    <row r="230" spans="1:2" s="98" customFormat="1">
      <c r="A230" s="248" t="s">
        <v>919</v>
      </c>
      <c r="B230" s="247" t="s">
        <v>903</v>
      </c>
    </row>
    <row r="231" spans="1:2" s="98" customFormat="1">
      <c r="A231" s="245" t="s">
        <v>181</v>
      </c>
      <c r="B231" s="247" t="s">
        <v>890</v>
      </c>
    </row>
    <row r="232" spans="1:2" s="98" customFormat="1">
      <c r="A232" s="245" t="s">
        <v>137</v>
      </c>
      <c r="B232" s="252" t="s">
        <v>904</v>
      </c>
    </row>
    <row r="233" spans="1:2" s="98" customFormat="1" ht="26" customHeight="1">
      <c r="A233" s="245" t="s">
        <v>125</v>
      </c>
      <c r="B233" s="247" t="s">
        <v>888</v>
      </c>
    </row>
    <row r="234" spans="1:2" s="98" customFormat="1">
      <c r="A234" s="245" t="s">
        <v>597</v>
      </c>
      <c r="B234" s="247" t="s">
        <v>888</v>
      </c>
    </row>
    <row r="235" spans="1:2" s="98" customFormat="1">
      <c r="A235" s="245" t="s">
        <v>302</v>
      </c>
      <c r="B235" s="247" t="s">
        <v>888</v>
      </c>
    </row>
    <row r="236" spans="1:2" s="98" customFormat="1">
      <c r="A236" s="245" t="s">
        <v>601</v>
      </c>
      <c r="B236" s="247" t="s">
        <v>888</v>
      </c>
    </row>
    <row r="237" spans="1:2" s="98" customFormat="1">
      <c r="A237" s="245" t="s">
        <v>672</v>
      </c>
      <c r="B237" s="247" t="s">
        <v>890</v>
      </c>
    </row>
    <row r="238" spans="1:2" s="98" customFormat="1">
      <c r="A238" s="245" t="s">
        <v>689</v>
      </c>
      <c r="B238" s="247" t="s">
        <v>46</v>
      </c>
    </row>
    <row r="239" spans="1:2" s="98" customFormat="1">
      <c r="A239" s="245" t="s">
        <v>606</v>
      </c>
      <c r="B239" s="247" t="s">
        <v>894</v>
      </c>
    </row>
    <row r="240" spans="1:2" s="98" customFormat="1">
      <c r="A240" s="245" t="s">
        <v>166</v>
      </c>
      <c r="B240" s="247" t="s">
        <v>894</v>
      </c>
    </row>
    <row r="241" spans="1:2" s="98" customFormat="1">
      <c r="A241" s="245" t="s">
        <v>166</v>
      </c>
      <c r="B241" s="247" t="s">
        <v>894</v>
      </c>
    </row>
    <row r="242" spans="1:2" s="98" customFormat="1">
      <c r="A242" s="245" t="s">
        <v>920</v>
      </c>
      <c r="B242" s="247" t="s">
        <v>888</v>
      </c>
    </row>
    <row r="243" spans="1:2" s="98" customFormat="1">
      <c r="A243" s="245" t="s">
        <v>673</v>
      </c>
      <c r="B243" s="247" t="s">
        <v>912</v>
      </c>
    </row>
    <row r="244" spans="1:2" s="98" customFormat="1">
      <c r="A244" s="245" t="s">
        <v>921</v>
      </c>
      <c r="B244" s="247" t="s">
        <v>894</v>
      </c>
    </row>
    <row r="245" spans="1:2" s="98" customFormat="1">
      <c r="A245" s="245" t="s">
        <v>384</v>
      </c>
      <c r="B245" s="247" t="s">
        <v>46</v>
      </c>
    </row>
    <row r="246" spans="1:2" s="98" customFormat="1">
      <c r="A246" s="245" t="s">
        <v>349</v>
      </c>
      <c r="B246" s="247" t="s">
        <v>46</v>
      </c>
    </row>
    <row r="247" spans="1:2" s="98" customFormat="1">
      <c r="A247" s="245" t="s">
        <v>407</v>
      </c>
      <c r="B247" s="247" t="s">
        <v>890</v>
      </c>
    </row>
    <row r="248" spans="1:2" s="98" customFormat="1">
      <c r="A248" s="245" t="s">
        <v>133</v>
      </c>
      <c r="B248" s="252" t="s">
        <v>46</v>
      </c>
    </row>
    <row r="249" spans="1:2" s="98" customFormat="1">
      <c r="A249" s="245" t="s">
        <v>573</v>
      </c>
      <c r="B249" s="247" t="s">
        <v>888</v>
      </c>
    </row>
    <row r="250" spans="1:2" s="98" customFormat="1">
      <c r="A250" s="245" t="s">
        <v>573</v>
      </c>
      <c r="B250" s="252" t="s">
        <v>888</v>
      </c>
    </row>
    <row r="251" spans="1:2" s="98" customFormat="1">
      <c r="A251" s="245" t="s">
        <v>715</v>
      </c>
      <c r="B251" s="247" t="s">
        <v>46</v>
      </c>
    </row>
    <row r="252" spans="1:2" s="98" customFormat="1">
      <c r="A252" s="245" t="s">
        <v>922</v>
      </c>
      <c r="B252" s="247" t="s">
        <v>210</v>
      </c>
    </row>
    <row r="253" spans="1:2" s="98" customFormat="1">
      <c r="A253" s="250" t="s">
        <v>519</v>
      </c>
      <c r="B253" s="251"/>
    </row>
    <row r="254" spans="1:2" s="98" customFormat="1">
      <c r="A254" s="245" t="s">
        <v>804</v>
      </c>
      <c r="B254" s="247" t="s">
        <v>888</v>
      </c>
    </row>
    <row r="255" spans="1:2" s="98" customFormat="1">
      <c r="A255" s="245" t="s">
        <v>560</v>
      </c>
      <c r="B255" s="247" t="s">
        <v>904</v>
      </c>
    </row>
    <row r="256" spans="1:2" s="98" customFormat="1">
      <c r="A256" s="245" t="s">
        <v>560</v>
      </c>
      <c r="B256" s="247" t="s">
        <v>904</v>
      </c>
    </row>
    <row r="257" spans="1:2" s="98" customFormat="1">
      <c r="A257" s="245" t="s">
        <v>560</v>
      </c>
      <c r="B257" s="247" t="s">
        <v>904</v>
      </c>
    </row>
    <row r="258" spans="1:2" s="98" customFormat="1">
      <c r="A258" s="245" t="s">
        <v>346</v>
      </c>
      <c r="B258" s="247" t="s">
        <v>904</v>
      </c>
    </row>
    <row r="259" spans="1:2" s="98" customFormat="1">
      <c r="A259" s="157" t="s">
        <v>444</v>
      </c>
      <c r="B259" s="157" t="s">
        <v>890</v>
      </c>
    </row>
    <row r="260" spans="1:2" s="98" customFormat="1">
      <c r="A260" s="245" t="s">
        <v>176</v>
      </c>
      <c r="B260" s="247" t="s">
        <v>899</v>
      </c>
    </row>
    <row r="261" spans="1:2" s="98" customFormat="1">
      <c r="A261" s="245" t="s">
        <v>692</v>
      </c>
      <c r="B261" s="247" t="s">
        <v>904</v>
      </c>
    </row>
    <row r="262" spans="1:2" s="98" customFormat="1">
      <c r="A262" s="245" t="s">
        <v>75</v>
      </c>
      <c r="B262" s="247" t="s">
        <v>890</v>
      </c>
    </row>
    <row r="263" spans="1:2" s="98" customFormat="1">
      <c r="A263" s="245" t="s">
        <v>57</v>
      </c>
      <c r="B263" s="247" t="s">
        <v>904</v>
      </c>
    </row>
    <row r="264" spans="1:2" s="98" customFormat="1">
      <c r="A264" s="255" t="s">
        <v>371</v>
      </c>
      <c r="B264" s="256" t="s">
        <v>888</v>
      </c>
    </row>
    <row r="265" spans="1:2" s="98" customFormat="1">
      <c r="A265" s="245" t="s">
        <v>226</v>
      </c>
      <c r="B265" s="247" t="s">
        <v>890</v>
      </c>
    </row>
    <row r="266" spans="1:2" s="98" customFormat="1">
      <c r="A266" s="245" t="s">
        <v>545</v>
      </c>
      <c r="B266" s="247" t="s">
        <v>904</v>
      </c>
    </row>
    <row r="267" spans="1:2" s="98" customFormat="1">
      <c r="A267" s="245" t="s">
        <v>700</v>
      </c>
      <c r="B267" s="247" t="s">
        <v>894</v>
      </c>
    </row>
    <row r="268" spans="1:2" s="98" customFormat="1">
      <c r="A268" s="245" t="s">
        <v>700</v>
      </c>
      <c r="B268" s="247" t="s">
        <v>894</v>
      </c>
    </row>
    <row r="269" spans="1:2" s="98" customFormat="1">
      <c r="A269" s="245" t="s">
        <v>583</v>
      </c>
      <c r="B269" s="247" t="s">
        <v>904</v>
      </c>
    </row>
    <row r="270" spans="1:2" s="98" customFormat="1">
      <c r="A270" s="245" t="s">
        <v>514</v>
      </c>
      <c r="B270" s="247" t="s">
        <v>46</v>
      </c>
    </row>
    <row r="271" spans="1:2" s="98" customFormat="1">
      <c r="A271" s="245" t="s">
        <v>663</v>
      </c>
      <c r="B271" s="247" t="s">
        <v>888</v>
      </c>
    </row>
    <row r="272" spans="1:2" s="98" customFormat="1">
      <c r="A272" s="245" t="s">
        <v>101</v>
      </c>
      <c r="B272" s="247" t="s">
        <v>890</v>
      </c>
    </row>
    <row r="273" spans="1:2" s="98" customFormat="1">
      <c r="A273" s="245" t="s">
        <v>830</v>
      </c>
      <c r="B273" s="247" t="s">
        <v>210</v>
      </c>
    </row>
    <row r="274" spans="1:2" s="98" customFormat="1">
      <c r="A274" s="245" t="s">
        <v>701</v>
      </c>
      <c r="B274" s="247" t="s">
        <v>893</v>
      </c>
    </row>
    <row r="275" spans="1:2" s="98" customFormat="1">
      <c r="A275" s="245" t="s">
        <v>421</v>
      </c>
      <c r="B275" s="247" t="s">
        <v>46</v>
      </c>
    </row>
    <row r="276" spans="1:2" s="98" customFormat="1">
      <c r="A276" s="245" t="s">
        <v>411</v>
      </c>
      <c r="B276" s="247" t="s">
        <v>890</v>
      </c>
    </row>
    <row r="277" spans="1:2" s="98" customFormat="1">
      <c r="A277" s="245" t="s">
        <v>411</v>
      </c>
      <c r="B277" s="247" t="s">
        <v>890</v>
      </c>
    </row>
    <row r="278" spans="1:2" s="98" customFormat="1">
      <c r="A278" s="245" t="s">
        <v>411</v>
      </c>
      <c r="B278" s="247" t="s">
        <v>890</v>
      </c>
    </row>
    <row r="279" spans="1:2" s="98" customFormat="1">
      <c r="A279" s="245" t="s">
        <v>428</v>
      </c>
      <c r="B279" s="247" t="s">
        <v>894</v>
      </c>
    </row>
    <row r="280" spans="1:2" s="98" customFormat="1">
      <c r="A280" s="245" t="s">
        <v>633</v>
      </c>
      <c r="B280" s="247" t="s">
        <v>46</v>
      </c>
    </row>
    <row r="281" spans="1:2" s="98" customFormat="1">
      <c r="A281" s="245" t="s">
        <v>206</v>
      </c>
      <c r="B281" s="247" t="s">
        <v>890</v>
      </c>
    </row>
    <row r="282" spans="1:2" s="98" customFormat="1">
      <c r="A282" s="245" t="s">
        <v>260</v>
      </c>
      <c r="B282" s="247" t="s">
        <v>908</v>
      </c>
    </row>
    <row r="283" spans="1:2" s="98" customFormat="1">
      <c r="A283" s="157" t="s">
        <v>439</v>
      </c>
      <c r="B283" s="157" t="s">
        <v>888</v>
      </c>
    </row>
    <row r="284" spans="1:2" s="98" customFormat="1">
      <c r="A284" s="245" t="s">
        <v>273</v>
      </c>
      <c r="B284" s="247" t="s">
        <v>46</v>
      </c>
    </row>
    <row r="285" spans="1:2" s="98" customFormat="1">
      <c r="A285" s="245" t="s">
        <v>398</v>
      </c>
      <c r="B285" s="247" t="s">
        <v>46</v>
      </c>
    </row>
    <row r="286" spans="1:2" s="98" customFormat="1">
      <c r="A286" s="157" t="s">
        <v>840</v>
      </c>
      <c r="B286" s="157" t="s">
        <v>888</v>
      </c>
    </row>
    <row r="287" spans="1:2" s="98" customFormat="1">
      <c r="A287" s="4"/>
      <c r="B287" s="25"/>
    </row>
    <row r="288" spans="1:2" s="98" customFormat="1">
      <c r="A288" s="32"/>
      <c r="B288" s="48"/>
    </row>
    <row r="289" spans="1:2" s="98" customFormat="1">
      <c r="A289" s="32"/>
      <c r="B289" s="48"/>
    </row>
    <row r="290" spans="1:2" s="98" customFormat="1">
      <c r="A290" s="34"/>
      <c r="B290" s="100"/>
    </row>
    <row r="291" spans="1:2" s="98" customFormat="1">
      <c r="A291" s="32"/>
      <c r="B291" s="48"/>
    </row>
    <row r="292" spans="1:2" s="98" customFormat="1">
      <c r="A292" s="4"/>
      <c r="B292" s="25"/>
    </row>
    <row r="293" spans="1:2" s="98" customFormat="1">
      <c r="A293" s="4"/>
      <c r="B293" s="25"/>
    </row>
    <row r="294" spans="1:2" s="98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0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3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1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0"/>
    </row>
    <row r="327" spans="1:2">
      <c r="B327" s="25"/>
    </row>
    <row r="328" spans="1:2">
      <c r="A328" s="32"/>
      <c r="B328" s="48"/>
    </row>
    <row r="329" spans="1:2">
      <c r="A329" s="123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4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4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7"/>
      <c r="B359" s="104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4"/>
    </row>
    <row r="388" spans="1:2">
      <c r="A388" s="34"/>
      <c r="B388" s="100"/>
    </row>
    <row r="389" spans="1:2">
      <c r="B389" s="25"/>
    </row>
    <row r="390" spans="1:2">
      <c r="A390" s="32"/>
      <c r="B390" s="48"/>
    </row>
    <row r="391" spans="1:2">
      <c r="A391" s="13"/>
      <c r="B391" s="101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2"/>
      <c r="B396" s="144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2"/>
      <c r="B411" s="144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4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0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3"/>
    </row>
    <row r="432" spans="1:2">
      <c r="B432" s="25"/>
    </row>
    <row r="433" spans="1:2">
      <c r="A433" s="34"/>
      <c r="B433" s="100"/>
    </row>
    <row r="434" spans="1:2">
      <c r="A434" s="32"/>
      <c r="B434" s="48"/>
    </row>
    <row r="435" spans="1:2">
      <c r="A435" s="123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2"/>
      <c r="B445" s="144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4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4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4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0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0"/>
    </row>
    <row r="485" spans="1:2">
      <c r="A485" s="34"/>
      <c r="B485" s="100"/>
    </row>
    <row r="486" spans="1:2">
      <c r="A486" s="34"/>
      <c r="B486" s="100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3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4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4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3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1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1"/>
    </row>
    <row r="568" spans="1:2">
      <c r="B568" s="25"/>
    </row>
    <row r="569" spans="1:2">
      <c r="B569" s="25"/>
    </row>
    <row r="570" spans="1:2" ht="14" customHeight="1" thickBot="1">
      <c r="A570" s="237"/>
      <c r="B570" s="242"/>
    </row>
    <row r="571" spans="1:2" ht="14" customHeight="1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0"/>
    </row>
    <row r="575" spans="1:2">
      <c r="A575" s="32"/>
      <c r="B575" s="48"/>
    </row>
    <row r="576" spans="1:2">
      <c r="A576" s="26"/>
      <c r="B576" s="104"/>
    </row>
    <row r="577" spans="1:2">
      <c r="A577" s="136"/>
      <c r="B577" s="105"/>
    </row>
    <row r="578" spans="1:2">
      <c r="A578" s="136"/>
      <c r="B578" s="105"/>
    </row>
    <row r="579" spans="1:2">
      <c r="A579" s="136"/>
      <c r="B579" s="105"/>
    </row>
    <row r="580" spans="1:2">
      <c r="A580" s="136"/>
      <c r="B580" s="105"/>
    </row>
    <row r="581" spans="1:2">
      <c r="A581" s="32"/>
      <c r="B581" s="48"/>
    </row>
    <row r="582" spans="1:2">
      <c r="A582" s="117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17"/>
      <c r="B587" s="25"/>
    </row>
    <row r="588" spans="1:2">
      <c r="B588" s="25"/>
    </row>
    <row r="589" spans="1:2">
      <c r="A589" s="34"/>
      <c r="B589" s="100"/>
    </row>
    <row r="590" spans="1:2">
      <c r="A590" s="32"/>
      <c r="B590" s="48"/>
    </row>
    <row r="591" spans="1:2">
      <c r="A591" s="26"/>
      <c r="B591" s="104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7"/>
      <c r="B603" s="104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36"/>
      <c r="B609" s="236"/>
    </row>
    <row r="611" spans="1:2">
      <c r="A611" s="146"/>
      <c r="B611" s="146"/>
    </row>
    <row r="612" spans="1:2">
      <c r="A612" s="146"/>
      <c r="B612" s="146"/>
    </row>
    <row r="613" spans="1:2">
      <c r="A613" s="146"/>
      <c r="B613" s="146"/>
    </row>
    <row r="614" spans="1:2">
      <c r="A614" s="146"/>
      <c r="B614" s="146"/>
    </row>
    <row r="615" spans="1:2">
      <c r="A615" s="146"/>
      <c r="B615" s="146"/>
    </row>
    <row r="616" spans="1:2">
      <c r="A616" s="146"/>
      <c r="B616" s="146"/>
    </row>
    <row r="617" spans="1:2">
      <c r="A617" s="146"/>
      <c r="B617" s="146"/>
    </row>
    <row r="618" spans="1:2">
      <c r="A618" s="157"/>
      <c r="B618" s="157"/>
    </row>
    <row r="619" spans="1:2">
      <c r="A619" s="185"/>
      <c r="B619" s="185"/>
    </row>
    <row r="620" spans="1:2">
      <c r="A620" s="157"/>
      <c r="B620" s="157"/>
    </row>
    <row r="621" spans="1:2">
      <c r="A621" s="157"/>
      <c r="B621" s="157"/>
    </row>
    <row r="622" spans="1:2">
      <c r="A622" s="157"/>
      <c r="B622" s="157"/>
    </row>
    <row r="623" spans="1:2">
      <c r="A623" s="157"/>
      <c r="B623" s="157"/>
    </row>
    <row r="624" spans="1:2">
      <c r="A624" s="157"/>
      <c r="B624" s="157"/>
    </row>
    <row r="625" spans="1:2">
      <c r="A625" s="157"/>
      <c r="B625" s="157"/>
    </row>
    <row r="626" spans="1:2">
      <c r="A626" s="157"/>
      <c r="B626" s="157"/>
    </row>
    <row r="627" spans="1:2">
      <c r="A627" s="157"/>
      <c r="B627" s="157"/>
    </row>
    <row r="628" spans="1:2">
      <c r="A628" s="157"/>
      <c r="B628" s="157"/>
    </row>
    <row r="629" spans="1:2">
      <c r="A629" s="157"/>
      <c r="B629" s="157"/>
    </row>
    <row r="630" spans="1:2">
      <c r="A630" s="157"/>
      <c r="B630" s="157"/>
    </row>
    <row r="631" spans="1:2">
      <c r="A631" s="157"/>
      <c r="B631" s="157"/>
    </row>
    <row r="632" spans="1:2">
      <c r="A632" s="157"/>
      <c r="B632" s="157"/>
    </row>
    <row r="633" spans="1:2">
      <c r="A633" s="185"/>
      <c r="B633" s="185"/>
    </row>
    <row r="634" spans="1:2">
      <c r="A634" s="157"/>
      <c r="B634" s="157"/>
    </row>
    <row r="635" spans="1:2">
      <c r="A635" s="157"/>
      <c r="B635" s="157"/>
    </row>
    <row r="636" spans="1:2">
      <c r="A636" s="157"/>
      <c r="B636" s="157"/>
    </row>
    <row r="637" spans="1:2">
      <c r="A637" s="157"/>
      <c r="B637" s="157"/>
    </row>
    <row r="638" spans="1:2" ht="14" customHeight="1" thickBot="1">
      <c r="A638" s="240"/>
      <c r="B638" s="240"/>
    </row>
    <row r="639" spans="1:2" ht="14" customHeight="1" thickTop="1">
      <c r="A639" s="116"/>
      <c r="B639" s="116"/>
    </row>
    <row r="640" spans="1:2">
      <c r="A640" s="157"/>
      <c r="B640" s="157"/>
    </row>
    <row r="641" spans="1:2">
      <c r="A641" s="157"/>
      <c r="B641" s="157"/>
    </row>
    <row r="642" spans="1:2">
      <c r="A642" s="146"/>
      <c r="B642" s="146"/>
    </row>
    <row r="643" spans="1:2">
      <c r="A643" s="146"/>
      <c r="B643" s="146"/>
    </row>
    <row r="644" spans="1:2">
      <c r="A644" s="116"/>
      <c r="B644" s="116"/>
    </row>
    <row r="645" spans="1:2">
      <c r="A645" s="116"/>
      <c r="B645" s="116"/>
    </row>
    <row r="646" spans="1:2">
      <c r="A646" s="116"/>
      <c r="B646" s="116"/>
    </row>
    <row r="647" spans="1:2">
      <c r="A647" s="157"/>
      <c r="B647" s="157"/>
    </row>
    <row r="648" spans="1:2">
      <c r="A648" s="157"/>
      <c r="B648" s="157"/>
    </row>
    <row r="649" spans="1:2">
      <c r="A649" s="238"/>
      <c r="B649" s="238"/>
    </row>
    <row r="650" spans="1:2">
      <c r="A650" s="157"/>
      <c r="B650" s="166"/>
    </row>
    <row r="651" spans="1:2">
      <c r="A651" s="157"/>
      <c r="B651" s="157"/>
    </row>
    <row r="652" spans="1:2" ht="14" customHeight="1" thickBot="1">
      <c r="A652" s="239"/>
      <c r="B652" s="239"/>
    </row>
    <row r="653" spans="1:2" ht="14" customHeight="1" thickTop="1">
      <c r="A653" s="157"/>
      <c r="B653" s="157"/>
    </row>
    <row r="654" spans="1:2">
      <c r="A654" s="238"/>
      <c r="B654" s="238"/>
    </row>
    <row r="655" spans="1:2" ht="14" customHeight="1" thickBot="1">
      <c r="A655" s="237"/>
      <c r="B655" s="237"/>
    </row>
    <row r="656" spans="1:2" ht="14" customHeight="1" thickTop="1"/>
    <row r="657" spans="1:2">
      <c r="A657" s="241"/>
      <c r="B657" s="241"/>
    </row>
    <row r="658" spans="1:2">
      <c r="A658" s="96"/>
      <c r="B658" s="96"/>
    </row>
    <row r="660" spans="1:2">
      <c r="A660" s="113"/>
      <c r="B660" s="88"/>
    </row>
    <row r="662" spans="1:2">
      <c r="A662" s="113"/>
      <c r="B662" s="88"/>
    </row>
    <row r="663" spans="1:2">
      <c r="A663" s="169"/>
      <c r="B663" s="169"/>
    </row>
    <row r="664" spans="1:2">
      <c r="A664" s="87"/>
      <c r="B664" s="87"/>
    </row>
    <row r="666" spans="1:2">
      <c r="A666" s="107"/>
      <c r="B666" s="107"/>
    </row>
    <row r="668" spans="1:2">
      <c r="B668" s="90"/>
    </row>
    <row r="669" spans="1:2">
      <c r="A669" s="90"/>
      <c r="B669" s="90"/>
    </row>
    <row r="670" spans="1:2">
      <c r="A670" s="90"/>
      <c r="B670" s="90"/>
    </row>
    <row r="671" spans="1:2">
      <c r="A671" s="90"/>
      <c r="B671" s="90"/>
    </row>
    <row r="679" spans="1:2">
      <c r="B679" s="25"/>
    </row>
    <row r="680" spans="1:2">
      <c r="A680" s="25"/>
    </row>
    <row r="801" spans="1:2">
      <c r="B801" s="117"/>
    </row>
    <row r="802" spans="1:2">
      <c r="A802" s="52"/>
      <c r="B802" s="117"/>
    </row>
    <row r="803" spans="1:2">
      <c r="A803" s="52"/>
      <c r="B803" s="117"/>
    </row>
    <row r="804" spans="1:2">
      <c r="A804" s="52"/>
      <c r="B804" s="117"/>
    </row>
    <row r="805" spans="1:2">
      <c r="A805" s="52"/>
      <c r="B805" s="117"/>
    </row>
    <row r="806" spans="1:2">
      <c r="A806" s="52"/>
      <c r="B806" s="117"/>
    </row>
    <row r="807" spans="1:2">
      <c r="A807" s="52"/>
      <c r="B807" s="117"/>
    </row>
    <row r="808" spans="1:2">
      <c r="A808" s="52"/>
      <c r="B808" s="117"/>
    </row>
    <row r="809" spans="1:2">
      <c r="A809" s="52"/>
      <c r="B809" s="117"/>
    </row>
    <row r="810" spans="1:2">
      <c r="A810" s="52"/>
      <c r="B810" s="117"/>
    </row>
    <row r="811" spans="1:2">
      <c r="A811" s="52"/>
      <c r="B811" s="117"/>
    </row>
    <row r="812" spans="1:2">
      <c r="A812" s="52"/>
      <c r="B812" s="117"/>
    </row>
    <row r="813" spans="1:2">
      <c r="A813" s="52"/>
      <c r="B813" s="117"/>
    </row>
    <row r="814" spans="1:2">
      <c r="A814" s="52"/>
      <c r="B814" s="117"/>
    </row>
    <row r="815" spans="1:2">
      <c r="A815" s="52"/>
      <c r="B815" s="117"/>
    </row>
    <row r="816" spans="1:2">
      <c r="A816" s="52"/>
      <c r="B816" s="117"/>
    </row>
    <row r="817" spans="1:2">
      <c r="A817" s="52"/>
      <c r="B817" s="117"/>
    </row>
    <row r="818" spans="1:2">
      <c r="A818" s="52"/>
      <c r="B818" s="117"/>
    </row>
    <row r="819" spans="1:2">
      <c r="A819" s="52"/>
      <c r="B819" s="117"/>
    </row>
    <row r="820" spans="1:2">
      <c r="A820" s="52"/>
      <c r="B820" s="117"/>
    </row>
    <row r="821" spans="1:2">
      <c r="A821" s="52"/>
      <c r="B821" s="117"/>
    </row>
    <row r="822" spans="1:2">
      <c r="A822" s="52"/>
      <c r="B822" s="117"/>
    </row>
    <row r="823" spans="1:2">
      <c r="A823" s="52"/>
      <c r="B823" s="117"/>
    </row>
    <row r="824" spans="1:2">
      <c r="A824" s="52"/>
    </row>
  </sheetData>
  <autoFilter ref="A1:B1" xr:uid="{00000000-0009-0000-0000-000004000000}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0" hidden="1"/>
    <col min="3" max="4" width="0" hidden="1"/>
    <col min="5" max="5" width="35.33203125" customWidth="1"/>
    <col min="6" max="6" width="22.5" customWidth="1"/>
    <col min="7" max="7" width="14.1640625" customWidth="1"/>
    <col min="9" max="9" width="0" hidden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0" hidden="1"/>
    <col min="19" max="19" width="11.5" customWidth="1"/>
    <col min="20" max="20" width="11.5" hidden="1" customWidth="1"/>
    <col min="21" max="21" width="12.5" customWidth="1"/>
    <col min="22" max="22" width="0" hidden="1"/>
    <col min="23" max="23" width="13" customWidth="1"/>
    <col min="25" max="26" width="0" hidden="1"/>
    <col min="28" max="28" width="48.1640625" customWidth="1"/>
  </cols>
  <sheetData>
    <row r="2" spans="1:29">
      <c r="B2" s="459" t="s">
        <v>923</v>
      </c>
      <c r="C2" s="460"/>
      <c r="D2" s="460"/>
      <c r="E2" s="460"/>
      <c r="H2" s="346"/>
      <c r="P2" s="347"/>
      <c r="S2" s="347"/>
      <c r="T2" s="347"/>
      <c r="U2" s="347"/>
    </row>
    <row r="3" spans="1:29" ht="24" customHeight="1">
      <c r="B3" s="130" t="s">
        <v>1</v>
      </c>
      <c r="C3" s="130" t="s">
        <v>2</v>
      </c>
      <c r="D3" s="72" t="s">
        <v>3</v>
      </c>
      <c r="E3" s="72" t="s">
        <v>4</v>
      </c>
      <c r="F3" s="72" t="s">
        <v>5</v>
      </c>
      <c r="G3" s="73" t="s">
        <v>6</v>
      </c>
      <c r="H3" s="74" t="s">
        <v>7</v>
      </c>
      <c r="I3" s="74" t="s">
        <v>8</v>
      </c>
      <c r="J3" s="75" t="s">
        <v>10</v>
      </c>
      <c r="K3" s="76" t="s">
        <v>924</v>
      </c>
      <c r="L3" s="76" t="s">
        <v>925</v>
      </c>
      <c r="M3" s="76" t="s">
        <v>13</v>
      </c>
      <c r="N3" s="76" t="s">
        <v>14</v>
      </c>
      <c r="O3" s="76" t="s">
        <v>15</v>
      </c>
      <c r="P3" s="348" t="s">
        <v>16</v>
      </c>
      <c r="Q3" s="78" t="s">
        <v>17</v>
      </c>
      <c r="R3" s="78" t="s">
        <v>18</v>
      </c>
      <c r="S3" s="348" t="s">
        <v>19</v>
      </c>
      <c r="T3" s="349" t="s">
        <v>20</v>
      </c>
      <c r="U3" s="348" t="s">
        <v>21</v>
      </c>
      <c r="V3" s="73" t="s">
        <v>22</v>
      </c>
      <c r="W3" s="73"/>
      <c r="X3" s="73" t="s">
        <v>24</v>
      </c>
      <c r="Y3" s="59" t="s">
        <v>25</v>
      </c>
      <c r="Z3" s="79" t="s">
        <v>26</v>
      </c>
      <c r="AA3" s="79" t="s">
        <v>27</v>
      </c>
      <c r="AB3" s="97" t="s">
        <v>28</v>
      </c>
    </row>
    <row r="4" spans="1:29" ht="14" customHeight="1">
      <c r="B4" s="350"/>
      <c r="C4" s="350"/>
      <c r="D4" s="257"/>
      <c r="E4" s="257"/>
      <c r="F4" s="257"/>
      <c r="G4" s="350"/>
      <c r="H4" s="351"/>
      <c r="I4" s="351"/>
      <c r="J4" s="257"/>
      <c r="K4" s="352"/>
      <c r="L4" s="352"/>
      <c r="M4" s="352"/>
      <c r="N4" s="352"/>
      <c r="O4" s="352"/>
      <c r="P4" s="353"/>
      <c r="Q4" s="354"/>
      <c r="R4" s="354"/>
      <c r="S4" s="353"/>
      <c r="T4" s="355"/>
      <c r="U4" s="353"/>
      <c r="V4" s="350"/>
      <c r="W4" s="350"/>
      <c r="X4" s="350"/>
      <c r="Y4" s="356"/>
      <c r="Z4" s="357"/>
      <c r="AA4" s="357"/>
      <c r="AB4" s="257"/>
    </row>
    <row r="5" spans="1:29" ht="16" customHeight="1">
      <c r="A5" s="115" t="str">
        <f t="array" aca="1" ref="A5:AC13" ca="1">_xlfn._xlws.SORT(_xlfn._xlws.FILTER('Bank Schedule'!A1:AC1000, (('Bank Schedule'!M1:M1000 &lt; TODAY()) * ('Bank Schedule'!M1:M1000 &lt;&gt; ""))), 12, TRUE)</f>
        <v>UNIT</v>
      </c>
      <c r="B5" s="115">
        <f ca="1"/>
        <v>0</v>
      </c>
      <c r="C5" s="115" t="str">
        <f ca="1"/>
        <v>YS</v>
      </c>
      <c r="D5" s="115" t="str">
        <f ca="1"/>
        <v>MEL</v>
      </c>
      <c r="E5" s="358">
        <f ca="1"/>
        <v>550870</v>
      </c>
      <c r="F5" s="358" t="str">
        <f ca="1"/>
        <v>67 - 81 Mortimer Street</v>
      </c>
      <c r="G5" s="358" t="str">
        <f ca="1"/>
        <v>Second Floor (West)</v>
      </c>
      <c r="H5" s="358" t="str">
        <f ca="1"/>
        <v>Office</v>
      </c>
      <c r="I5" s="358">
        <f ca="1"/>
        <v>1395</v>
      </c>
      <c r="J5" s="358" t="str">
        <f ca="1"/>
        <v>Office</v>
      </c>
      <c r="K5" s="361">
        <f ca="1"/>
        <v>1500</v>
      </c>
      <c r="L5" s="361" t="str">
        <f ca="1"/>
        <v>"Taipei Education Division"</v>
      </c>
      <c r="M5" s="361">
        <f ca="1"/>
        <v>45594</v>
      </c>
      <c r="N5" s="361">
        <f ca="1"/>
        <v>45958</v>
      </c>
      <c r="O5" s="361">
        <f ca="1"/>
        <v>0</v>
      </c>
      <c r="P5" s="362">
        <f ca="1"/>
        <v>0</v>
      </c>
      <c r="Q5" s="358">
        <f ca="1"/>
        <v>45837</v>
      </c>
      <c r="R5" s="358">
        <f ca="1"/>
        <v>90675</v>
      </c>
      <c r="S5" s="362">
        <f ca="1"/>
        <v>45837</v>
      </c>
      <c r="T5" s="362">
        <f ca="1"/>
        <v>0</v>
      </c>
      <c r="U5" s="362">
        <f ca="1"/>
        <v>76700</v>
      </c>
      <c r="V5" s="358">
        <f ca="1"/>
        <v>0</v>
      </c>
      <c r="W5" s="358">
        <f ca="1"/>
        <v>76700</v>
      </c>
      <c r="X5" s="358">
        <f ca="1"/>
        <v>0</v>
      </c>
      <c r="Y5" s="358" t="e">
        <f ca="1"/>
        <v>#VALUE!</v>
      </c>
      <c r="Z5" s="358" t="str">
        <f ca="1"/>
        <v>E</v>
      </c>
      <c r="AA5" s="358">
        <f ca="1"/>
        <v>0</v>
      </c>
      <c r="AB5" s="358">
        <f ca="1"/>
        <v>0</v>
      </c>
      <c r="AC5" t="str">
        <f ca="1"/>
        <v>No</v>
      </c>
    </row>
    <row r="6" spans="1:29">
      <c r="A6" t="str">
        <f ca="1"/>
        <v>UNIT</v>
      </c>
      <c r="B6">
        <f ca="1"/>
        <v>0</v>
      </c>
      <c r="C6" t="str">
        <f ca="1"/>
        <v>TH</v>
      </c>
      <c r="D6" t="str">
        <f ca="1"/>
        <v>MEL</v>
      </c>
      <c r="E6">
        <f ca="1"/>
        <v>550020</v>
      </c>
      <c r="F6" t="str">
        <f ca="1"/>
        <v>5-6 Bywell Place</v>
      </c>
      <c r="G6" t="str">
        <f ca="1"/>
        <v>Whole Building</v>
      </c>
      <c r="H6" s="346" t="str">
        <f ca="1"/>
        <v>Office</v>
      </c>
      <c r="I6">
        <f ca="1"/>
        <v>2011</v>
      </c>
      <c r="J6" t="str">
        <f ca="1"/>
        <v>Office</v>
      </c>
      <c r="K6" s="359">
        <f ca="1"/>
        <v>2000</v>
      </c>
      <c r="L6" s="359" t="str">
        <f ca="1"/>
        <v>111 Skin Limited</v>
      </c>
      <c r="M6" s="359">
        <f ca="1"/>
        <v>45365</v>
      </c>
      <c r="N6" s="359">
        <f ca="1"/>
        <v>47190</v>
      </c>
      <c r="O6" s="359">
        <f ca="1"/>
        <v>0</v>
      </c>
      <c r="P6" s="363">
        <f ca="1"/>
        <v>0</v>
      </c>
      <c r="Q6">
        <f ca="1"/>
        <v>46459</v>
      </c>
      <c r="R6">
        <f ca="1"/>
        <v>115500</v>
      </c>
      <c r="S6" s="347">
        <f ca="1"/>
        <v>46459</v>
      </c>
      <c r="T6" s="347">
        <f ca="1"/>
        <v>115500</v>
      </c>
      <c r="U6" s="347">
        <f ca="1"/>
        <v>100600</v>
      </c>
      <c r="V6">
        <f ca="1"/>
        <v>115500</v>
      </c>
      <c r="W6">
        <f ca="1"/>
        <v>115000</v>
      </c>
      <c r="X6">
        <f ca="1"/>
        <v>115500</v>
      </c>
      <c r="Y6" t="e">
        <f ca="1"/>
        <v>#VALUE!</v>
      </c>
      <c r="Z6" t="str">
        <f ca="1"/>
        <v>C</v>
      </c>
      <c r="AA6">
        <f ca="1"/>
        <v>0</v>
      </c>
      <c r="AB6">
        <f ca="1"/>
        <v>1825000</v>
      </c>
      <c r="AC6" t="str">
        <f ca="1"/>
        <v>No</v>
      </c>
    </row>
    <row r="7" spans="1:29">
      <c r="A7" t="str">
        <f ca="1"/>
        <v>UNIT</v>
      </c>
      <c r="B7">
        <f ca="1"/>
        <v>0</v>
      </c>
      <c r="C7" t="str">
        <f ca="1"/>
        <v>SH</v>
      </c>
      <c r="D7" t="str">
        <f ca="1"/>
        <v>MEL</v>
      </c>
      <c r="E7">
        <f ca="1"/>
        <v>550550</v>
      </c>
      <c r="F7" t="str">
        <f ca="1"/>
        <v>47,48 &amp; 50 Margaret Street</v>
      </c>
      <c r="G7" t="str">
        <f ca="1"/>
        <v xml:space="preserve">Ground Floor (48) </v>
      </c>
      <c r="H7" s="346" t="str">
        <f ca="1"/>
        <v>Retail</v>
      </c>
      <c r="I7">
        <f ca="1"/>
        <v>1704</v>
      </c>
      <c r="J7" t="str">
        <f ca="1"/>
        <v>Retail</v>
      </c>
      <c r="K7" s="359">
        <f ca="1"/>
        <v>1750</v>
      </c>
      <c r="L7" s="359" t="str">
        <f ca="1"/>
        <v>48 Margaret Street Trading Ltd</v>
      </c>
      <c r="M7" s="359">
        <f ca="1"/>
        <v>45111</v>
      </c>
      <c r="N7" s="359">
        <f ca="1"/>
        <v>48763</v>
      </c>
      <c r="O7" s="359">
        <f ca="1"/>
        <v>0</v>
      </c>
      <c r="P7" s="363">
        <f ca="1"/>
        <v>46938</v>
      </c>
      <c r="Q7">
        <f ca="1"/>
        <v>0</v>
      </c>
      <c r="R7">
        <f ca="1"/>
        <v>105000</v>
      </c>
      <c r="S7" s="347">
        <f ca="1"/>
        <v>0</v>
      </c>
      <c r="T7" s="347">
        <f ca="1"/>
        <v>0</v>
      </c>
      <c r="U7" s="347">
        <f ca="1"/>
        <v>96300</v>
      </c>
      <c r="V7">
        <f ca="1"/>
        <v>0</v>
      </c>
      <c r="W7">
        <f ca="1"/>
        <v>105000</v>
      </c>
      <c r="X7">
        <f ca="1"/>
        <v>0</v>
      </c>
      <c r="Y7" t="e">
        <f ca="1"/>
        <v>#VALUE!</v>
      </c>
      <c r="Z7" t="str">
        <f ca="1"/>
        <v>C</v>
      </c>
      <c r="AA7">
        <f ca="1"/>
        <v>0</v>
      </c>
      <c r="AB7">
        <f ca="1"/>
        <v>0</v>
      </c>
      <c r="AC7" t="str">
        <f ca="1"/>
        <v>No</v>
      </c>
    </row>
    <row r="8" spans="1:29">
      <c r="A8" t="str">
        <f ca="1"/>
        <v>UNIT</v>
      </c>
      <c r="B8">
        <f ca="1"/>
        <v>0</v>
      </c>
      <c r="C8" t="str">
        <f ca="1"/>
        <v>TH</v>
      </c>
      <c r="D8" t="str">
        <f ca="1"/>
        <v>MEL</v>
      </c>
      <c r="E8">
        <f ca="1"/>
        <v>550940</v>
      </c>
      <c r="F8" t="str">
        <f ca="1"/>
        <v>Radiant House, 34-38 Mortimer Street &amp; 3-4 Bywell Place</v>
      </c>
      <c r="G8" t="str">
        <f ca="1"/>
        <v>Ground &amp; Basement (34)</v>
      </c>
      <c r="H8" s="346" t="str">
        <f ca="1"/>
        <v>Showroom/Studio</v>
      </c>
      <c r="I8">
        <f ca="1"/>
        <v>2662</v>
      </c>
      <c r="J8" t="str">
        <f ca="1"/>
        <v>Showroom/Studio</v>
      </c>
      <c r="K8" s="359">
        <f ca="1"/>
        <v>2500</v>
      </c>
      <c r="L8" s="359" t="str">
        <f ca="1"/>
        <v>Ab-Anbar Limited</v>
      </c>
      <c r="M8" s="359">
        <f ca="1"/>
        <v>44942</v>
      </c>
      <c r="N8" s="359">
        <f ca="1"/>
        <v>46767</v>
      </c>
      <c r="O8" s="359">
        <f ca="1"/>
        <v>0</v>
      </c>
      <c r="P8" s="363">
        <f ca="1"/>
        <v>0</v>
      </c>
      <c r="Q8">
        <f ca="1"/>
        <v>46037</v>
      </c>
      <c r="R8">
        <f ca="1"/>
        <v>100000</v>
      </c>
      <c r="S8" s="347">
        <f ca="1"/>
        <v>46037</v>
      </c>
      <c r="T8" s="347">
        <f ca="1"/>
        <v>0</v>
      </c>
      <c r="U8" s="347">
        <f ca="1"/>
        <v>100000</v>
      </c>
      <c r="V8">
        <f ca="1"/>
        <v>0</v>
      </c>
      <c r="W8">
        <f ca="1"/>
        <v>100000</v>
      </c>
      <c r="X8">
        <f ca="1"/>
        <v>0</v>
      </c>
      <c r="Y8" t="e">
        <f ca="1"/>
        <v>#VALUE!</v>
      </c>
      <c r="Z8" t="str">
        <f ca="1"/>
        <v>E</v>
      </c>
      <c r="AA8">
        <f ca="1"/>
        <v>0</v>
      </c>
      <c r="AB8">
        <f ca="1"/>
        <v>0</v>
      </c>
      <c r="AC8" t="str">
        <f ca="1"/>
        <v>No</v>
      </c>
    </row>
    <row r="9" spans="1:29">
      <c r="A9" t="str">
        <f ca="1"/>
        <v>UNIT</v>
      </c>
      <c r="B9">
        <f ca="1"/>
        <v>0</v>
      </c>
      <c r="C9" t="str">
        <f ca="1"/>
        <v>YS</v>
      </c>
      <c r="D9" t="str">
        <f ca="1"/>
        <v>MEL</v>
      </c>
      <c r="E9">
        <f ca="1"/>
        <v>550870</v>
      </c>
      <c r="F9" t="str">
        <f ca="1"/>
        <v>67 - 81 Mortimer Street</v>
      </c>
      <c r="G9" t="str">
        <f ca="1"/>
        <v>Ground Floor &amp; Bsmt. (No.69)</v>
      </c>
      <c r="H9" s="346" t="str">
        <f ca="1"/>
        <v>Shop/ Showroom</v>
      </c>
      <c r="I9">
        <f ca="1"/>
        <v>1486</v>
      </c>
      <c r="J9" t="str">
        <f ca="1"/>
        <v>Shop/ Showroom</v>
      </c>
      <c r="K9" s="359">
        <f ca="1"/>
        <v>1500</v>
      </c>
      <c r="L9" s="359" t="str">
        <f ca="1"/>
        <v>ABC Smile Limited</v>
      </c>
      <c r="M9" s="359">
        <f ca="1"/>
        <v>44314</v>
      </c>
      <c r="N9" s="359">
        <f ca="1"/>
        <v>47965</v>
      </c>
      <c r="O9" s="359">
        <f ca="1"/>
        <v>0</v>
      </c>
      <c r="P9" s="363">
        <f ca="1"/>
        <v>0</v>
      </c>
      <c r="Q9">
        <f ca="1"/>
        <v>46139</v>
      </c>
      <c r="R9">
        <f ca="1"/>
        <v>59500</v>
      </c>
      <c r="S9" s="347">
        <f ca="1"/>
        <v>46139</v>
      </c>
      <c r="T9" s="347">
        <f ca="1"/>
        <v>0</v>
      </c>
      <c r="U9" s="347">
        <f ca="1"/>
        <v>64900</v>
      </c>
      <c r="V9">
        <f ca="1"/>
        <v>0</v>
      </c>
      <c r="W9">
        <f ca="1"/>
        <v>64900</v>
      </c>
      <c r="X9">
        <f ca="1"/>
        <v>0</v>
      </c>
      <c r="Y9" t="e">
        <f ca="1"/>
        <v>#VALUE!</v>
      </c>
      <c r="Z9" t="str">
        <f ca="1"/>
        <v>C</v>
      </c>
      <c r="AA9">
        <f ca="1"/>
        <v>0</v>
      </c>
      <c r="AB9">
        <f ca="1"/>
        <v>0</v>
      </c>
      <c r="AC9" t="str">
        <f ca="1"/>
        <v>No</v>
      </c>
    </row>
    <row r="10" spans="1:29">
      <c r="A10" t="str">
        <f ca="1"/>
        <v>UNIT</v>
      </c>
      <c r="B10">
        <f ca="1"/>
        <v>0</v>
      </c>
      <c r="C10" t="str">
        <f ca="1"/>
        <v>TH</v>
      </c>
      <c r="D10" t="str">
        <f ca="1"/>
        <v>MEL</v>
      </c>
      <c r="E10">
        <f ca="1"/>
        <v>550570</v>
      </c>
      <c r="F10" t="str">
        <f ca="1"/>
        <v>Moray House, 23-35 Great Titchfield Street &amp; 63-65 Mortimer Street</v>
      </c>
      <c r="G10" t="str">
        <f ca="1"/>
        <v>Fifth Floor</v>
      </c>
      <c r="H10" s="346" t="str">
        <f ca="1"/>
        <v>Office</v>
      </c>
      <c r="I10">
        <f ca="1"/>
        <v>3179</v>
      </c>
      <c r="J10" t="str">
        <f ca="1"/>
        <v>Office</v>
      </c>
      <c r="K10" s="359">
        <f ca="1"/>
        <v>3000</v>
      </c>
      <c r="L10" s="359" t="str">
        <f ca="1"/>
        <v xml:space="preserve">ACP Ltd &amp; ACM Ltd </v>
      </c>
      <c r="M10" s="359">
        <f ca="1"/>
        <v>45086</v>
      </c>
      <c r="N10" s="359">
        <f ca="1"/>
        <v>46912</v>
      </c>
      <c r="O10" s="359">
        <f ca="1"/>
        <v>0</v>
      </c>
      <c r="P10" s="363">
        <f ca="1"/>
        <v>0</v>
      </c>
      <c r="Q10">
        <f ca="1"/>
        <v>46181</v>
      </c>
      <c r="R10">
        <f ca="1"/>
        <v>225875</v>
      </c>
      <c r="S10" s="347">
        <f ca="1"/>
        <v>46181</v>
      </c>
      <c r="T10" s="347">
        <f ca="1"/>
        <v>0</v>
      </c>
      <c r="U10" s="347">
        <f ca="1"/>
        <v>196883</v>
      </c>
      <c r="V10">
        <f ca="1"/>
        <v>0</v>
      </c>
      <c r="W10">
        <f ca="1"/>
        <v>230500</v>
      </c>
      <c r="X10">
        <f ca="1"/>
        <v>0</v>
      </c>
      <c r="Y10" t="e">
        <f ca="1"/>
        <v>#VALUE!</v>
      </c>
      <c r="Z10" t="str">
        <f ca="1"/>
        <v>D</v>
      </c>
      <c r="AA10">
        <f ca="1"/>
        <v>0</v>
      </c>
      <c r="AB10">
        <f ca="1"/>
        <v>0</v>
      </c>
      <c r="AC10" t="str">
        <f ca="1"/>
        <v>No</v>
      </c>
    </row>
    <row r="11" spans="1:29">
      <c r="A11" t="str">
        <f ca="1"/>
        <v>UNIT</v>
      </c>
      <c r="B11">
        <f ca="1"/>
        <v>0</v>
      </c>
      <c r="C11" t="str">
        <f ca="1"/>
        <v>YS</v>
      </c>
      <c r="D11" t="str">
        <f ca="1"/>
        <v>PEL</v>
      </c>
      <c r="E11">
        <f ca="1"/>
        <v>111010</v>
      </c>
      <c r="F11" t="str">
        <f ca="1"/>
        <v>32-36 Great Portland Street</v>
      </c>
      <c r="G11" t="str">
        <f ca="1"/>
        <v>Second Floor</v>
      </c>
      <c r="H11" s="346" t="str">
        <f ca="1"/>
        <v>Offices</v>
      </c>
      <c r="I11">
        <f ca="1"/>
        <v>1640</v>
      </c>
      <c r="J11" t="str">
        <f ca="1"/>
        <v>Offices</v>
      </c>
      <c r="K11" s="359">
        <f ca="1"/>
        <v>1500</v>
      </c>
      <c r="L11" s="359" t="str">
        <f ca="1"/>
        <v>AdMaxim Limited</v>
      </c>
      <c r="M11" s="359">
        <f ca="1"/>
        <v>44710</v>
      </c>
      <c r="N11" s="359">
        <f ca="1"/>
        <v>45805</v>
      </c>
      <c r="O11" s="359">
        <f ca="1"/>
        <v>0</v>
      </c>
      <c r="P11" s="363">
        <f ca="1"/>
        <v>0</v>
      </c>
      <c r="Q11">
        <f ca="1"/>
        <v>0</v>
      </c>
      <c r="R11">
        <f ca="1"/>
        <v>101000</v>
      </c>
      <c r="S11" s="347">
        <f ca="1"/>
        <v>0</v>
      </c>
      <c r="T11" s="347">
        <f ca="1"/>
        <v>0</v>
      </c>
      <c r="U11" s="347">
        <f ca="1"/>
        <v>104100</v>
      </c>
      <c r="V11">
        <f ca="1"/>
        <v>0</v>
      </c>
      <c r="W11">
        <f ca="1"/>
        <v>114800</v>
      </c>
      <c r="X11">
        <f ca="1"/>
        <v>0</v>
      </c>
      <c r="Y11" t="e">
        <f ca="1"/>
        <v>#VALUE!</v>
      </c>
      <c r="Z11" t="str">
        <f ca="1"/>
        <v>C</v>
      </c>
      <c r="AA11" t="str">
        <f ca="1"/>
        <v>*</v>
      </c>
      <c r="AB11">
        <f ca="1"/>
        <v>0</v>
      </c>
      <c r="AC11" t="str">
        <f ca="1"/>
        <v>No</v>
      </c>
    </row>
    <row r="12" spans="1:29">
      <c r="A12" t="str">
        <f ca="1"/>
        <v>UNIT</v>
      </c>
      <c r="B12">
        <f ca="1"/>
        <v>0</v>
      </c>
      <c r="C12" t="str">
        <f ca="1"/>
        <v>JM</v>
      </c>
      <c r="D12" t="str">
        <f ca="1"/>
        <v>MEL</v>
      </c>
      <c r="E12">
        <f ca="1"/>
        <v>100850</v>
      </c>
      <c r="F12" t="str">
        <f ca="1"/>
        <v>142-144 Oxford Street</v>
      </c>
      <c r="G12" t="str">
        <f ca="1"/>
        <v>Flats 1 - 9 Inclusive</v>
      </c>
      <c r="H12" s="346" t="str">
        <f ca="1"/>
        <v>Residential</v>
      </c>
      <c r="I12">
        <f ca="1"/>
        <v>4011</v>
      </c>
      <c r="J12" t="str">
        <f ca="1"/>
        <v>Residential</v>
      </c>
      <c r="K12" s="359">
        <f ca="1"/>
        <v>4000</v>
      </c>
      <c r="L12" s="359" t="str">
        <f ca="1"/>
        <v>Advan Capital Limited</v>
      </c>
      <c r="M12" s="359">
        <f ca="1"/>
        <v>44204</v>
      </c>
      <c r="N12" s="359">
        <f ca="1"/>
        <v>47855</v>
      </c>
      <c r="O12" s="359">
        <f ca="1"/>
        <v>0</v>
      </c>
      <c r="P12" s="363">
        <f ca="1"/>
        <v>46030</v>
      </c>
      <c r="Q12">
        <f ca="1"/>
        <v>0</v>
      </c>
      <c r="R12">
        <f ca="1"/>
        <v>130000</v>
      </c>
      <c r="S12" s="347">
        <f ca="1"/>
        <v>0</v>
      </c>
      <c r="T12" s="347">
        <f ca="1"/>
        <v>0</v>
      </c>
      <c r="U12" s="347">
        <f ca="1"/>
        <v>130000</v>
      </c>
      <c r="V12">
        <f ca="1"/>
        <v>0</v>
      </c>
      <c r="W12">
        <f ca="1"/>
        <v>130000</v>
      </c>
      <c r="X12">
        <f ca="1"/>
        <v>0</v>
      </c>
      <c r="Y12" t="e">
        <f ca="1"/>
        <v>#VALUE!</v>
      </c>
      <c r="Z12" t="str">
        <f ca="1"/>
        <v>B</v>
      </c>
      <c r="AA12">
        <f ca="1"/>
        <v>0</v>
      </c>
      <c r="AB12">
        <f ca="1"/>
        <v>0</v>
      </c>
      <c r="AC12" t="str">
        <f ca="1"/>
        <v>No</v>
      </c>
    </row>
    <row r="13" spans="1:29">
      <c r="A13" t="str">
        <f ca="1"/>
        <v>UNIT</v>
      </c>
      <c r="B13">
        <f ca="1"/>
        <v>0</v>
      </c>
      <c r="C13" t="str">
        <f ca="1"/>
        <v>CM</v>
      </c>
      <c r="D13" t="str">
        <f ca="1"/>
        <v>MEL</v>
      </c>
      <c r="E13">
        <f ca="1"/>
        <v>550620</v>
      </c>
      <c r="F13" t="str">
        <f ca="1"/>
        <v>65 Margaret Street</v>
      </c>
      <c r="G13" t="str">
        <f ca="1"/>
        <v>Ground Floor &amp; Basement</v>
      </c>
      <c r="H13" s="346" t="str">
        <f ca="1"/>
        <v>A1/D1</v>
      </c>
      <c r="I13">
        <f ca="1"/>
        <v>930</v>
      </c>
      <c r="J13" t="str">
        <f ca="1"/>
        <v>A1/D1</v>
      </c>
      <c r="K13" s="359">
        <f ca="1"/>
        <v>1000</v>
      </c>
      <c r="L13" s="359" t="str">
        <f ca="1"/>
        <v>Advanced Beauty Medical Clinics Ltd</v>
      </c>
      <c r="M13" s="359">
        <f ca="1"/>
        <v>45588</v>
      </c>
      <c r="N13" s="359">
        <f ca="1"/>
        <v>46132</v>
      </c>
      <c r="O13" s="359">
        <f ca="1"/>
        <v>0</v>
      </c>
      <c r="P13" s="363">
        <f ca="1"/>
        <v>0</v>
      </c>
      <c r="Q13">
        <f ca="1"/>
        <v>0</v>
      </c>
      <c r="R13">
        <f ca="1"/>
        <v>46500</v>
      </c>
      <c r="S13" s="347">
        <f ca="1"/>
        <v>0</v>
      </c>
      <c r="T13" s="347">
        <f ca="1"/>
        <v>0</v>
      </c>
      <c r="U13" s="347">
        <f ca="1"/>
        <v>45350</v>
      </c>
      <c r="V13">
        <f ca="1"/>
        <v>0</v>
      </c>
      <c r="W13">
        <f ca="1"/>
        <v>45350</v>
      </c>
      <c r="X13">
        <f ca="1"/>
        <v>0</v>
      </c>
      <c r="Y13" t="e">
        <f ca="1"/>
        <v>#VALUE!</v>
      </c>
      <c r="Z13" t="str">
        <f ca="1"/>
        <v>D</v>
      </c>
      <c r="AA13">
        <f ca="1"/>
        <v>0</v>
      </c>
      <c r="AB13">
        <f ca="1"/>
        <v>0</v>
      </c>
      <c r="AC13" t="str">
        <f ca="1"/>
        <v>No</v>
      </c>
    </row>
    <row r="14" spans="1:29">
      <c r="H14" s="346"/>
      <c r="K14" s="359"/>
      <c r="L14" s="359"/>
      <c r="P14" s="363"/>
      <c r="S14" s="347"/>
      <c r="T14" s="347"/>
      <c r="U14" s="347"/>
    </row>
    <row r="15" spans="1:29">
      <c r="H15" s="346"/>
      <c r="P15" s="347"/>
      <c r="S15" s="347"/>
      <c r="T15" s="347"/>
      <c r="U15" s="347"/>
    </row>
    <row r="16" spans="1:29">
      <c r="H16" s="346"/>
      <c r="P16" s="347"/>
      <c r="S16" s="347"/>
      <c r="T16" s="347"/>
      <c r="U16" s="347"/>
    </row>
    <row r="17" spans="1:28">
      <c r="A17" s="115"/>
      <c r="B17" s="459" t="s">
        <v>926</v>
      </c>
      <c r="C17" s="460"/>
      <c r="D17" s="460"/>
      <c r="E17" s="460"/>
      <c r="H17" s="346"/>
      <c r="P17" s="347"/>
      <c r="S17" s="347"/>
      <c r="T17" s="347"/>
      <c r="U17" s="347"/>
    </row>
    <row r="18" spans="1:28" ht="24" customHeight="1">
      <c r="B18" s="130" t="s">
        <v>1</v>
      </c>
      <c r="C18" s="130" t="s">
        <v>2</v>
      </c>
      <c r="D18" s="72" t="s">
        <v>3</v>
      </c>
      <c r="E18" s="72" t="s">
        <v>4</v>
      </c>
      <c r="F18" s="72" t="s">
        <v>5</v>
      </c>
      <c r="G18" s="73" t="s">
        <v>6</v>
      </c>
      <c r="H18" s="74" t="s">
        <v>7</v>
      </c>
      <c r="I18" s="74" t="s">
        <v>8</v>
      </c>
      <c r="J18" s="75" t="s">
        <v>10</v>
      </c>
      <c r="K18" s="76" t="s">
        <v>924</v>
      </c>
      <c r="L18" s="76" t="s">
        <v>925</v>
      </c>
      <c r="M18" s="76" t="s">
        <v>13</v>
      </c>
      <c r="N18" s="76" t="s">
        <v>14</v>
      </c>
      <c r="O18" s="76" t="s">
        <v>15</v>
      </c>
      <c r="P18" s="348" t="s">
        <v>16</v>
      </c>
      <c r="Q18" s="78" t="s">
        <v>17</v>
      </c>
      <c r="R18" s="78" t="s">
        <v>18</v>
      </c>
      <c r="S18" s="348" t="s">
        <v>19</v>
      </c>
      <c r="T18" s="349" t="s">
        <v>20</v>
      </c>
      <c r="U18" s="348" t="s">
        <v>21</v>
      </c>
      <c r="V18" s="73" t="s">
        <v>22</v>
      </c>
      <c r="W18" s="73"/>
      <c r="X18" s="73" t="s">
        <v>24</v>
      </c>
      <c r="Y18" s="59" t="s">
        <v>25</v>
      </c>
      <c r="Z18" s="79" t="s">
        <v>26</v>
      </c>
      <c r="AA18" s="79" t="s">
        <v>27</v>
      </c>
      <c r="AB18" s="97" t="s">
        <v>28</v>
      </c>
    </row>
    <row r="19" spans="1:28">
      <c r="A19" s="115" t="str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UNIT</v>
      </c>
      <c r="H19" s="346"/>
      <c r="K19" s="359"/>
      <c r="L19" s="359"/>
      <c r="O19" s="359"/>
      <c r="P19" s="347"/>
      <c r="S19" s="347"/>
      <c r="T19" s="347"/>
      <c r="U19" s="347"/>
      <c r="W19" s="364"/>
    </row>
    <row r="20" spans="1:28">
      <c r="H20" s="346"/>
      <c r="K20" s="359"/>
      <c r="L20" s="359"/>
      <c r="O20" s="359"/>
      <c r="P20" s="347"/>
      <c r="S20" s="347"/>
      <c r="T20" s="347"/>
      <c r="U20" s="347"/>
      <c r="W20" s="364"/>
    </row>
    <row r="21" spans="1:28">
      <c r="H21" s="346"/>
      <c r="K21" s="359"/>
      <c r="L21" s="359"/>
      <c r="O21" s="359"/>
      <c r="P21" s="347"/>
      <c r="S21" s="347"/>
      <c r="T21" s="347"/>
      <c r="U21" s="347"/>
      <c r="W21" s="364"/>
    </row>
    <row r="22" spans="1:28">
      <c r="H22" s="346"/>
      <c r="K22" s="359"/>
      <c r="L22" s="359"/>
      <c r="O22" s="359"/>
      <c r="P22" s="347"/>
      <c r="S22" s="347"/>
      <c r="T22" s="347"/>
      <c r="U22" s="347"/>
      <c r="W22" s="364"/>
    </row>
    <row r="23" spans="1:28">
      <c r="H23" s="346"/>
      <c r="K23" s="359"/>
      <c r="L23" s="359"/>
      <c r="O23" s="359"/>
      <c r="P23" s="347"/>
      <c r="S23" s="347"/>
      <c r="T23" s="347"/>
      <c r="U23" s="347"/>
      <c r="W23" s="364"/>
    </row>
    <row r="24" spans="1:28">
      <c r="H24" s="346"/>
      <c r="K24" s="359"/>
      <c r="L24" s="359"/>
      <c r="O24" s="359"/>
      <c r="P24" s="347"/>
      <c r="S24" s="347"/>
      <c r="T24" s="347"/>
      <c r="U24" s="347"/>
      <c r="W24" s="364"/>
    </row>
    <row r="25" spans="1:28">
      <c r="H25" s="346"/>
      <c r="K25" s="359"/>
      <c r="L25" s="359"/>
      <c r="O25" s="359"/>
      <c r="P25" s="347"/>
      <c r="S25" s="347"/>
      <c r="T25" s="347"/>
      <c r="U25" s="347"/>
      <c r="W25" s="364"/>
    </row>
    <row r="26" spans="1:28">
      <c r="H26" s="346"/>
      <c r="K26" s="359"/>
      <c r="L26" s="359"/>
      <c r="O26" s="359"/>
      <c r="P26" s="347"/>
      <c r="S26" s="347"/>
      <c r="T26" s="347"/>
      <c r="U26" s="347"/>
      <c r="W26" s="364"/>
    </row>
    <row r="27" spans="1:28">
      <c r="H27" s="346"/>
      <c r="K27" s="359"/>
      <c r="L27" s="359"/>
      <c r="N27" s="359"/>
      <c r="O27" s="359"/>
      <c r="P27" s="347"/>
      <c r="S27" s="347"/>
      <c r="T27" s="347"/>
      <c r="U27" s="347"/>
      <c r="W27" s="364"/>
    </row>
    <row r="28" spans="1:28">
      <c r="H28" s="346"/>
      <c r="K28" s="359"/>
      <c r="L28" s="359"/>
      <c r="O28" s="359"/>
      <c r="P28" s="347"/>
      <c r="S28" s="347"/>
      <c r="T28" s="347"/>
      <c r="U28" s="347"/>
      <c r="W28" s="364"/>
    </row>
    <row r="29" spans="1:28">
      <c r="H29" s="346"/>
      <c r="K29" s="359"/>
      <c r="L29" s="359"/>
      <c r="O29" s="359"/>
      <c r="P29" s="347"/>
      <c r="S29" s="347"/>
      <c r="T29" s="347"/>
      <c r="U29" s="347"/>
      <c r="W29" s="364"/>
    </row>
    <row r="30" spans="1:28">
      <c r="H30" s="346"/>
      <c r="K30" s="359"/>
      <c r="L30" s="359"/>
      <c r="O30" s="359"/>
      <c r="P30" s="347"/>
      <c r="S30" s="347"/>
      <c r="T30" s="347"/>
      <c r="U30" s="347"/>
      <c r="W30" s="364"/>
    </row>
    <row r="31" spans="1:28">
      <c r="H31" s="346"/>
      <c r="K31" s="359"/>
      <c r="L31" s="359"/>
      <c r="O31" s="359"/>
      <c r="P31" s="347"/>
      <c r="S31" s="347"/>
      <c r="T31" s="347"/>
      <c r="U31" s="347"/>
      <c r="W31" s="364"/>
    </row>
    <row r="32" spans="1:28">
      <c r="H32" s="346"/>
      <c r="K32" s="359"/>
      <c r="L32" s="359"/>
      <c r="P32" s="347"/>
      <c r="S32" s="347"/>
      <c r="T32" s="347"/>
      <c r="U32" s="347"/>
      <c r="W32" s="364"/>
    </row>
    <row r="33" spans="1:29">
      <c r="A33" s="115"/>
      <c r="B33" s="459" t="s">
        <v>927</v>
      </c>
      <c r="C33" s="460"/>
      <c r="D33" s="460"/>
      <c r="E33" s="460"/>
      <c r="H33" s="346"/>
      <c r="P33" s="347"/>
      <c r="S33" s="347"/>
      <c r="T33" s="347"/>
      <c r="U33" s="347"/>
      <c r="W33" s="364"/>
    </row>
    <row r="34" spans="1:29" ht="24" customHeight="1">
      <c r="B34" s="130" t="s">
        <v>1</v>
      </c>
      <c r="C34" s="130" t="s">
        <v>2</v>
      </c>
      <c r="D34" s="72" t="s">
        <v>3</v>
      </c>
      <c r="E34" s="72" t="s">
        <v>4</v>
      </c>
      <c r="F34" s="72" t="s">
        <v>5</v>
      </c>
      <c r="G34" s="73" t="s">
        <v>6</v>
      </c>
      <c r="H34" s="74" t="s">
        <v>7</v>
      </c>
      <c r="I34" s="74" t="s">
        <v>8</v>
      </c>
      <c r="J34" s="75" t="s">
        <v>10</v>
      </c>
      <c r="K34" s="76" t="s">
        <v>924</v>
      </c>
      <c r="L34" s="76" t="s">
        <v>925</v>
      </c>
      <c r="M34" s="76" t="s">
        <v>13</v>
      </c>
      <c r="N34" s="76" t="s">
        <v>14</v>
      </c>
      <c r="O34" s="76" t="s">
        <v>15</v>
      </c>
      <c r="P34" s="348" t="s">
        <v>16</v>
      </c>
      <c r="Q34" s="78" t="s">
        <v>17</v>
      </c>
      <c r="R34" s="78" t="s">
        <v>18</v>
      </c>
      <c r="S34" s="348" t="s">
        <v>19</v>
      </c>
      <c r="T34" s="349" t="s">
        <v>20</v>
      </c>
      <c r="U34" s="348" t="s">
        <v>21</v>
      </c>
      <c r="V34" s="73" t="s">
        <v>22</v>
      </c>
      <c r="W34" s="365"/>
      <c r="X34" s="73" t="s">
        <v>24</v>
      </c>
      <c r="Y34" s="59" t="s">
        <v>25</v>
      </c>
      <c r="Z34" s="79" t="s">
        <v>26</v>
      </c>
      <c r="AA34" s="79" t="s">
        <v>27</v>
      </c>
      <c r="AB34" s="97" t="s">
        <v>28</v>
      </c>
    </row>
    <row r="35" spans="1:29">
      <c r="A35" s="115" t="str">
        <f t="array" aca="1" ref="A35:AC71" ca="1">_xlfn._xlws.SORT(_xlfn._xlws.FILTER('Bank Schedule'!A:AC, (('Bank Schedule'!O:O &lt; TODAY()) * ('Bank Schedule'!O:O &lt;&gt; "")) + (('Bank Schedule'!O:O &lt;= TODAY() + 180) * ('Bank Schedule'!O:O &lt;&gt; ""))), 14, TRUE)</f>
        <v>UNIT</v>
      </c>
      <c r="B35">
        <f ca="1"/>
        <v>0</v>
      </c>
      <c r="C35" t="str">
        <f ca="1"/>
        <v>SH</v>
      </c>
      <c r="D35" t="str">
        <f ca="1"/>
        <v>MEL</v>
      </c>
      <c r="E35">
        <f ca="1"/>
        <v>550910</v>
      </c>
      <c r="F35" t="str">
        <f ca="1"/>
        <v>22 and 23-25 Eastcastle Street</v>
      </c>
      <c r="G35" t="str">
        <f ca="1"/>
        <v>Second Floor (23-25)</v>
      </c>
      <c r="H35" s="346" t="str">
        <f ca="1"/>
        <v>Office</v>
      </c>
      <c r="I35">
        <f ca="1"/>
        <v>2238</v>
      </c>
      <c r="J35" t="str">
        <f ca="1"/>
        <v>Office</v>
      </c>
      <c r="K35" s="359">
        <f ca="1"/>
        <v>2000</v>
      </c>
      <c r="L35" s="359" t="str">
        <f ca="1"/>
        <v>Vacant</v>
      </c>
      <c r="M35">
        <f ca="1"/>
        <v>0</v>
      </c>
      <c r="N35" s="359">
        <f ca="1"/>
        <v>0</v>
      </c>
      <c r="O35" s="360">
        <f ca="1"/>
        <v>45636</v>
      </c>
      <c r="P35" s="347">
        <f ca="1"/>
        <v>0</v>
      </c>
      <c r="Q35">
        <f ca="1"/>
        <v>0</v>
      </c>
      <c r="R35">
        <f ca="1"/>
        <v>0</v>
      </c>
      <c r="S35" s="347">
        <f ca="1"/>
        <v>0</v>
      </c>
      <c r="T35" s="347">
        <f ca="1"/>
        <v>0</v>
      </c>
      <c r="U35" s="347">
        <f ca="1"/>
        <v>134300</v>
      </c>
      <c r="V35">
        <f ca="1"/>
        <v>0</v>
      </c>
      <c r="W35" s="364">
        <f ca="1"/>
        <v>134300</v>
      </c>
      <c r="X35">
        <f ca="1"/>
        <v>0</v>
      </c>
      <c r="Y35" t="e">
        <f ca="1"/>
        <v>#VALUE!</v>
      </c>
      <c r="Z35" t="str">
        <f ca="1"/>
        <v>D</v>
      </c>
      <c r="AA35">
        <f ca="1"/>
        <v>0</v>
      </c>
      <c r="AB35">
        <f ca="1"/>
        <v>0</v>
      </c>
      <c r="AC35" t="str">
        <f ca="1"/>
        <v>No</v>
      </c>
    </row>
    <row r="36" spans="1:29">
      <c r="A36" t="str">
        <f ca="1"/>
        <v>UNIT</v>
      </c>
      <c r="B36">
        <f ca="1"/>
        <v>0</v>
      </c>
      <c r="C36" t="str">
        <f ca="1"/>
        <v>SH</v>
      </c>
      <c r="D36" t="str">
        <f ca="1"/>
        <v>MEL</v>
      </c>
      <c r="E36">
        <f ca="1"/>
        <v>550910</v>
      </c>
      <c r="F36" t="str">
        <f ca="1"/>
        <v>22 and 23-25 Eastcastle Street</v>
      </c>
      <c r="G36" t="str">
        <f ca="1"/>
        <v>Third Floor (22)</v>
      </c>
      <c r="H36" s="346" t="str">
        <f ca="1"/>
        <v>Office</v>
      </c>
      <c r="I36">
        <f ca="1"/>
        <v>400</v>
      </c>
      <c r="J36" t="str">
        <f ca="1"/>
        <v>Office</v>
      </c>
      <c r="K36" s="359">
        <f ca="1"/>
        <v>500</v>
      </c>
      <c r="L36" s="359" t="str">
        <f ca="1"/>
        <v>Vacant</v>
      </c>
      <c r="M36">
        <f ca="1"/>
        <v>0</v>
      </c>
      <c r="N36" s="359">
        <f ca="1"/>
        <v>0</v>
      </c>
      <c r="O36" s="360">
        <f ca="1"/>
        <v>45771</v>
      </c>
      <c r="P36" s="347">
        <f ca="1"/>
        <v>0</v>
      </c>
      <c r="Q36">
        <f ca="1"/>
        <v>0</v>
      </c>
      <c r="R36">
        <f ca="1"/>
        <v>0</v>
      </c>
      <c r="S36" s="347">
        <f ca="1"/>
        <v>0</v>
      </c>
      <c r="T36" s="347">
        <f ca="1"/>
        <v>0</v>
      </c>
      <c r="U36" s="347">
        <f ca="1"/>
        <v>20600</v>
      </c>
      <c r="V36">
        <f ca="1"/>
        <v>0</v>
      </c>
      <c r="W36" s="364">
        <f ca="1"/>
        <v>23000</v>
      </c>
      <c r="X36">
        <f ca="1"/>
        <v>0</v>
      </c>
      <c r="Y36" t="e">
        <f ca="1"/>
        <v>#VALUE!</v>
      </c>
      <c r="Z36" t="str">
        <f ca="1"/>
        <v>D</v>
      </c>
      <c r="AA36">
        <f ca="1"/>
        <v>0</v>
      </c>
      <c r="AB36">
        <f ca="1"/>
        <v>0</v>
      </c>
      <c r="AC36" t="str">
        <f ca="1"/>
        <v>No</v>
      </c>
    </row>
    <row r="37" spans="1:29">
      <c r="A37" t="str">
        <f ca="1"/>
        <v>UNIT</v>
      </c>
      <c r="B37">
        <f ca="1"/>
        <v>0</v>
      </c>
      <c r="C37" t="str">
        <f ca="1"/>
        <v>SH</v>
      </c>
      <c r="D37" t="str">
        <f ca="1"/>
        <v>MEL</v>
      </c>
      <c r="E37">
        <f ca="1"/>
        <v>550910</v>
      </c>
      <c r="F37" t="str">
        <f ca="1"/>
        <v>22 and 23-25 Eastcastle Street</v>
      </c>
      <c r="G37" t="str">
        <f ca="1"/>
        <v>Third Floor (23-25)</v>
      </c>
      <c r="H37" s="346" t="str">
        <f ca="1"/>
        <v>Office</v>
      </c>
      <c r="I37">
        <f ca="1"/>
        <v>1938</v>
      </c>
      <c r="J37" t="str">
        <f ca="1"/>
        <v>Office</v>
      </c>
      <c r="K37" s="359">
        <f ca="1"/>
        <v>2000</v>
      </c>
      <c r="L37" s="359" t="str">
        <f ca="1"/>
        <v>Vacant</v>
      </c>
      <c r="M37">
        <f ca="1"/>
        <v>0</v>
      </c>
      <c r="N37" s="359">
        <f ca="1"/>
        <v>0</v>
      </c>
      <c r="O37" s="360">
        <f ca="1"/>
        <v>45217</v>
      </c>
      <c r="P37" s="347">
        <f ca="1"/>
        <v>0</v>
      </c>
      <c r="Q37">
        <f ca="1"/>
        <v>0</v>
      </c>
      <c r="R37">
        <f ca="1"/>
        <v>0</v>
      </c>
      <c r="S37" s="347">
        <f ca="1"/>
        <v>0</v>
      </c>
      <c r="T37" s="347">
        <f ca="1"/>
        <v>0</v>
      </c>
      <c r="U37" s="347">
        <f ca="1"/>
        <v>109000</v>
      </c>
      <c r="V37">
        <f ca="1"/>
        <v>0</v>
      </c>
      <c r="W37" s="364">
        <f ca="1"/>
        <v>111400</v>
      </c>
      <c r="X37">
        <f ca="1"/>
        <v>0</v>
      </c>
      <c r="Y37" t="e">
        <f ca="1"/>
        <v>#VALUE!</v>
      </c>
      <c r="Z37" t="str">
        <f ca="1"/>
        <v>D</v>
      </c>
      <c r="AA37">
        <f ca="1"/>
        <v>0</v>
      </c>
      <c r="AB37">
        <f ca="1"/>
        <v>0</v>
      </c>
      <c r="AC37" t="str">
        <f ca="1"/>
        <v>No</v>
      </c>
    </row>
    <row r="38" spans="1:29">
      <c r="A38" t="str">
        <f ca="1"/>
        <v>UNIT</v>
      </c>
      <c r="B38">
        <f ca="1"/>
        <v>0</v>
      </c>
      <c r="C38" t="str">
        <f ca="1"/>
        <v>SH</v>
      </c>
      <c r="D38" t="str">
        <f ca="1"/>
        <v>MEL</v>
      </c>
      <c r="E38">
        <f ca="1"/>
        <v>550910</v>
      </c>
      <c r="F38" t="str">
        <f ca="1"/>
        <v>22 and 23-25 Eastcastle Street</v>
      </c>
      <c r="G38" t="str">
        <f ca="1"/>
        <v>Sixth Floor (23-25)</v>
      </c>
      <c r="H38" s="346" t="str">
        <f ca="1"/>
        <v>Office</v>
      </c>
      <c r="I38">
        <f ca="1"/>
        <v>744</v>
      </c>
      <c r="J38" t="str">
        <f ca="1"/>
        <v>Office</v>
      </c>
      <c r="K38" s="359">
        <f ca="1"/>
        <v>750</v>
      </c>
      <c r="L38" s="359" t="str">
        <f ca="1"/>
        <v>Vacant</v>
      </c>
      <c r="M38">
        <f ca="1"/>
        <v>0</v>
      </c>
      <c r="N38" s="359">
        <f ca="1"/>
        <v>0</v>
      </c>
      <c r="O38" s="360">
        <f ca="1"/>
        <v>45182</v>
      </c>
      <c r="P38" s="347">
        <f ca="1"/>
        <v>0</v>
      </c>
      <c r="Q38">
        <f ca="1"/>
        <v>0</v>
      </c>
      <c r="R38">
        <f ca="1"/>
        <v>0</v>
      </c>
      <c r="S38" s="347">
        <f ca="1"/>
        <v>0</v>
      </c>
      <c r="T38" s="347">
        <f ca="1"/>
        <v>0</v>
      </c>
      <c r="U38" s="347">
        <f ca="1"/>
        <v>34400</v>
      </c>
      <c r="V38">
        <f ca="1"/>
        <v>0</v>
      </c>
      <c r="W38" s="364">
        <f ca="1"/>
        <v>42800</v>
      </c>
      <c r="X38">
        <f ca="1"/>
        <v>0</v>
      </c>
      <c r="Y38" t="e">
        <f ca="1"/>
        <v>#VALUE!</v>
      </c>
      <c r="Z38" t="str">
        <f ca="1"/>
        <v>D</v>
      </c>
      <c r="AA38">
        <f ca="1"/>
        <v>0</v>
      </c>
      <c r="AB38">
        <f ca="1"/>
        <v>0</v>
      </c>
      <c r="AC38" t="str">
        <f ca="1"/>
        <v>No</v>
      </c>
    </row>
    <row r="39" spans="1:29">
      <c r="A39" t="str">
        <f ca="1"/>
        <v>UNIT</v>
      </c>
      <c r="B39">
        <f ca="1"/>
        <v>0</v>
      </c>
      <c r="C39" t="str">
        <f ca="1"/>
        <v>SH</v>
      </c>
      <c r="D39" t="str">
        <f ca="1"/>
        <v>MEL</v>
      </c>
      <c r="E39">
        <f ca="1"/>
        <v>550920</v>
      </c>
      <c r="F39" t="str">
        <f ca="1"/>
        <v>26 Eastcastle Street</v>
      </c>
      <c r="G39" t="str">
        <f ca="1"/>
        <v>Second Floor</v>
      </c>
      <c r="H39" s="346" t="str">
        <f ca="1"/>
        <v>Offices</v>
      </c>
      <c r="I39">
        <f ca="1"/>
        <v>1110</v>
      </c>
      <c r="J39" t="str">
        <f ca="1"/>
        <v>Offices</v>
      </c>
      <c r="K39" s="359">
        <f ca="1"/>
        <v>1000</v>
      </c>
      <c r="L39" s="359" t="str">
        <f ca="1"/>
        <v>Vacant</v>
      </c>
      <c r="M39">
        <f ca="1"/>
        <v>0</v>
      </c>
      <c r="N39" s="359">
        <f ca="1"/>
        <v>0</v>
      </c>
      <c r="O39" s="360">
        <f ca="1"/>
        <v>43273</v>
      </c>
      <c r="P39" s="347">
        <f ca="1"/>
        <v>0</v>
      </c>
      <c r="Q39">
        <f ca="1"/>
        <v>0</v>
      </c>
      <c r="R39">
        <f ca="1"/>
        <v>0</v>
      </c>
      <c r="S39" s="347">
        <f ca="1"/>
        <v>0</v>
      </c>
      <c r="T39" s="347">
        <f ca="1"/>
        <v>0</v>
      </c>
      <c r="U39" s="347">
        <f ca="1"/>
        <v>61100</v>
      </c>
      <c r="V39">
        <f ca="1"/>
        <v>0</v>
      </c>
      <c r="W39" s="364">
        <f ca="1"/>
        <v>69400</v>
      </c>
      <c r="X39">
        <f ca="1"/>
        <v>0</v>
      </c>
      <c r="Y39" t="e">
        <f ca="1"/>
        <v>#VALUE!</v>
      </c>
      <c r="Z39" t="str">
        <f ca="1"/>
        <v>C</v>
      </c>
      <c r="AA39">
        <f ca="1"/>
        <v>0</v>
      </c>
      <c r="AB39">
        <f ca="1"/>
        <v>0</v>
      </c>
      <c r="AC39" t="str">
        <f ca="1"/>
        <v>No</v>
      </c>
    </row>
    <row r="40" spans="1:29">
      <c r="A40" t="str">
        <f ca="1"/>
        <v>UNIT</v>
      </c>
      <c r="B40">
        <f ca="1"/>
        <v>0</v>
      </c>
      <c r="C40" t="str">
        <f ca="1"/>
        <v>SH</v>
      </c>
      <c r="D40" t="str">
        <f ca="1"/>
        <v>MEL</v>
      </c>
      <c r="E40">
        <f ca="1"/>
        <v>550070</v>
      </c>
      <c r="F40" t="str">
        <f ca="1"/>
        <v>Windsor House, 40-41 Great Castle Street</v>
      </c>
      <c r="G40" t="str">
        <f ca="1"/>
        <v>Basement &amp; Ground Floor</v>
      </c>
      <c r="H40" s="346" t="str">
        <f ca="1"/>
        <v>Retail/Café</v>
      </c>
      <c r="I40">
        <f ca="1"/>
        <v>2235</v>
      </c>
      <c r="J40" t="str">
        <f ca="1"/>
        <v>Retail/Café</v>
      </c>
      <c r="K40" s="359">
        <f ca="1"/>
        <v>2000</v>
      </c>
      <c r="L40" s="359" t="str">
        <f ca="1"/>
        <v>Vacant</v>
      </c>
      <c r="M40">
        <f ca="1"/>
        <v>0</v>
      </c>
      <c r="N40" s="359">
        <f ca="1"/>
        <v>0</v>
      </c>
      <c r="O40" s="360">
        <f ca="1"/>
        <v>45754</v>
      </c>
      <c r="P40" s="347">
        <f ca="1"/>
        <v>0</v>
      </c>
      <c r="Q40">
        <f ca="1"/>
        <v>0</v>
      </c>
      <c r="R40">
        <f ca="1"/>
        <v>0</v>
      </c>
      <c r="S40" s="347">
        <f ca="1"/>
        <v>0</v>
      </c>
      <c r="T40" s="347">
        <f ca="1"/>
        <v>0</v>
      </c>
      <c r="U40" s="347">
        <f ca="1"/>
        <v>143000</v>
      </c>
      <c r="V40">
        <f ca="1"/>
        <v>0</v>
      </c>
      <c r="W40" s="364">
        <f ca="1"/>
        <v>145000</v>
      </c>
      <c r="X40">
        <f ca="1"/>
        <v>0</v>
      </c>
      <c r="Y40" t="e">
        <f ca="1"/>
        <v>#VALUE!</v>
      </c>
      <c r="Z40" t="str">
        <f ca="1"/>
        <v>D</v>
      </c>
      <c r="AA40">
        <f ca="1"/>
        <v>0</v>
      </c>
      <c r="AB40">
        <f ca="1"/>
        <v>0</v>
      </c>
      <c r="AC40" t="str">
        <f ca="1"/>
        <v>No</v>
      </c>
    </row>
    <row r="41" spans="1:29">
      <c r="A41" t="str">
        <f ca="1"/>
        <v>UNIT</v>
      </c>
      <c r="B41">
        <f ca="1"/>
        <v>0</v>
      </c>
      <c r="C41" t="str">
        <f ca="1"/>
        <v>SH</v>
      </c>
      <c r="D41" t="str">
        <f ca="1"/>
        <v>MEL</v>
      </c>
      <c r="E41">
        <f ca="1"/>
        <v>550070</v>
      </c>
      <c r="F41" t="str">
        <f ca="1"/>
        <v>Windsor House, 40-41 Great Castle Street</v>
      </c>
      <c r="G41" t="str">
        <f ca="1"/>
        <v>Fourth Floor</v>
      </c>
      <c r="H41" s="346" t="str">
        <f ca="1"/>
        <v>Office</v>
      </c>
      <c r="I41">
        <f ca="1"/>
        <v>400</v>
      </c>
      <c r="J41" t="str">
        <f ca="1"/>
        <v>Office</v>
      </c>
      <c r="K41" s="359">
        <f ca="1"/>
        <v>500</v>
      </c>
      <c r="L41" s="359" t="str">
        <f ca="1"/>
        <v>Vacant</v>
      </c>
      <c r="M41">
        <f ca="1"/>
        <v>0</v>
      </c>
      <c r="N41" s="359">
        <f ca="1"/>
        <v>0</v>
      </c>
      <c r="O41" s="360">
        <f ca="1"/>
        <v>44168</v>
      </c>
      <c r="P41" s="347">
        <f ca="1"/>
        <v>0</v>
      </c>
      <c r="Q41">
        <f ca="1"/>
        <v>0</v>
      </c>
      <c r="R41">
        <f ca="1"/>
        <v>0</v>
      </c>
      <c r="S41" s="347">
        <f ca="1"/>
        <v>0</v>
      </c>
      <c r="T41" s="347">
        <f ca="1"/>
        <v>0</v>
      </c>
      <c r="U41" s="347">
        <f ca="1"/>
        <v>21600</v>
      </c>
      <c r="V41">
        <f ca="1"/>
        <v>0</v>
      </c>
      <c r="W41" s="364">
        <f ca="1"/>
        <v>22000</v>
      </c>
      <c r="X41">
        <f ca="1"/>
        <v>0</v>
      </c>
      <c r="Y41" t="e">
        <f ca="1"/>
        <v>#VALUE!</v>
      </c>
      <c r="Z41" t="str">
        <f ca="1"/>
        <v>D</v>
      </c>
      <c r="AA41">
        <f ca="1"/>
        <v>0</v>
      </c>
      <c r="AB41">
        <f ca="1"/>
        <v>0</v>
      </c>
      <c r="AC41" t="str">
        <f ca="1"/>
        <v>No</v>
      </c>
    </row>
    <row r="42" spans="1:29">
      <c r="A42" t="str">
        <f ca="1"/>
        <v>UNIT</v>
      </c>
      <c r="B42">
        <f ca="1"/>
        <v>0</v>
      </c>
      <c r="C42" t="str">
        <f ca="1"/>
        <v>SH</v>
      </c>
      <c r="D42" t="str">
        <f ca="1"/>
        <v>MEL</v>
      </c>
      <c r="E42">
        <f ca="1"/>
        <v>550470</v>
      </c>
      <c r="F42" t="str">
        <f ca="1"/>
        <v>Portland House, 4 Great Portland Street</v>
      </c>
      <c r="G42" t="str">
        <f ca="1"/>
        <v>Second Floor (West)</v>
      </c>
      <c r="H42" s="346" t="str">
        <f ca="1"/>
        <v>Office</v>
      </c>
      <c r="I42">
        <f ca="1"/>
        <v>1796</v>
      </c>
      <c r="J42" t="str">
        <f ca="1"/>
        <v>Office</v>
      </c>
      <c r="K42" s="359">
        <f ca="1"/>
        <v>1750</v>
      </c>
      <c r="L42" s="359" t="str">
        <f ca="1"/>
        <v>Vacant</v>
      </c>
      <c r="M42">
        <f ca="1"/>
        <v>0</v>
      </c>
      <c r="N42" s="359">
        <f ca="1"/>
        <v>0</v>
      </c>
      <c r="O42" s="360">
        <f ca="1"/>
        <v>45051</v>
      </c>
      <c r="P42" s="347">
        <f ca="1"/>
        <v>0</v>
      </c>
      <c r="Q42">
        <f ca="1"/>
        <v>0</v>
      </c>
      <c r="R42">
        <f ca="1"/>
        <v>0</v>
      </c>
      <c r="S42" s="347">
        <f ca="1"/>
        <v>0</v>
      </c>
      <c r="T42" s="347">
        <f ca="1"/>
        <v>0</v>
      </c>
      <c r="U42" s="347">
        <f ca="1"/>
        <v>87300</v>
      </c>
      <c r="V42">
        <f ca="1"/>
        <v>0</v>
      </c>
      <c r="W42" s="364">
        <f ca="1"/>
        <v>121240</v>
      </c>
      <c r="X42">
        <f ca="1"/>
        <v>0</v>
      </c>
      <c r="Y42" t="e">
        <f ca="1"/>
        <v>#VALUE!</v>
      </c>
      <c r="Z42" t="str">
        <f ca="1"/>
        <v>B</v>
      </c>
      <c r="AA42">
        <f ca="1"/>
        <v>0</v>
      </c>
      <c r="AB42">
        <f ca="1"/>
        <v>0</v>
      </c>
      <c r="AC42" t="str">
        <f ca="1"/>
        <v>No</v>
      </c>
    </row>
    <row r="43" spans="1:29">
      <c r="A43" t="str">
        <f ca="1"/>
        <v>UNIT</v>
      </c>
      <c r="B43">
        <f ca="1"/>
        <v>0</v>
      </c>
      <c r="C43" t="str">
        <f ca="1"/>
        <v>SH</v>
      </c>
      <c r="D43" t="str">
        <f ca="1"/>
        <v>MEL</v>
      </c>
      <c r="E43">
        <f ca="1"/>
        <v>550470</v>
      </c>
      <c r="F43" t="str">
        <f ca="1"/>
        <v>Portland House, 4 Great Portland Street</v>
      </c>
      <c r="G43" t="str">
        <f ca="1"/>
        <v>Sixth Floor (East)</v>
      </c>
      <c r="H43" s="346" t="str">
        <f ca="1"/>
        <v>Office</v>
      </c>
      <c r="I43">
        <f ca="1"/>
        <v>859</v>
      </c>
      <c r="J43" t="str">
        <f ca="1"/>
        <v>Office</v>
      </c>
      <c r="K43" s="359">
        <f ca="1"/>
        <v>1000</v>
      </c>
      <c r="L43" s="359" t="str">
        <f ca="1"/>
        <v>Vacant</v>
      </c>
      <c r="M43">
        <f ca="1"/>
        <v>0</v>
      </c>
      <c r="N43" s="359">
        <f ca="1"/>
        <v>0</v>
      </c>
      <c r="O43" s="360">
        <f ca="1"/>
        <v>44609</v>
      </c>
      <c r="P43" s="347">
        <f ca="1"/>
        <v>0</v>
      </c>
      <c r="Q43">
        <f ca="1"/>
        <v>0</v>
      </c>
      <c r="R43">
        <f ca="1"/>
        <v>0</v>
      </c>
      <c r="S43" s="347">
        <f ca="1"/>
        <v>0</v>
      </c>
      <c r="T43" s="347">
        <f ca="1"/>
        <v>0</v>
      </c>
      <c r="U43" s="347">
        <f ca="1"/>
        <v>65750</v>
      </c>
      <c r="V43">
        <f ca="1"/>
        <v>0</v>
      </c>
      <c r="W43" s="364">
        <f ca="1"/>
        <v>53700</v>
      </c>
      <c r="X43">
        <f ca="1"/>
        <v>0</v>
      </c>
      <c r="Y43" t="e">
        <f ca="1"/>
        <v>#VALUE!</v>
      </c>
      <c r="Z43" t="str">
        <f ca="1"/>
        <v>D</v>
      </c>
      <c r="AA43">
        <f ca="1"/>
        <v>0</v>
      </c>
      <c r="AB43">
        <f ca="1"/>
        <v>0</v>
      </c>
      <c r="AC43" t="str">
        <f ca="1"/>
        <v>No</v>
      </c>
    </row>
    <row r="44" spans="1:29">
      <c r="A44" t="str">
        <f ca="1"/>
        <v>UNIT</v>
      </c>
      <c r="B44">
        <f ca="1"/>
        <v>0</v>
      </c>
      <c r="C44" t="str">
        <f ca="1"/>
        <v>SH</v>
      </c>
      <c r="D44" t="str">
        <f ca="1"/>
        <v>MEL</v>
      </c>
      <c r="E44">
        <f ca="1"/>
        <v>550480</v>
      </c>
      <c r="F44" t="str">
        <f ca="1"/>
        <v>6-10a Great Portland Street</v>
      </c>
      <c r="G44" t="str">
        <f ca="1"/>
        <v>Second Floor</v>
      </c>
      <c r="H44" s="346" t="str">
        <f ca="1"/>
        <v>Office</v>
      </c>
      <c r="I44">
        <f ca="1"/>
        <v>1818</v>
      </c>
      <c r="J44" t="str">
        <f ca="1"/>
        <v>Office</v>
      </c>
      <c r="K44" s="359">
        <f ca="1"/>
        <v>2000</v>
      </c>
      <c r="L44" s="359" t="str">
        <f ca="1"/>
        <v>Vacant</v>
      </c>
      <c r="M44">
        <f ca="1"/>
        <v>0</v>
      </c>
      <c r="N44" s="359">
        <f ca="1"/>
        <v>0</v>
      </c>
      <c r="O44" s="360">
        <f ca="1"/>
        <v>45609</v>
      </c>
      <c r="P44" s="347">
        <f ca="1"/>
        <v>0</v>
      </c>
      <c r="Q44">
        <f ca="1"/>
        <v>0</v>
      </c>
      <c r="R44">
        <f ca="1"/>
        <v>0</v>
      </c>
      <c r="S44" s="347">
        <f ca="1"/>
        <v>0</v>
      </c>
      <c r="T44" s="347">
        <f ca="1"/>
        <v>0</v>
      </c>
      <c r="U44" s="347">
        <f ca="1"/>
        <v>105500</v>
      </c>
      <c r="V44">
        <f ca="1"/>
        <v>0</v>
      </c>
      <c r="W44" s="364">
        <f ca="1"/>
        <v>109100</v>
      </c>
      <c r="X44">
        <f ca="1"/>
        <v>0</v>
      </c>
      <c r="Y44" t="e">
        <f ca="1"/>
        <v>#VALUE!</v>
      </c>
      <c r="Z44" t="str">
        <f ca="1"/>
        <v>E</v>
      </c>
      <c r="AA44">
        <f ca="1"/>
        <v>0</v>
      </c>
      <c r="AB44">
        <f ca="1"/>
        <v>0</v>
      </c>
      <c r="AC44" t="str">
        <f ca="1"/>
        <v>No</v>
      </c>
    </row>
    <row r="45" spans="1:29">
      <c r="A45" t="str">
        <f ca="1"/>
        <v>UNIT</v>
      </c>
      <c r="B45">
        <f ca="1"/>
        <v>0</v>
      </c>
      <c r="C45" t="str">
        <f ca="1"/>
        <v>SH</v>
      </c>
      <c r="D45" t="str">
        <f ca="1"/>
        <v>MEL</v>
      </c>
      <c r="E45">
        <f ca="1"/>
        <v>550480</v>
      </c>
      <c r="F45" t="str">
        <f ca="1"/>
        <v>6-10a Great Portland Street</v>
      </c>
      <c r="G45" t="str">
        <f ca="1"/>
        <v>Third Floor</v>
      </c>
      <c r="H45" s="346" t="str">
        <f ca="1"/>
        <v>Office</v>
      </c>
      <c r="I45">
        <f ca="1"/>
        <v>1808</v>
      </c>
      <c r="J45" t="str">
        <f ca="1"/>
        <v>Office</v>
      </c>
      <c r="K45" s="359">
        <f ca="1"/>
        <v>2000</v>
      </c>
      <c r="L45" s="359" t="str">
        <f ca="1"/>
        <v>Vacant</v>
      </c>
      <c r="M45">
        <f ca="1"/>
        <v>0</v>
      </c>
      <c r="N45" s="359">
        <f ca="1"/>
        <v>0</v>
      </c>
      <c r="O45" s="360">
        <f ca="1"/>
        <v>45609</v>
      </c>
      <c r="P45" s="347">
        <f ca="1"/>
        <v>0</v>
      </c>
      <c r="Q45">
        <f ca="1"/>
        <v>0</v>
      </c>
      <c r="R45">
        <f ca="1"/>
        <v>0</v>
      </c>
      <c r="S45" s="347">
        <f ca="1"/>
        <v>0</v>
      </c>
      <c r="T45" s="347">
        <f ca="1"/>
        <v>0</v>
      </c>
      <c r="U45" s="347">
        <f ca="1"/>
        <v>108800</v>
      </c>
      <c r="V45">
        <f ca="1"/>
        <v>0</v>
      </c>
      <c r="W45" s="364">
        <f ca="1"/>
        <v>108500</v>
      </c>
      <c r="X45">
        <f ca="1"/>
        <v>0</v>
      </c>
      <c r="Y45" t="e">
        <f ca="1"/>
        <v>#VALUE!</v>
      </c>
      <c r="Z45" t="str">
        <f ca="1"/>
        <v>E</v>
      </c>
      <c r="AA45">
        <f ca="1"/>
        <v>0</v>
      </c>
      <c r="AB45">
        <f ca="1"/>
        <v>0</v>
      </c>
      <c r="AC45" t="str">
        <f ca="1"/>
        <v>No</v>
      </c>
    </row>
    <row r="46" spans="1:29">
      <c r="A46" t="str">
        <f ca="1"/>
        <v>UNIT</v>
      </c>
      <c r="B46">
        <f ca="1"/>
        <v>0</v>
      </c>
      <c r="C46" t="str">
        <f ca="1"/>
        <v>SH</v>
      </c>
      <c r="D46" t="str">
        <f ca="1"/>
        <v>MEL</v>
      </c>
      <c r="E46">
        <f ca="1"/>
        <v>550480</v>
      </c>
      <c r="F46" t="str">
        <f ca="1"/>
        <v>6-10a Great Portland Street</v>
      </c>
      <c r="G46" t="str">
        <f ca="1"/>
        <v>Fourth Floor</v>
      </c>
      <c r="H46" s="346" t="str">
        <f ca="1"/>
        <v>Office</v>
      </c>
      <c r="I46">
        <f ca="1"/>
        <v>1672</v>
      </c>
      <c r="J46" t="str">
        <f ca="1"/>
        <v>Office</v>
      </c>
      <c r="K46" s="359">
        <f ca="1"/>
        <v>1500</v>
      </c>
      <c r="L46" s="359" t="str">
        <f ca="1"/>
        <v>Vacant</v>
      </c>
      <c r="M46">
        <f ca="1"/>
        <v>0</v>
      </c>
      <c r="N46" s="359">
        <f ca="1"/>
        <v>0</v>
      </c>
      <c r="O46" s="360">
        <f ca="1"/>
        <v>45457</v>
      </c>
      <c r="P46" s="347">
        <f ca="1"/>
        <v>0</v>
      </c>
      <c r="Q46">
        <f ca="1"/>
        <v>0</v>
      </c>
      <c r="R46">
        <f ca="1"/>
        <v>0</v>
      </c>
      <c r="S46" s="347">
        <f ca="1"/>
        <v>0</v>
      </c>
      <c r="T46" s="347">
        <f ca="1"/>
        <v>0</v>
      </c>
      <c r="U46" s="347">
        <f ca="1"/>
        <v>94400</v>
      </c>
      <c r="V46">
        <f ca="1"/>
        <v>0</v>
      </c>
      <c r="W46" s="364">
        <f ca="1"/>
        <v>97800</v>
      </c>
      <c r="X46">
        <f ca="1"/>
        <v>0</v>
      </c>
      <c r="Y46" t="e">
        <f ca="1"/>
        <v>#VALUE!</v>
      </c>
      <c r="Z46" t="str">
        <f ca="1"/>
        <v>B</v>
      </c>
      <c r="AA46">
        <f ca="1"/>
        <v>0</v>
      </c>
      <c r="AB46">
        <f ca="1"/>
        <v>0</v>
      </c>
      <c r="AC46" t="str">
        <f ca="1"/>
        <v>No</v>
      </c>
    </row>
    <row r="47" spans="1:29">
      <c r="A47" t="str">
        <f ca="1"/>
        <v>UNIT</v>
      </c>
      <c r="B47">
        <f ca="1"/>
        <v>0</v>
      </c>
      <c r="C47" t="str">
        <f ca="1"/>
        <v>CD</v>
      </c>
      <c r="D47" t="str">
        <f ca="1"/>
        <v>MEL</v>
      </c>
      <c r="E47">
        <f ca="1"/>
        <v>550410</v>
      </c>
      <c r="F47" t="str">
        <f ca="1"/>
        <v>19-21 Great Portland Street .</v>
      </c>
      <c r="G47" t="str">
        <f ca="1"/>
        <v>Second Floor.</v>
      </c>
      <c r="H47" s="346" t="str">
        <f ca="1"/>
        <v>Offices</v>
      </c>
      <c r="I47">
        <f ca="1"/>
        <v>2847</v>
      </c>
      <c r="J47" t="str">
        <f ca="1"/>
        <v>Offices</v>
      </c>
      <c r="K47" s="359">
        <f ca="1"/>
        <v>3000</v>
      </c>
      <c r="L47" s="359" t="str">
        <f ca="1"/>
        <v>Vacant</v>
      </c>
      <c r="M47">
        <f ca="1"/>
        <v>0</v>
      </c>
      <c r="N47" s="359">
        <f ca="1"/>
        <v>0</v>
      </c>
      <c r="O47" s="360">
        <f ca="1"/>
        <v>45219</v>
      </c>
      <c r="P47" s="347">
        <f ca="1"/>
        <v>0</v>
      </c>
      <c r="Q47">
        <f ca="1"/>
        <v>0</v>
      </c>
      <c r="R47">
        <f ca="1"/>
        <v>0</v>
      </c>
      <c r="S47" s="347">
        <f ca="1"/>
        <v>0</v>
      </c>
      <c r="T47" s="347">
        <f ca="1"/>
        <v>0</v>
      </c>
      <c r="U47" s="347">
        <f ca="1"/>
        <v>170000</v>
      </c>
      <c r="V47">
        <f ca="1"/>
        <v>0</v>
      </c>
      <c r="W47" s="364">
        <f ca="1"/>
        <v>185100</v>
      </c>
      <c r="X47">
        <f ca="1"/>
        <v>0</v>
      </c>
      <c r="Y47" t="e">
        <f ca="1"/>
        <v>#VALUE!</v>
      </c>
      <c r="Z47" t="str">
        <f ca="1"/>
        <v>B</v>
      </c>
      <c r="AA47">
        <f ca="1"/>
        <v>0</v>
      </c>
      <c r="AB47">
        <f ca="1"/>
        <v>0</v>
      </c>
      <c r="AC47" t="str">
        <f ca="1"/>
        <v>No</v>
      </c>
    </row>
    <row r="48" spans="1:29">
      <c r="A48" t="str">
        <f ca="1"/>
        <v>UNIT</v>
      </c>
      <c r="B48">
        <f ca="1"/>
        <v>0</v>
      </c>
      <c r="C48" t="str">
        <f ca="1"/>
        <v>CD</v>
      </c>
      <c r="D48" t="str">
        <f ca="1"/>
        <v>MEL</v>
      </c>
      <c r="E48">
        <f ca="1"/>
        <v>550410</v>
      </c>
      <c r="F48" t="str">
        <f ca="1"/>
        <v>19-21 Great Portland Street .</v>
      </c>
      <c r="G48" t="str">
        <f ca="1"/>
        <v>Third Floor</v>
      </c>
      <c r="H48" s="346" t="str">
        <f ca="1"/>
        <v>Offices</v>
      </c>
      <c r="I48">
        <f ca="1"/>
        <v>2651</v>
      </c>
      <c r="J48" t="str">
        <f ca="1"/>
        <v>Offices</v>
      </c>
      <c r="K48" s="359">
        <f ca="1"/>
        <v>2500</v>
      </c>
      <c r="L48" s="359" t="str">
        <f ca="1"/>
        <v>Vacant</v>
      </c>
      <c r="M48">
        <f ca="1"/>
        <v>0</v>
      </c>
      <c r="N48" s="359">
        <f ca="1"/>
        <v>0</v>
      </c>
      <c r="O48" s="360">
        <f ca="1"/>
        <v>44124</v>
      </c>
      <c r="P48" s="347">
        <f ca="1"/>
        <v>0</v>
      </c>
      <c r="Q48">
        <f ca="1"/>
        <v>0</v>
      </c>
      <c r="R48">
        <f ca="1"/>
        <v>0</v>
      </c>
      <c r="S48" s="347">
        <f ca="1"/>
        <v>0</v>
      </c>
      <c r="T48" s="347">
        <f ca="1"/>
        <v>0</v>
      </c>
      <c r="U48" s="347">
        <f ca="1"/>
        <v>172000</v>
      </c>
      <c r="V48">
        <f ca="1"/>
        <v>0</v>
      </c>
      <c r="W48" s="364">
        <f ca="1"/>
        <v>181600</v>
      </c>
      <c r="X48">
        <f ca="1"/>
        <v>0</v>
      </c>
      <c r="Y48" t="e">
        <f ca="1"/>
        <v>#VALUE!</v>
      </c>
      <c r="Z48" t="str">
        <f ca="1"/>
        <v>B</v>
      </c>
      <c r="AA48">
        <f ca="1"/>
        <v>0</v>
      </c>
      <c r="AB48">
        <f ca="1"/>
        <v>0</v>
      </c>
      <c r="AC48" t="str">
        <f ca="1"/>
        <v>No</v>
      </c>
    </row>
    <row r="49" spans="1:29">
      <c r="A49" t="str">
        <f ca="1"/>
        <v>UNIT</v>
      </c>
      <c r="B49">
        <f ca="1"/>
        <v>0</v>
      </c>
      <c r="C49" t="str">
        <f ca="1"/>
        <v>YS</v>
      </c>
      <c r="D49" t="str">
        <f ca="1"/>
        <v>MEL</v>
      </c>
      <c r="E49">
        <f ca="1"/>
        <v>550795</v>
      </c>
      <c r="F49" t="str">
        <f ca="1"/>
        <v>20 Great Portland Street</v>
      </c>
      <c r="G49" t="str">
        <f ca="1"/>
        <v>Basement</v>
      </c>
      <c r="H49" s="346" t="str">
        <f ca="1"/>
        <v>Studio</v>
      </c>
      <c r="I49">
        <f ca="1"/>
        <v>1330</v>
      </c>
      <c r="J49" t="str">
        <f ca="1"/>
        <v>Studio</v>
      </c>
      <c r="K49" s="359">
        <f ca="1"/>
        <v>0</v>
      </c>
      <c r="L49" s="359" t="str">
        <f ca="1"/>
        <v>Vacant / Landlord</v>
      </c>
      <c r="M49">
        <f ca="1"/>
        <v>0</v>
      </c>
      <c r="N49" s="359">
        <f ca="1"/>
        <v>0</v>
      </c>
      <c r="O49" s="360">
        <f ca="1"/>
        <v>43670</v>
      </c>
      <c r="P49" s="347">
        <f ca="1"/>
        <v>0</v>
      </c>
      <c r="Q49">
        <f ca="1"/>
        <v>0</v>
      </c>
      <c r="R49">
        <f ca="1"/>
        <v>0</v>
      </c>
      <c r="S49" s="347">
        <f ca="1"/>
        <v>0</v>
      </c>
      <c r="T49" s="347">
        <f ca="1"/>
        <v>0</v>
      </c>
      <c r="U49" s="347">
        <f ca="1"/>
        <v>25000</v>
      </c>
      <c r="V49">
        <f ca="1"/>
        <v>0</v>
      </c>
      <c r="W49" s="364">
        <f ca="1"/>
        <v>25000</v>
      </c>
      <c r="X49">
        <f ca="1"/>
        <v>0</v>
      </c>
      <c r="Y49" t="e">
        <f ca="1"/>
        <v>#VALUE!</v>
      </c>
      <c r="Z49" t="str">
        <f ca="1"/>
        <v>D</v>
      </c>
      <c r="AA49">
        <f ca="1"/>
        <v>0</v>
      </c>
      <c r="AB49">
        <f ca="1"/>
        <v>0</v>
      </c>
      <c r="AC49" t="str">
        <f ca="1"/>
        <v>No</v>
      </c>
    </row>
    <row r="50" spans="1:29">
      <c r="A50" t="str">
        <f ca="1"/>
        <v>UNIT</v>
      </c>
      <c r="B50">
        <f ca="1"/>
        <v>0</v>
      </c>
      <c r="C50" t="str">
        <f ca="1"/>
        <v>YS</v>
      </c>
      <c r="D50" t="str">
        <f ca="1"/>
        <v>MEL</v>
      </c>
      <c r="E50">
        <f ca="1"/>
        <v>550080</v>
      </c>
      <c r="F50" t="str">
        <f ca="1"/>
        <v>Highlight House, 22-24 Great Portland Street</v>
      </c>
      <c r="G50" t="str">
        <f ca="1"/>
        <v>First Floor</v>
      </c>
      <c r="H50" s="346" t="str">
        <f ca="1"/>
        <v xml:space="preserve"> Office</v>
      </c>
      <c r="I50">
        <f ca="1"/>
        <v>1493</v>
      </c>
      <c r="J50" t="str">
        <f ca="1"/>
        <v xml:space="preserve"> Office</v>
      </c>
      <c r="K50" s="359">
        <f ca="1"/>
        <v>1500</v>
      </c>
      <c r="L50" s="359" t="str">
        <f ca="1"/>
        <v>Vacant</v>
      </c>
      <c r="M50">
        <f ca="1"/>
        <v>0</v>
      </c>
      <c r="N50" s="359">
        <f ca="1"/>
        <v>0</v>
      </c>
      <c r="O50" s="360">
        <f ca="1"/>
        <v>43279</v>
      </c>
      <c r="P50" s="347">
        <f ca="1"/>
        <v>0</v>
      </c>
      <c r="Q50">
        <f ca="1"/>
        <v>0</v>
      </c>
      <c r="R50">
        <f ca="1"/>
        <v>0</v>
      </c>
      <c r="S50" s="347">
        <f ca="1"/>
        <v>0</v>
      </c>
      <c r="T50" s="347">
        <f ca="1"/>
        <v>0</v>
      </c>
      <c r="U50" s="347">
        <f ca="1"/>
        <v>86600</v>
      </c>
      <c r="V50">
        <f ca="1"/>
        <v>0</v>
      </c>
      <c r="W50" s="364">
        <f ca="1"/>
        <v>93300</v>
      </c>
      <c r="X50">
        <f ca="1"/>
        <v>0</v>
      </c>
      <c r="Y50" t="e">
        <f ca="1"/>
        <v>#VALUE!</v>
      </c>
      <c r="Z50" t="str">
        <f ca="1"/>
        <v>D</v>
      </c>
      <c r="AA50">
        <f ca="1"/>
        <v>0</v>
      </c>
      <c r="AB50">
        <f ca="1"/>
        <v>0</v>
      </c>
      <c r="AC50" t="str">
        <f ca="1"/>
        <v>No</v>
      </c>
    </row>
    <row r="51" spans="1:29">
      <c r="A51" t="str">
        <f ca="1"/>
        <v>UNIT</v>
      </c>
      <c r="B51">
        <f ca="1"/>
        <v>0</v>
      </c>
      <c r="C51" t="str">
        <f ca="1"/>
        <v>YS</v>
      </c>
      <c r="D51" t="str">
        <f ca="1"/>
        <v>MEL</v>
      </c>
      <c r="E51">
        <f ca="1"/>
        <v>550080</v>
      </c>
      <c r="F51" t="str">
        <f ca="1"/>
        <v>Highlight House, 22-24 Great Portland Street</v>
      </c>
      <c r="G51" t="str">
        <f ca="1"/>
        <v>Second Floor</v>
      </c>
      <c r="H51" s="346" t="str">
        <f ca="1"/>
        <v>Office</v>
      </c>
      <c r="I51">
        <f ca="1"/>
        <v>1503</v>
      </c>
      <c r="J51" t="str">
        <f ca="1"/>
        <v>Office</v>
      </c>
      <c r="K51" s="359">
        <f ca="1"/>
        <v>1500</v>
      </c>
      <c r="L51" s="359" t="str">
        <f ca="1"/>
        <v>Vacant</v>
      </c>
      <c r="M51">
        <f ca="1"/>
        <v>0</v>
      </c>
      <c r="N51" s="359">
        <f ca="1"/>
        <v>0</v>
      </c>
      <c r="O51" s="360">
        <f ca="1"/>
        <v>43354</v>
      </c>
      <c r="P51" s="347">
        <f ca="1"/>
        <v>0</v>
      </c>
      <c r="Q51">
        <f ca="1"/>
        <v>0</v>
      </c>
      <c r="R51">
        <f ca="1"/>
        <v>0</v>
      </c>
      <c r="S51" s="347">
        <f ca="1"/>
        <v>0</v>
      </c>
      <c r="T51" s="347">
        <f ca="1"/>
        <v>0</v>
      </c>
      <c r="U51" s="347">
        <f ca="1"/>
        <v>88100</v>
      </c>
      <c r="V51">
        <f ca="1"/>
        <v>0</v>
      </c>
      <c r="W51" s="364">
        <f ca="1"/>
        <v>93900</v>
      </c>
      <c r="X51">
        <f ca="1"/>
        <v>0</v>
      </c>
      <c r="Y51" t="e">
        <f ca="1"/>
        <v>#VALUE!</v>
      </c>
      <c r="Z51" t="str">
        <f ca="1"/>
        <v>D</v>
      </c>
      <c r="AA51">
        <f ca="1"/>
        <v>0</v>
      </c>
      <c r="AB51">
        <f ca="1"/>
        <v>0</v>
      </c>
      <c r="AC51" t="str">
        <f ca="1"/>
        <v>No</v>
      </c>
    </row>
    <row r="52" spans="1:29">
      <c r="A52" t="str">
        <f ca="1"/>
        <v>UNIT</v>
      </c>
      <c r="B52">
        <f ca="1"/>
        <v>0</v>
      </c>
      <c r="C52" t="str">
        <f ca="1"/>
        <v>YS</v>
      </c>
      <c r="D52" t="str">
        <f ca="1"/>
        <v>MEL</v>
      </c>
      <c r="E52">
        <f ca="1"/>
        <v>550080</v>
      </c>
      <c r="F52" t="str">
        <f ca="1"/>
        <v>Highlight House, 22-24 Great Portland Street</v>
      </c>
      <c r="G52" t="str">
        <f ca="1"/>
        <v>Third Floor</v>
      </c>
      <c r="H52" s="346" t="str">
        <f ca="1"/>
        <v>Office</v>
      </c>
      <c r="I52">
        <f ca="1"/>
        <v>1519</v>
      </c>
      <c r="J52" t="str">
        <f ca="1"/>
        <v>Office</v>
      </c>
      <c r="K52" s="359">
        <f ca="1"/>
        <v>1500</v>
      </c>
      <c r="L52" s="359" t="str">
        <f ca="1"/>
        <v>Vacant</v>
      </c>
      <c r="M52">
        <f ca="1"/>
        <v>0</v>
      </c>
      <c r="N52" s="359">
        <f ca="1"/>
        <v>0</v>
      </c>
      <c r="O52" s="360">
        <f ca="1"/>
        <v>43354</v>
      </c>
      <c r="P52" s="347">
        <f ca="1"/>
        <v>0</v>
      </c>
      <c r="Q52">
        <f ca="1"/>
        <v>0</v>
      </c>
      <c r="R52">
        <f ca="1"/>
        <v>0</v>
      </c>
      <c r="S52" s="347">
        <f ca="1"/>
        <v>0</v>
      </c>
      <c r="T52" s="347">
        <f ca="1"/>
        <v>0</v>
      </c>
      <c r="U52" s="347">
        <f ca="1"/>
        <v>83100</v>
      </c>
      <c r="V52">
        <f ca="1"/>
        <v>0</v>
      </c>
      <c r="W52" s="364">
        <f ca="1"/>
        <v>91100</v>
      </c>
      <c r="X52">
        <f ca="1"/>
        <v>0</v>
      </c>
      <c r="Y52" t="e">
        <f ca="1"/>
        <v>#VALUE!</v>
      </c>
      <c r="Z52" t="str">
        <f ca="1"/>
        <v>D</v>
      </c>
      <c r="AA52">
        <f ca="1"/>
        <v>0</v>
      </c>
      <c r="AB52">
        <f ca="1"/>
        <v>0</v>
      </c>
      <c r="AC52" t="str">
        <f ca="1"/>
        <v>No</v>
      </c>
    </row>
    <row r="53" spans="1:29">
      <c r="A53" t="str">
        <f ca="1"/>
        <v>UNIT</v>
      </c>
      <c r="B53">
        <f ca="1"/>
        <v>0</v>
      </c>
      <c r="C53" t="str">
        <f ca="1"/>
        <v>YS</v>
      </c>
      <c r="D53" t="str">
        <f ca="1"/>
        <v>MEL</v>
      </c>
      <c r="E53">
        <f ca="1"/>
        <v>550080</v>
      </c>
      <c r="F53" t="str">
        <f ca="1"/>
        <v>Highlight House, 22-24 Great Portland Street</v>
      </c>
      <c r="G53" t="str">
        <f ca="1"/>
        <v>Fourth Floor</v>
      </c>
      <c r="H53" s="346" t="str">
        <f ca="1"/>
        <v>Office</v>
      </c>
      <c r="I53">
        <f ca="1"/>
        <v>1505</v>
      </c>
      <c r="J53" t="str">
        <f ca="1"/>
        <v>Office</v>
      </c>
      <c r="K53" s="359">
        <f ca="1"/>
        <v>1500</v>
      </c>
      <c r="L53" s="359" t="str">
        <f ca="1"/>
        <v>Vacant</v>
      </c>
      <c r="M53">
        <f ca="1"/>
        <v>0</v>
      </c>
      <c r="N53" s="359">
        <f ca="1"/>
        <v>0</v>
      </c>
      <c r="O53" s="360">
        <f ca="1"/>
        <v>43354</v>
      </c>
      <c r="P53" s="347">
        <f ca="1"/>
        <v>0</v>
      </c>
      <c r="Q53">
        <f ca="1"/>
        <v>0</v>
      </c>
      <c r="R53">
        <f ca="1"/>
        <v>0</v>
      </c>
      <c r="S53" s="347">
        <f ca="1"/>
        <v>0</v>
      </c>
      <c r="T53" s="347">
        <f ca="1"/>
        <v>0</v>
      </c>
      <c r="U53" s="347">
        <f ca="1"/>
        <v>83800</v>
      </c>
      <c r="V53">
        <f ca="1"/>
        <v>0</v>
      </c>
      <c r="W53" s="364">
        <f ca="1"/>
        <v>90300</v>
      </c>
      <c r="X53">
        <f ca="1"/>
        <v>0</v>
      </c>
      <c r="Y53" t="e">
        <f ca="1"/>
        <v>#VALUE!</v>
      </c>
      <c r="Z53" t="str">
        <f ca="1"/>
        <v>D</v>
      </c>
      <c r="AA53">
        <f ca="1"/>
        <v>0</v>
      </c>
      <c r="AB53">
        <f ca="1"/>
        <v>0</v>
      </c>
      <c r="AC53" t="str">
        <f ca="1"/>
        <v>No</v>
      </c>
    </row>
    <row r="54" spans="1:29">
      <c r="A54" t="str">
        <f ca="1"/>
        <v>UNIT</v>
      </c>
      <c r="B54">
        <f ca="1"/>
        <v>0</v>
      </c>
      <c r="C54" t="str">
        <f ca="1"/>
        <v>CM</v>
      </c>
      <c r="D54" t="str">
        <f ca="1"/>
        <v>MEL</v>
      </c>
      <c r="E54">
        <f ca="1"/>
        <v>550830</v>
      </c>
      <c r="F54" t="str">
        <f ca="1"/>
        <v>42-48 Great Portland Street</v>
      </c>
      <c r="G54" t="str">
        <f ca="1"/>
        <v>Second Floor</v>
      </c>
      <c r="H54" s="346" t="str">
        <f ca="1"/>
        <v>Office</v>
      </c>
      <c r="I54">
        <f ca="1"/>
        <v>1440</v>
      </c>
      <c r="J54" t="str">
        <f ca="1"/>
        <v>Office</v>
      </c>
      <c r="K54" s="359">
        <f ca="1"/>
        <v>1500</v>
      </c>
      <c r="L54" s="359" t="str">
        <f ca="1"/>
        <v>Vacant</v>
      </c>
      <c r="M54">
        <f ca="1"/>
        <v>0</v>
      </c>
      <c r="N54" s="359">
        <f ca="1"/>
        <v>0</v>
      </c>
      <c r="O54" s="360">
        <f ca="1"/>
        <v>44593</v>
      </c>
      <c r="P54" s="347">
        <f ca="1"/>
        <v>0</v>
      </c>
      <c r="Q54">
        <f ca="1"/>
        <v>0</v>
      </c>
      <c r="R54">
        <f ca="1"/>
        <v>0</v>
      </c>
      <c r="S54" s="347">
        <f ca="1"/>
        <v>0</v>
      </c>
      <c r="T54" s="347">
        <f ca="1"/>
        <v>0</v>
      </c>
      <c r="U54" s="347">
        <f ca="1"/>
        <v>79800</v>
      </c>
      <c r="V54">
        <f ca="1"/>
        <v>0</v>
      </c>
      <c r="W54" s="364">
        <f ca="1"/>
        <v>93600</v>
      </c>
      <c r="X54">
        <f ca="1"/>
        <v>0</v>
      </c>
      <c r="Y54" t="e">
        <f ca="1"/>
        <v>#VALUE!</v>
      </c>
      <c r="Z54" t="str">
        <f ca="1"/>
        <v>D</v>
      </c>
      <c r="AA54">
        <f ca="1"/>
        <v>0</v>
      </c>
      <c r="AB54">
        <f ca="1"/>
        <v>0</v>
      </c>
      <c r="AC54" t="str">
        <f ca="1"/>
        <v>No</v>
      </c>
    </row>
    <row r="55" spans="1:29">
      <c r="A55" t="str">
        <f ca="1"/>
        <v>UNIT</v>
      </c>
      <c r="B55">
        <f ca="1"/>
        <v>0</v>
      </c>
      <c r="C55" t="str">
        <f ca="1"/>
        <v>CM</v>
      </c>
      <c r="D55" t="str">
        <f ca="1"/>
        <v>MEL</v>
      </c>
      <c r="E55">
        <f ca="1"/>
        <v>550830</v>
      </c>
      <c r="F55" t="str">
        <f ca="1"/>
        <v>42-48 Great Portland Street</v>
      </c>
      <c r="G55" t="str">
        <f ca="1"/>
        <v>Third Floor</v>
      </c>
      <c r="H55" s="346" t="str">
        <f ca="1"/>
        <v>Office</v>
      </c>
      <c r="I55">
        <f ca="1"/>
        <v>1433</v>
      </c>
      <c r="J55" t="str">
        <f ca="1"/>
        <v>Office</v>
      </c>
      <c r="K55" s="359">
        <f ca="1"/>
        <v>1500</v>
      </c>
      <c r="L55" s="359" t="str">
        <f ca="1"/>
        <v>Vacant</v>
      </c>
      <c r="M55">
        <f ca="1"/>
        <v>0</v>
      </c>
      <c r="N55" s="359">
        <f ca="1"/>
        <v>0</v>
      </c>
      <c r="O55" s="360">
        <f ca="1"/>
        <v>43313</v>
      </c>
      <c r="P55" s="347">
        <f ca="1"/>
        <v>0</v>
      </c>
      <c r="Q55">
        <f ca="1"/>
        <v>0</v>
      </c>
      <c r="R55">
        <f ca="1"/>
        <v>0</v>
      </c>
      <c r="S55" s="347">
        <f ca="1"/>
        <v>0</v>
      </c>
      <c r="T55" s="347">
        <f ca="1"/>
        <v>0</v>
      </c>
      <c r="U55" s="347">
        <f ca="1"/>
        <v>79750</v>
      </c>
      <c r="V55">
        <f ca="1"/>
        <v>0</v>
      </c>
      <c r="W55" s="364">
        <f ca="1"/>
        <v>93100</v>
      </c>
      <c r="X55">
        <f ca="1"/>
        <v>0</v>
      </c>
      <c r="Y55" t="e">
        <f ca="1"/>
        <v>#VALUE!</v>
      </c>
      <c r="Z55" t="str">
        <f ca="1"/>
        <v>D</v>
      </c>
      <c r="AA55">
        <f ca="1"/>
        <v>0</v>
      </c>
      <c r="AB55">
        <f ca="1"/>
        <v>0</v>
      </c>
      <c r="AC55" t="str">
        <f ca="1"/>
        <v>No</v>
      </c>
    </row>
    <row r="56" spans="1:29">
      <c r="A56" t="str">
        <f ca="1"/>
        <v>UNIT</v>
      </c>
      <c r="B56">
        <f ca="1"/>
        <v>0</v>
      </c>
      <c r="C56" t="str">
        <f ca="1"/>
        <v>CM</v>
      </c>
      <c r="D56" t="str">
        <f ca="1"/>
        <v>MEL</v>
      </c>
      <c r="E56">
        <f ca="1"/>
        <v>550830</v>
      </c>
      <c r="F56" t="str">
        <f ca="1"/>
        <v>42-48 Great Portland Street</v>
      </c>
      <c r="G56" t="str">
        <f ca="1"/>
        <v>Fourth Floor</v>
      </c>
      <c r="H56" s="346" t="str">
        <f ca="1"/>
        <v>Office</v>
      </c>
      <c r="I56">
        <f ca="1"/>
        <v>1480</v>
      </c>
      <c r="J56" t="str">
        <f ca="1"/>
        <v>Office</v>
      </c>
      <c r="K56" s="359">
        <f ca="1"/>
        <v>1500</v>
      </c>
      <c r="L56" s="359" t="str">
        <f ca="1"/>
        <v>Vacant</v>
      </c>
      <c r="M56">
        <f ca="1"/>
        <v>0</v>
      </c>
      <c r="N56" s="359">
        <f ca="1"/>
        <v>0</v>
      </c>
      <c r="O56" s="360">
        <f ca="1"/>
        <v>44409</v>
      </c>
      <c r="P56" s="347">
        <f ca="1"/>
        <v>0</v>
      </c>
      <c r="Q56">
        <f ca="1"/>
        <v>0</v>
      </c>
      <c r="R56">
        <f ca="1"/>
        <v>0</v>
      </c>
      <c r="S56" s="347">
        <f ca="1"/>
        <v>0</v>
      </c>
      <c r="T56" s="347">
        <f ca="1"/>
        <v>0</v>
      </c>
      <c r="U56" s="347">
        <f ca="1"/>
        <v>79800</v>
      </c>
      <c r="V56">
        <f ca="1"/>
        <v>0</v>
      </c>
      <c r="W56" s="364">
        <f ca="1"/>
        <v>96200</v>
      </c>
      <c r="X56">
        <f ca="1"/>
        <v>0</v>
      </c>
      <c r="Y56" t="e">
        <f ca="1"/>
        <v>#VALUE!</v>
      </c>
      <c r="Z56" t="str">
        <f ca="1"/>
        <v>E</v>
      </c>
      <c r="AA56">
        <f ca="1"/>
        <v>0</v>
      </c>
      <c r="AB56">
        <f ca="1"/>
        <v>0</v>
      </c>
      <c r="AC56" t="str">
        <f ca="1"/>
        <v>No</v>
      </c>
    </row>
    <row r="57" spans="1:29">
      <c r="A57" t="str">
        <f ca="1"/>
        <v>UNIT</v>
      </c>
      <c r="B57">
        <f ca="1"/>
        <v>0</v>
      </c>
      <c r="C57" t="str">
        <f ca="1"/>
        <v>CM</v>
      </c>
      <c r="D57" t="str">
        <f ca="1"/>
        <v>MEL</v>
      </c>
      <c r="E57">
        <f ca="1"/>
        <v>550830</v>
      </c>
      <c r="F57" t="str">
        <f ca="1"/>
        <v>42-48 Great Portland Street</v>
      </c>
      <c r="G57" t="str">
        <f ca="1"/>
        <v>Fifth Floor</v>
      </c>
      <c r="H57" s="346" t="str">
        <f ca="1"/>
        <v>Office</v>
      </c>
      <c r="I57">
        <f ca="1"/>
        <v>784</v>
      </c>
      <c r="J57" t="str">
        <f ca="1"/>
        <v>Office</v>
      </c>
      <c r="K57" s="359">
        <f ca="1"/>
        <v>750</v>
      </c>
      <c r="L57" s="359" t="str">
        <f ca="1"/>
        <v>Vacant</v>
      </c>
      <c r="M57">
        <f ca="1"/>
        <v>0</v>
      </c>
      <c r="N57" s="359">
        <f ca="1"/>
        <v>0</v>
      </c>
      <c r="O57" s="360">
        <f ca="1"/>
        <v>44734</v>
      </c>
      <c r="P57" s="347">
        <f ca="1"/>
        <v>0</v>
      </c>
      <c r="Q57">
        <f ca="1"/>
        <v>0</v>
      </c>
      <c r="R57">
        <f ca="1"/>
        <v>0</v>
      </c>
      <c r="S57" s="347">
        <f ca="1"/>
        <v>0</v>
      </c>
      <c r="T57" s="347">
        <f ca="1"/>
        <v>0</v>
      </c>
      <c r="U57" s="347">
        <f ca="1"/>
        <v>39030</v>
      </c>
      <c r="V57">
        <f ca="1"/>
        <v>0</v>
      </c>
      <c r="W57" s="364">
        <f ca="1"/>
        <v>49000</v>
      </c>
      <c r="X57">
        <f ca="1"/>
        <v>0</v>
      </c>
      <c r="Y57" t="e">
        <f ca="1"/>
        <v>#VALUE!</v>
      </c>
      <c r="Z57" t="str">
        <f ca="1"/>
        <v>D</v>
      </c>
      <c r="AA57">
        <f ca="1"/>
        <v>0</v>
      </c>
      <c r="AB57">
        <f ca="1"/>
        <v>0</v>
      </c>
      <c r="AC57" t="str">
        <f ca="1"/>
        <v>No</v>
      </c>
    </row>
    <row r="58" spans="1:29">
      <c r="A58" t="str">
        <f ca="1"/>
        <v>UNIT</v>
      </c>
      <c r="B58">
        <f ca="1"/>
        <v>0</v>
      </c>
      <c r="C58" t="str">
        <f ca="1"/>
        <v>CD</v>
      </c>
      <c r="D58" t="str">
        <f ca="1"/>
        <v>MEL</v>
      </c>
      <c r="E58">
        <f ca="1"/>
        <v>550990</v>
      </c>
      <c r="F58" t="str">
        <f ca="1"/>
        <v>50 Great Portland Street</v>
      </c>
      <c r="G58" t="str">
        <f ca="1"/>
        <v>Second Floor</v>
      </c>
      <c r="H58" s="346" t="str">
        <f ca="1"/>
        <v>Office</v>
      </c>
      <c r="I58">
        <f ca="1"/>
        <v>304</v>
      </c>
      <c r="J58" t="str">
        <f ca="1"/>
        <v>Office</v>
      </c>
      <c r="K58" s="359">
        <f ca="1"/>
        <v>250</v>
      </c>
      <c r="L58" s="359" t="str">
        <f ca="1"/>
        <v>Vacant</v>
      </c>
      <c r="M58">
        <f ca="1"/>
        <v>0</v>
      </c>
      <c r="N58" s="359">
        <f ca="1"/>
        <v>0</v>
      </c>
      <c r="O58" s="360">
        <f ca="1"/>
        <v>43256</v>
      </c>
      <c r="P58" s="347">
        <f ca="1"/>
        <v>0</v>
      </c>
      <c r="Q58">
        <f ca="1"/>
        <v>0</v>
      </c>
      <c r="R58">
        <f ca="1"/>
        <v>0</v>
      </c>
      <c r="S58" s="347">
        <f ca="1"/>
        <v>0</v>
      </c>
      <c r="T58" s="347">
        <f ca="1"/>
        <v>0</v>
      </c>
      <c r="U58" s="347">
        <f ca="1"/>
        <v>15800</v>
      </c>
      <c r="V58">
        <f ca="1"/>
        <v>0</v>
      </c>
      <c r="W58" s="364">
        <f ca="1"/>
        <v>16700</v>
      </c>
      <c r="X58">
        <f ca="1"/>
        <v>0</v>
      </c>
      <c r="Y58" t="e">
        <f ca="1"/>
        <v>#VALUE!</v>
      </c>
      <c r="Z58">
        <f ca="1"/>
        <v>0</v>
      </c>
      <c r="AA58">
        <f ca="1"/>
        <v>0</v>
      </c>
      <c r="AB58">
        <f ca="1"/>
        <v>0</v>
      </c>
      <c r="AC58" t="str">
        <f ca="1"/>
        <v>No</v>
      </c>
    </row>
    <row r="59" spans="1:29">
      <c r="A59" t="str">
        <f ca="1"/>
        <v>UNIT</v>
      </c>
      <c r="B59">
        <f ca="1"/>
        <v>0</v>
      </c>
      <c r="C59" t="str">
        <f ca="1"/>
        <v>YS</v>
      </c>
      <c r="D59" t="str">
        <f ca="1"/>
        <v>MEL</v>
      </c>
      <c r="E59">
        <f ca="1"/>
        <v>550700</v>
      </c>
      <c r="F59" t="str">
        <f ca="1"/>
        <v>51 Great Portland Street</v>
      </c>
      <c r="G59" t="str">
        <f ca="1"/>
        <v>First Floor</v>
      </c>
      <c r="H59" s="346" t="str">
        <f ca="1"/>
        <v>Office</v>
      </c>
      <c r="I59">
        <f ca="1"/>
        <v>325</v>
      </c>
      <c r="J59" t="str">
        <f ca="1"/>
        <v>Office</v>
      </c>
      <c r="K59" s="359">
        <f ca="1"/>
        <v>500</v>
      </c>
      <c r="L59" s="359" t="str">
        <f ca="1"/>
        <v>Vacant</v>
      </c>
      <c r="M59">
        <f ca="1"/>
        <v>0</v>
      </c>
      <c r="N59" s="359">
        <f ca="1"/>
        <v>0</v>
      </c>
      <c r="O59" s="360">
        <f ca="1"/>
        <v>45282</v>
      </c>
      <c r="P59" s="347">
        <f ca="1"/>
        <v>0</v>
      </c>
      <c r="Q59">
        <f ca="1"/>
        <v>0</v>
      </c>
      <c r="R59">
        <f ca="1"/>
        <v>0</v>
      </c>
      <c r="S59" s="347">
        <f ca="1"/>
        <v>0</v>
      </c>
      <c r="T59" s="347">
        <f ca="1"/>
        <v>0</v>
      </c>
      <c r="U59" s="347">
        <f ca="1"/>
        <v>17100</v>
      </c>
      <c r="V59">
        <f ca="1"/>
        <v>0</v>
      </c>
      <c r="W59" s="364">
        <f ca="1"/>
        <v>17100</v>
      </c>
      <c r="X59">
        <f ca="1"/>
        <v>0</v>
      </c>
      <c r="Y59" t="e">
        <f ca="1"/>
        <v>#VALUE!</v>
      </c>
      <c r="Z59" t="str">
        <f ca="1"/>
        <v>E</v>
      </c>
      <c r="AA59">
        <f ca="1"/>
        <v>0</v>
      </c>
      <c r="AB59">
        <f ca="1"/>
        <v>0</v>
      </c>
      <c r="AC59" t="str">
        <f ca="1"/>
        <v>No</v>
      </c>
    </row>
    <row r="60" spans="1:29">
      <c r="A60" t="str">
        <f ca="1"/>
        <v>UNIT</v>
      </c>
      <c r="B60">
        <f ca="1"/>
        <v>0</v>
      </c>
      <c r="C60" t="str">
        <f ca="1"/>
        <v>YS</v>
      </c>
      <c r="D60" t="str">
        <f ca="1"/>
        <v>MEL</v>
      </c>
      <c r="E60">
        <f ca="1"/>
        <v>550700</v>
      </c>
      <c r="F60" t="str">
        <f ca="1"/>
        <v>51 Great Portland Street</v>
      </c>
      <c r="G60" t="str">
        <f ca="1"/>
        <v>Third Floor</v>
      </c>
      <c r="H60" s="346" t="str">
        <f ca="1"/>
        <v>Office</v>
      </c>
      <c r="I60">
        <f ca="1"/>
        <v>325</v>
      </c>
      <c r="J60" t="str">
        <f ca="1"/>
        <v>Office</v>
      </c>
      <c r="K60" s="359">
        <f ca="1"/>
        <v>500</v>
      </c>
      <c r="L60" s="359" t="str">
        <f ca="1"/>
        <v>Vacant</v>
      </c>
      <c r="M60">
        <f ca="1"/>
        <v>0</v>
      </c>
      <c r="N60" s="359">
        <f ca="1"/>
        <v>0</v>
      </c>
      <c r="O60" s="360">
        <f ca="1"/>
        <v>44714</v>
      </c>
      <c r="P60" s="347">
        <f ca="1"/>
        <v>0</v>
      </c>
      <c r="Q60">
        <f ca="1"/>
        <v>0</v>
      </c>
      <c r="R60">
        <f ca="1"/>
        <v>0</v>
      </c>
      <c r="S60" s="347">
        <f ca="1"/>
        <v>0</v>
      </c>
      <c r="T60" s="347">
        <f ca="1"/>
        <v>0</v>
      </c>
      <c r="U60" s="347">
        <f ca="1"/>
        <v>16300</v>
      </c>
      <c r="V60">
        <f ca="1"/>
        <v>0</v>
      </c>
      <c r="W60" s="364">
        <f ca="1"/>
        <v>16300</v>
      </c>
      <c r="X60">
        <f ca="1"/>
        <v>0</v>
      </c>
      <c r="Y60" t="e">
        <f ca="1"/>
        <v>#VALUE!</v>
      </c>
      <c r="Z60" t="str">
        <f ca="1"/>
        <v>C</v>
      </c>
      <c r="AA60">
        <f ca="1"/>
        <v>0</v>
      </c>
      <c r="AB60">
        <f ca="1"/>
        <v>0</v>
      </c>
      <c r="AC60" t="str">
        <f ca="1"/>
        <v>No</v>
      </c>
    </row>
    <row r="61" spans="1:29">
      <c r="A61" t="str">
        <f ca="1"/>
        <v>UNIT</v>
      </c>
      <c r="B61">
        <f ca="1"/>
        <v>0</v>
      </c>
      <c r="C61" t="str">
        <f ca="1"/>
        <v>YS</v>
      </c>
      <c r="D61" t="str">
        <f ca="1"/>
        <v>MEL</v>
      </c>
      <c r="E61">
        <f ca="1"/>
        <v>550710</v>
      </c>
      <c r="F61" t="str">
        <f ca="1"/>
        <v>53 Great Portland Street</v>
      </c>
      <c r="G61" t="str">
        <f ca="1"/>
        <v>First Floor</v>
      </c>
      <c r="H61" s="346" t="str">
        <f ca="1"/>
        <v>Office</v>
      </c>
      <c r="I61">
        <f ca="1"/>
        <v>370</v>
      </c>
      <c r="J61" t="str">
        <f ca="1"/>
        <v>Office</v>
      </c>
      <c r="K61" s="359">
        <f ca="1"/>
        <v>500</v>
      </c>
      <c r="L61" s="359" t="str">
        <f ca="1"/>
        <v>Vacant</v>
      </c>
      <c r="M61">
        <f ca="1"/>
        <v>0</v>
      </c>
      <c r="N61" s="359">
        <f ca="1"/>
        <v>0</v>
      </c>
      <c r="O61" s="360">
        <f ca="1"/>
        <v>43738</v>
      </c>
      <c r="P61" s="347">
        <f ca="1"/>
        <v>0</v>
      </c>
      <c r="Q61">
        <f ca="1"/>
        <v>0</v>
      </c>
      <c r="R61">
        <f ca="1"/>
        <v>0</v>
      </c>
      <c r="S61" s="347">
        <f ca="1"/>
        <v>0</v>
      </c>
      <c r="T61" s="347">
        <f ca="1"/>
        <v>0</v>
      </c>
      <c r="U61" s="347">
        <f ca="1"/>
        <v>18500</v>
      </c>
      <c r="V61">
        <f ca="1"/>
        <v>0</v>
      </c>
      <c r="W61" s="364">
        <f ca="1"/>
        <v>18500</v>
      </c>
      <c r="X61">
        <f ca="1"/>
        <v>0</v>
      </c>
      <c r="Y61" t="e">
        <f ca="1"/>
        <v>#VALUE!</v>
      </c>
      <c r="Z61" t="str">
        <f ca="1"/>
        <v>E</v>
      </c>
      <c r="AA61">
        <f ca="1"/>
        <v>0</v>
      </c>
      <c r="AB61">
        <f ca="1"/>
        <v>0</v>
      </c>
      <c r="AC61" t="str">
        <f ca="1"/>
        <v>No</v>
      </c>
    </row>
    <row r="62" spans="1:29">
      <c r="A62" t="str">
        <f ca="1"/>
        <v>UNIT</v>
      </c>
      <c r="B62">
        <f ca="1"/>
        <v>0</v>
      </c>
      <c r="C62" t="str">
        <f ca="1"/>
        <v>YS</v>
      </c>
      <c r="D62" t="str">
        <f ca="1"/>
        <v>MEL</v>
      </c>
      <c r="E62">
        <f ca="1"/>
        <v>550710</v>
      </c>
      <c r="F62" t="str">
        <f ca="1"/>
        <v>53 Great Portland Street</v>
      </c>
      <c r="G62" t="str">
        <f ca="1"/>
        <v>Second Floor</v>
      </c>
      <c r="H62" s="346" t="str">
        <f ca="1"/>
        <v>Office</v>
      </c>
      <c r="I62">
        <f ca="1"/>
        <v>325</v>
      </c>
      <c r="J62" t="str">
        <f ca="1"/>
        <v>Office</v>
      </c>
      <c r="K62" s="359">
        <f ca="1"/>
        <v>500</v>
      </c>
      <c r="L62" s="359" t="str">
        <f ca="1"/>
        <v>Vacant</v>
      </c>
      <c r="M62">
        <f ca="1"/>
        <v>0</v>
      </c>
      <c r="N62" s="359">
        <f ca="1"/>
        <v>0</v>
      </c>
      <c r="O62" s="360">
        <f ca="1"/>
        <v>45379</v>
      </c>
      <c r="P62" s="347">
        <f ca="1"/>
        <v>0</v>
      </c>
      <c r="Q62">
        <f ca="1"/>
        <v>0</v>
      </c>
      <c r="R62">
        <f ca="1"/>
        <v>0</v>
      </c>
      <c r="S62" s="347">
        <f ca="1"/>
        <v>0</v>
      </c>
      <c r="T62" s="347">
        <f ca="1"/>
        <v>0</v>
      </c>
      <c r="U62" s="347">
        <f ca="1"/>
        <v>17000</v>
      </c>
      <c r="V62">
        <f ca="1"/>
        <v>0</v>
      </c>
      <c r="W62" s="364">
        <f ca="1"/>
        <v>17062</v>
      </c>
      <c r="X62">
        <f ca="1"/>
        <v>0</v>
      </c>
      <c r="Y62" t="e">
        <f ca="1"/>
        <v>#VALUE!</v>
      </c>
      <c r="Z62" t="str">
        <f ca="1"/>
        <v>E</v>
      </c>
      <c r="AA62">
        <f ca="1"/>
        <v>0</v>
      </c>
      <c r="AB62">
        <f ca="1"/>
        <v>0</v>
      </c>
      <c r="AC62" t="str">
        <f ca="1"/>
        <v>No</v>
      </c>
    </row>
    <row r="63" spans="1:29">
      <c r="A63" t="str">
        <f ca="1"/>
        <v>UNIT</v>
      </c>
      <c r="B63">
        <f ca="1"/>
        <v>0</v>
      </c>
      <c r="C63" t="str">
        <f ca="1"/>
        <v>YS</v>
      </c>
      <c r="D63" t="str">
        <f ca="1"/>
        <v>MEL</v>
      </c>
      <c r="E63">
        <f ca="1"/>
        <v>550710</v>
      </c>
      <c r="F63" t="str">
        <f ca="1"/>
        <v>53 Great Portland Street</v>
      </c>
      <c r="G63" t="str">
        <f ca="1"/>
        <v>Third Floor</v>
      </c>
      <c r="H63" s="346" t="str">
        <f ca="1"/>
        <v>Office</v>
      </c>
      <c r="I63">
        <f ca="1"/>
        <v>321</v>
      </c>
      <c r="J63" t="str">
        <f ca="1"/>
        <v>Office</v>
      </c>
      <c r="K63" s="359">
        <f ca="1"/>
        <v>500</v>
      </c>
      <c r="L63" s="359" t="str">
        <f ca="1"/>
        <v>Vacant</v>
      </c>
      <c r="M63">
        <f ca="1"/>
        <v>0</v>
      </c>
      <c r="N63" s="359">
        <f ca="1"/>
        <v>0</v>
      </c>
      <c r="O63" s="360">
        <f ca="1"/>
        <v>45170</v>
      </c>
      <c r="P63" s="347">
        <f ca="1"/>
        <v>0</v>
      </c>
      <c r="Q63">
        <f ca="1"/>
        <v>0</v>
      </c>
      <c r="R63">
        <f ca="1"/>
        <v>0</v>
      </c>
      <c r="S63" s="347">
        <f ca="1"/>
        <v>0</v>
      </c>
      <c r="T63" s="347">
        <f ca="1"/>
        <v>0</v>
      </c>
      <c r="U63" s="347">
        <f ca="1"/>
        <v>17000</v>
      </c>
      <c r="V63">
        <f ca="1"/>
        <v>0</v>
      </c>
      <c r="W63" s="364">
        <f ca="1"/>
        <v>16852</v>
      </c>
      <c r="X63">
        <f ca="1"/>
        <v>0</v>
      </c>
      <c r="Y63" t="e">
        <f ca="1"/>
        <v>#VALUE!</v>
      </c>
      <c r="Z63" t="str">
        <f ca="1"/>
        <v>E</v>
      </c>
      <c r="AA63">
        <f ca="1"/>
        <v>0</v>
      </c>
      <c r="AB63">
        <f ca="1"/>
        <v>0</v>
      </c>
      <c r="AC63" t="str">
        <f ca="1"/>
        <v>No</v>
      </c>
    </row>
    <row r="64" spans="1:29">
      <c r="A64" t="str">
        <f ca="1"/>
        <v>UNIT</v>
      </c>
      <c r="B64">
        <f ca="1"/>
        <v>0</v>
      </c>
      <c r="C64" t="str">
        <f ca="1"/>
        <v>CM</v>
      </c>
      <c r="D64" t="str">
        <f ca="1"/>
        <v>MEL</v>
      </c>
      <c r="E64">
        <f ca="1"/>
        <v>550090</v>
      </c>
      <c r="F64" t="str">
        <f ca="1"/>
        <v>76 Great Portland Street</v>
      </c>
      <c r="G64" t="str">
        <f ca="1"/>
        <v>First to Fourth Floor</v>
      </c>
      <c r="H64" s="346" t="str">
        <f ca="1"/>
        <v>Office</v>
      </c>
      <c r="I64">
        <f ca="1"/>
        <v>1765</v>
      </c>
      <c r="J64" t="str">
        <f ca="1"/>
        <v>Office</v>
      </c>
      <c r="K64" s="359">
        <f ca="1"/>
        <v>1750</v>
      </c>
      <c r="L64" s="359" t="str">
        <f ca="1"/>
        <v>Vacant</v>
      </c>
      <c r="M64">
        <f ca="1"/>
        <v>0</v>
      </c>
      <c r="N64" s="359">
        <f ca="1"/>
        <v>0</v>
      </c>
      <c r="O64" s="360">
        <f ca="1"/>
        <v>43256</v>
      </c>
      <c r="P64" s="347">
        <f ca="1"/>
        <v>0</v>
      </c>
      <c r="Q64">
        <f ca="1"/>
        <v>0</v>
      </c>
      <c r="R64">
        <f ca="1"/>
        <v>0</v>
      </c>
      <c r="S64" s="347">
        <f ca="1"/>
        <v>0</v>
      </c>
      <c r="T64" s="347">
        <f ca="1"/>
        <v>0</v>
      </c>
      <c r="U64" s="347">
        <f ca="1"/>
        <v>90000</v>
      </c>
      <c r="V64">
        <f ca="1"/>
        <v>0</v>
      </c>
      <c r="W64" s="364">
        <f ca="1"/>
        <v>85000</v>
      </c>
      <c r="X64">
        <f ca="1"/>
        <v>0</v>
      </c>
      <c r="Y64" t="e">
        <f ca="1"/>
        <v>#VALUE!</v>
      </c>
      <c r="Z64">
        <f ca="1"/>
        <v>0</v>
      </c>
      <c r="AA64">
        <f ca="1"/>
        <v>0</v>
      </c>
      <c r="AB64">
        <f ca="1"/>
        <v>0</v>
      </c>
      <c r="AC64" t="str">
        <f ca="1"/>
        <v>No</v>
      </c>
    </row>
    <row r="65" spans="1:29">
      <c r="A65" t="str">
        <f ca="1"/>
        <v>UNIT</v>
      </c>
      <c r="B65">
        <f ca="1"/>
        <v>0</v>
      </c>
      <c r="C65" t="str">
        <f ca="1"/>
        <v>YS</v>
      </c>
      <c r="D65" t="str">
        <f ca="1"/>
        <v>MEL</v>
      </c>
      <c r="E65">
        <f ca="1"/>
        <v>550180</v>
      </c>
      <c r="F65" t="str">
        <f ca="1"/>
        <v>Great Titchfield House,  14-18 Great Titchfield Street</v>
      </c>
      <c r="G65" t="str">
        <f ca="1"/>
        <v>Fourth Floor</v>
      </c>
      <c r="H65" s="346" t="str">
        <f ca="1"/>
        <v>Showroom/ Office</v>
      </c>
      <c r="I65">
        <f ca="1"/>
        <v>1992</v>
      </c>
      <c r="J65" t="str">
        <f ca="1"/>
        <v>Showroom/ Office</v>
      </c>
      <c r="K65" s="359">
        <f ca="1"/>
        <v>2000</v>
      </c>
      <c r="L65" s="359" t="str">
        <f ca="1"/>
        <v>Vacant</v>
      </c>
      <c r="M65">
        <f ca="1"/>
        <v>0</v>
      </c>
      <c r="N65" s="359">
        <f ca="1"/>
        <v>0</v>
      </c>
      <c r="O65" s="360">
        <f ca="1"/>
        <v>45596</v>
      </c>
      <c r="P65" s="347">
        <f ca="1"/>
        <v>0</v>
      </c>
      <c r="Q65">
        <f ca="1"/>
        <v>0</v>
      </c>
      <c r="R65">
        <f ca="1"/>
        <v>0</v>
      </c>
      <c r="S65" s="347">
        <f ca="1"/>
        <v>0</v>
      </c>
      <c r="T65" s="347">
        <f ca="1"/>
        <v>0</v>
      </c>
      <c r="U65" s="347">
        <f ca="1"/>
        <v>117300</v>
      </c>
      <c r="V65">
        <f ca="1"/>
        <v>0</v>
      </c>
      <c r="W65" s="364">
        <f ca="1"/>
        <v>130325</v>
      </c>
      <c r="X65">
        <f ca="1"/>
        <v>0</v>
      </c>
      <c r="Y65" t="e">
        <f ca="1"/>
        <v>#VALUE!</v>
      </c>
      <c r="Z65" t="str">
        <f ca="1"/>
        <v>D</v>
      </c>
      <c r="AA65">
        <f ca="1"/>
        <v>0</v>
      </c>
      <c r="AB65">
        <f ca="1"/>
        <v>0</v>
      </c>
      <c r="AC65" t="str">
        <f ca="1"/>
        <v>No</v>
      </c>
    </row>
    <row r="66" spans="1:29">
      <c r="A66" t="str">
        <f ca="1"/>
        <v>UNIT</v>
      </c>
      <c r="B66">
        <f ca="1"/>
        <v>0</v>
      </c>
      <c r="C66" t="str">
        <f ca="1"/>
        <v>TH</v>
      </c>
      <c r="D66" t="str">
        <f ca="1"/>
        <v>MEL</v>
      </c>
      <c r="E66">
        <f ca="1"/>
        <v>550420</v>
      </c>
      <c r="F66" t="str">
        <f ca="1"/>
        <v>Golderbrock House,  15-19 Great Titchfield Street</v>
      </c>
      <c r="G66" t="str">
        <f ca="1"/>
        <v>First Floor (Rear)</v>
      </c>
      <c r="H66" s="346" t="str">
        <f ca="1"/>
        <v>Office</v>
      </c>
      <c r="I66">
        <f ca="1"/>
        <v>533</v>
      </c>
      <c r="J66" t="str">
        <f ca="1"/>
        <v>Office</v>
      </c>
      <c r="K66" s="359">
        <f ca="1"/>
        <v>500</v>
      </c>
      <c r="L66" s="359" t="str">
        <f ca="1"/>
        <v>Vacant</v>
      </c>
      <c r="M66">
        <f ca="1"/>
        <v>0</v>
      </c>
      <c r="N66" s="359">
        <f ca="1"/>
        <v>0</v>
      </c>
      <c r="O66" s="360">
        <f ca="1"/>
        <v>44536</v>
      </c>
      <c r="P66" s="347">
        <f ca="1"/>
        <v>0</v>
      </c>
      <c r="Q66">
        <f ca="1"/>
        <v>0</v>
      </c>
      <c r="R66">
        <f ca="1"/>
        <v>0</v>
      </c>
      <c r="S66" s="347">
        <f ca="1"/>
        <v>0</v>
      </c>
      <c r="T66" s="347">
        <f ca="1"/>
        <v>0</v>
      </c>
      <c r="U66" s="347">
        <f ca="1"/>
        <v>28900</v>
      </c>
      <c r="V66">
        <f ca="1"/>
        <v>0</v>
      </c>
      <c r="W66" s="364">
        <f ca="1"/>
        <v>29300</v>
      </c>
      <c r="X66">
        <f ca="1"/>
        <v>0</v>
      </c>
      <c r="Y66" t="e">
        <f ca="1"/>
        <v>#VALUE!</v>
      </c>
      <c r="Z66" t="str">
        <f ca="1"/>
        <v>C</v>
      </c>
      <c r="AA66">
        <f ca="1"/>
        <v>0</v>
      </c>
      <c r="AB66">
        <f ca="1"/>
        <v>0</v>
      </c>
      <c r="AC66" t="str">
        <f ca="1"/>
        <v>No</v>
      </c>
    </row>
    <row r="67" spans="1:29">
      <c r="A67" t="str">
        <f ca="1"/>
        <v>UNIT</v>
      </c>
      <c r="B67">
        <f ca="1"/>
        <v>0</v>
      </c>
      <c r="C67" t="str">
        <f ca="1"/>
        <v>TH</v>
      </c>
      <c r="D67" t="str">
        <f ca="1"/>
        <v>MEL</v>
      </c>
      <c r="E67">
        <f ca="1"/>
        <v>550190</v>
      </c>
      <c r="F67" t="str">
        <f ca="1"/>
        <v>Circus House,  21 Great Titchfield Street</v>
      </c>
      <c r="G67" t="str">
        <f ca="1"/>
        <v>Ground Floor (West)</v>
      </c>
      <c r="H67" s="346" t="str">
        <f ca="1"/>
        <v>Office</v>
      </c>
      <c r="I67">
        <f ca="1"/>
        <v>1946</v>
      </c>
      <c r="J67" t="str">
        <f ca="1"/>
        <v>Office</v>
      </c>
      <c r="K67" s="359">
        <f ca="1"/>
        <v>2000</v>
      </c>
      <c r="L67" s="359" t="str">
        <f ca="1"/>
        <v>Vacant</v>
      </c>
      <c r="M67">
        <f ca="1"/>
        <v>0</v>
      </c>
      <c r="N67" s="359">
        <f ca="1"/>
        <v>0</v>
      </c>
      <c r="O67" s="360">
        <f ca="1"/>
        <v>45154</v>
      </c>
      <c r="P67" s="347">
        <f ca="1"/>
        <v>0</v>
      </c>
      <c r="Q67">
        <f ca="1"/>
        <v>0</v>
      </c>
      <c r="R67">
        <f ca="1"/>
        <v>0</v>
      </c>
      <c r="S67" s="347">
        <f ca="1"/>
        <v>0</v>
      </c>
      <c r="T67" s="347">
        <f ca="1"/>
        <v>0</v>
      </c>
      <c r="U67" s="347">
        <f ca="1"/>
        <v>113900</v>
      </c>
      <c r="V67">
        <f ca="1"/>
        <v>0</v>
      </c>
      <c r="W67" s="364">
        <f ca="1"/>
        <v>116800</v>
      </c>
      <c r="X67">
        <f ca="1"/>
        <v>0</v>
      </c>
      <c r="Y67" t="e">
        <f ca="1"/>
        <v>#VALUE!</v>
      </c>
      <c r="Z67" t="str">
        <f ca="1"/>
        <v>E</v>
      </c>
      <c r="AA67">
        <f ca="1"/>
        <v>0</v>
      </c>
      <c r="AB67">
        <f ca="1"/>
        <v>0</v>
      </c>
      <c r="AC67" t="str">
        <f ca="1"/>
        <v>No</v>
      </c>
    </row>
    <row r="68" spans="1:29">
      <c r="A68" t="str">
        <f ca="1"/>
        <v>UNIT</v>
      </c>
      <c r="B68">
        <f ca="1"/>
        <v>0</v>
      </c>
      <c r="C68" t="str">
        <f ca="1"/>
        <v>TH</v>
      </c>
      <c r="D68" t="str">
        <f ca="1"/>
        <v>MEL</v>
      </c>
      <c r="E68">
        <f ca="1"/>
        <v>550570</v>
      </c>
      <c r="F68" t="str">
        <f ca="1"/>
        <v>Moray House, 23-35 Great Titchfield Street &amp; 63-65 Mortimer Street</v>
      </c>
      <c r="G68" t="str">
        <f ca="1"/>
        <v>Suite 1.1 First Floor</v>
      </c>
      <c r="H68" s="346" t="str">
        <f ca="1"/>
        <v>Office</v>
      </c>
      <c r="I68">
        <f ca="1"/>
        <v>1443</v>
      </c>
      <c r="J68" t="str">
        <f ca="1"/>
        <v>Office</v>
      </c>
      <c r="K68" s="359">
        <f ca="1"/>
        <v>1500</v>
      </c>
      <c r="L68" s="359" t="str">
        <f ca="1"/>
        <v>Vacant</v>
      </c>
      <c r="M68">
        <f ca="1"/>
        <v>0</v>
      </c>
      <c r="N68" s="359">
        <f ca="1"/>
        <v>0</v>
      </c>
      <c r="O68" s="360">
        <f ca="1"/>
        <v>44121</v>
      </c>
      <c r="P68" s="347">
        <f ca="1"/>
        <v>0</v>
      </c>
      <c r="Q68">
        <f ca="1"/>
        <v>0</v>
      </c>
      <c r="R68">
        <f ca="1"/>
        <v>0</v>
      </c>
      <c r="S68" s="347">
        <f ca="1"/>
        <v>0</v>
      </c>
      <c r="T68" s="347">
        <f ca="1"/>
        <v>0</v>
      </c>
      <c r="U68" s="347">
        <f ca="1"/>
        <v>87800</v>
      </c>
      <c r="V68">
        <f ca="1"/>
        <v>0</v>
      </c>
      <c r="W68" s="364">
        <f ca="1"/>
        <v>90200</v>
      </c>
      <c r="X68">
        <f ca="1"/>
        <v>0</v>
      </c>
      <c r="Y68" t="e">
        <f ca="1"/>
        <v>#VALUE!</v>
      </c>
      <c r="Z68" t="str">
        <f ca="1"/>
        <v>D</v>
      </c>
      <c r="AA68">
        <f ca="1"/>
        <v>0</v>
      </c>
      <c r="AB68">
        <f ca="1"/>
        <v>0</v>
      </c>
      <c r="AC68" t="str">
        <f ca="1"/>
        <v>No</v>
      </c>
    </row>
    <row r="69" spans="1:29">
      <c r="A69" t="str">
        <f ca="1"/>
        <v>UNIT</v>
      </c>
      <c r="B69">
        <f ca="1"/>
        <v>0</v>
      </c>
      <c r="C69" t="str">
        <f ca="1"/>
        <v>TH</v>
      </c>
      <c r="D69" t="str">
        <f ca="1"/>
        <v>MEL</v>
      </c>
      <c r="E69">
        <f ca="1"/>
        <v>550570</v>
      </c>
      <c r="F69" t="str">
        <f ca="1"/>
        <v>Moray House, 23-35 Great Titchfield Street &amp; 63-65 Mortimer Street</v>
      </c>
      <c r="G69" t="str">
        <f ca="1"/>
        <v>Suites 1, 2, 3 &amp; 4, Second Floor</v>
      </c>
      <c r="H69" s="346" t="str">
        <f ca="1"/>
        <v>Showroom</v>
      </c>
      <c r="I69">
        <f ca="1"/>
        <v>3299</v>
      </c>
      <c r="J69" t="str">
        <f ca="1"/>
        <v>Showroom</v>
      </c>
      <c r="K69" s="359">
        <f ca="1"/>
        <v>3250</v>
      </c>
      <c r="L69" s="359" t="str">
        <f ca="1"/>
        <v>Vacant</v>
      </c>
      <c r="M69">
        <f ca="1"/>
        <v>0</v>
      </c>
      <c r="N69" s="359">
        <f ca="1"/>
        <v>0</v>
      </c>
      <c r="O69" s="360">
        <f ca="1"/>
        <v>45730</v>
      </c>
      <c r="P69" s="347">
        <f ca="1"/>
        <v>0</v>
      </c>
      <c r="Q69">
        <f ca="1"/>
        <v>0</v>
      </c>
      <c r="R69">
        <f ca="1"/>
        <v>0</v>
      </c>
      <c r="S69" s="347">
        <f ca="1"/>
        <v>0</v>
      </c>
      <c r="T69" s="347">
        <f ca="1"/>
        <v>0</v>
      </c>
      <c r="U69" s="347">
        <f ca="1"/>
        <v>193200</v>
      </c>
      <c r="V69">
        <f ca="1"/>
        <v>0</v>
      </c>
      <c r="W69" s="364">
        <f ca="1"/>
        <v>209500</v>
      </c>
      <c r="X69">
        <f ca="1"/>
        <v>0</v>
      </c>
      <c r="Y69" t="e">
        <f ca="1"/>
        <v>#VALUE!</v>
      </c>
      <c r="Z69" t="str">
        <f ca="1"/>
        <v>D</v>
      </c>
      <c r="AA69">
        <f ca="1"/>
        <v>0</v>
      </c>
      <c r="AB69">
        <f ca="1"/>
        <v>0</v>
      </c>
      <c r="AC69" t="str">
        <f ca="1"/>
        <v>No</v>
      </c>
    </row>
    <row r="70" spans="1:29">
      <c r="A70" t="str">
        <f ca="1"/>
        <v>UNIT</v>
      </c>
      <c r="B70">
        <f ca="1"/>
        <v>0</v>
      </c>
      <c r="C70" t="str">
        <f ca="1"/>
        <v>YS</v>
      </c>
      <c r="D70" t="str">
        <f ca="1"/>
        <v>MEL</v>
      </c>
      <c r="E70">
        <f ca="1"/>
        <v>550220</v>
      </c>
      <c r="F70" t="str">
        <f ca="1"/>
        <v>12 Hallam Street (The Hallam Hotel)</v>
      </c>
      <c r="G70" t="str">
        <f ca="1"/>
        <v xml:space="preserve">Whole Building </v>
      </c>
      <c r="H70" s="346" t="str">
        <f ca="1"/>
        <v>Hotel                       25 Beds</v>
      </c>
      <c r="I70">
        <f ca="1"/>
        <v>4284</v>
      </c>
      <c r="J70" t="str">
        <f ca="1"/>
        <v>Hotel                       25 Beds</v>
      </c>
      <c r="K70" s="359">
        <f ca="1"/>
        <v>4250</v>
      </c>
      <c r="L70" s="359" t="str">
        <f ca="1"/>
        <v>Vacant</v>
      </c>
      <c r="M70">
        <f ca="1"/>
        <v>0</v>
      </c>
      <c r="N70" s="359">
        <f ca="1"/>
        <v>0</v>
      </c>
      <c r="O70" s="359">
        <f ca="1"/>
        <v>44387</v>
      </c>
      <c r="P70" s="347">
        <f ca="1"/>
        <v>0</v>
      </c>
      <c r="Q70">
        <f ca="1"/>
        <v>0</v>
      </c>
      <c r="R70">
        <f ca="1"/>
        <v>0</v>
      </c>
      <c r="S70" s="347">
        <f ca="1"/>
        <v>0</v>
      </c>
      <c r="T70" s="347">
        <f ca="1"/>
        <v>0</v>
      </c>
      <c r="U70" s="347">
        <f ca="1"/>
        <v>0</v>
      </c>
      <c r="V70">
        <f ca="1"/>
        <v>0</v>
      </c>
      <c r="W70" s="364">
        <f ca="1"/>
        <v>0</v>
      </c>
      <c r="X70">
        <f ca="1"/>
        <v>0</v>
      </c>
      <c r="Y70">
        <f ca="1"/>
        <v>0</v>
      </c>
      <c r="Z70">
        <f ca="1"/>
        <v>0</v>
      </c>
      <c r="AA70">
        <f ca="1"/>
        <v>0</v>
      </c>
      <c r="AB70">
        <f ca="1"/>
        <v>1500000</v>
      </c>
      <c r="AC70" t="str">
        <f ca="1"/>
        <v>No</v>
      </c>
    </row>
    <row r="71" spans="1:29">
      <c r="A71" t="str">
        <f ca="1"/>
        <v>UNIT</v>
      </c>
      <c r="B71">
        <f ca="1"/>
        <v>0</v>
      </c>
      <c r="C71" t="str">
        <f ca="1"/>
        <v>CD</v>
      </c>
      <c r="D71" t="str">
        <f ca="1"/>
        <v>MEL</v>
      </c>
      <c r="E71">
        <f ca="1"/>
        <v>550300</v>
      </c>
      <c r="F71" t="str">
        <f ca="1"/>
        <v>3/4/4a Little Portland Street</v>
      </c>
      <c r="G71" t="str">
        <f ca="1"/>
        <v>Ground Floor (Rear)</v>
      </c>
      <c r="H71" s="346" t="str">
        <f ca="1"/>
        <v>Cloakroom</v>
      </c>
      <c r="I71">
        <f ca="1"/>
        <v>0</v>
      </c>
      <c r="J71" t="str">
        <f ca="1"/>
        <v>Cloakroom</v>
      </c>
      <c r="K71" s="359">
        <f ca="1"/>
        <v>0</v>
      </c>
      <c r="L71" s="359" t="str">
        <f ca="1"/>
        <v>Vacant / Landlord</v>
      </c>
      <c r="M71">
        <f ca="1"/>
        <v>0</v>
      </c>
      <c r="N71" s="359">
        <f ca="1"/>
        <v>0</v>
      </c>
      <c r="O71" s="359">
        <f ca="1"/>
        <v>45456</v>
      </c>
      <c r="P71" s="347">
        <f ca="1"/>
        <v>0</v>
      </c>
      <c r="Q71">
        <f ca="1"/>
        <v>0</v>
      </c>
      <c r="R71">
        <f ca="1"/>
        <v>0</v>
      </c>
      <c r="S71" s="347">
        <f ca="1"/>
        <v>0</v>
      </c>
      <c r="T71" s="347">
        <f ca="1"/>
        <v>0</v>
      </c>
      <c r="U71" s="347">
        <f ca="1"/>
        <v>0</v>
      </c>
      <c r="V71">
        <f ca="1"/>
        <v>0</v>
      </c>
      <c r="W71" s="364">
        <f ca="1"/>
        <v>0</v>
      </c>
      <c r="X71">
        <f ca="1"/>
        <v>0</v>
      </c>
      <c r="Y71">
        <f ca="1"/>
        <v>0</v>
      </c>
      <c r="Z71" t="str">
        <f ca="1"/>
        <v>E</v>
      </c>
      <c r="AA71">
        <f ca="1"/>
        <v>0</v>
      </c>
      <c r="AB71">
        <f ca="1"/>
        <v>0</v>
      </c>
      <c r="AC71" t="str">
        <f ca="1"/>
        <v>No</v>
      </c>
    </row>
    <row r="72" spans="1:29">
      <c r="H72" s="346"/>
      <c r="K72" s="359"/>
      <c r="L72" s="359"/>
      <c r="N72" s="359"/>
      <c r="O72" s="359"/>
      <c r="P72" s="347"/>
      <c r="S72" s="347"/>
      <c r="T72" s="347"/>
      <c r="U72" s="347"/>
    </row>
    <row r="73" spans="1:29">
      <c r="H73" s="346"/>
      <c r="K73" s="359"/>
      <c r="L73" s="359"/>
      <c r="N73" s="359"/>
      <c r="O73" s="360"/>
      <c r="P73" s="347"/>
      <c r="S73" s="347"/>
      <c r="T73" s="347"/>
      <c r="U73" s="347"/>
    </row>
  </sheetData>
  <mergeCells count="3">
    <mergeCell ref="B17:E17"/>
    <mergeCell ref="B2:E2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Buildings</vt:lpstr>
      <vt:lpstr>Sheet2</vt:lpstr>
      <vt:lpstr>Bank Schedule</vt:lpstr>
      <vt:lpstr>Voids Tab</vt:lpstr>
      <vt:lpstr>Tenant Trade</vt:lpstr>
      <vt:lpstr>Lease Events </vt:lpstr>
      <vt:lpstr>'Bank Schedule'!Print_Area</vt:lpstr>
      <vt:lpstr>Buildings!Print_Area</vt:lpstr>
      <vt:lpstr>'Bank Schedule'!Print_Titles</vt:lpstr>
      <vt:lpstr>Buildings!Print_Titles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2025-05-06T09:24:59Z</cp:lastPrinted>
  <dcterms:created xsi:type="dcterms:W3CDTF">2001-09-21T10:37:47Z</dcterms:created>
  <dcterms:modified xsi:type="dcterms:W3CDTF">2025-10-29T10:48:11Z</dcterms:modified>
</cp:coreProperties>
</file>