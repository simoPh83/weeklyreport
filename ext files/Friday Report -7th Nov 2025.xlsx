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autoCompressPictures="0"/>
  <mc:AlternateContent xmlns:mc="http://schemas.openxmlformats.org/markup-compatibility/2006">
    <mc:Choice Requires="x15">
      <x15ac:absPath xmlns:x15ac="http://schemas.microsoft.com/office/spreadsheetml/2010/11/ac" url="M:\LEASING\Friday Report\2025\11. November\"/>
    </mc:Choice>
  </mc:AlternateContent>
  <xr:revisionPtr revIDLastSave="0" documentId="13_ncr:1_{74762D09-8833-46B6-840C-351456770AB2}" xr6:coauthVersionLast="47" xr6:coauthVersionMax="47" xr10:uidLastSave="{00000000-0000-0000-0000-000000000000}"/>
  <bookViews>
    <workbookView xWindow="28680" yWindow="-120" windowWidth="29040" windowHeight="15720" tabRatio="658" xr2:uid="{00000000-000D-0000-FFFF-FFFF00000000}"/>
  </bookViews>
  <sheets>
    <sheet name="Summary" sheetId="5" r:id="rId1"/>
    <sheet name="Letting Progress" sheetId="7" r:id="rId2"/>
    <sheet name="Dead Ducks" sheetId="14" r:id="rId3"/>
    <sheet name="Viewing Schedule" sheetId="16" r:id="rId4"/>
    <sheet name="Income" sheetId="9" state="hidden" r:id="rId5"/>
    <sheet name="Completed Deals" sheetId="17" state="hidden" r:id="rId6"/>
  </sheets>
  <definedNames>
    <definedName name="_xlnm._FilterDatabase" localSheetId="1" hidden="1">'Letting Progress'!$A$4:$S$19</definedName>
    <definedName name="_xlnm._FilterDatabase" localSheetId="3" hidden="1">'Viewing Schedule'!$A$4:$B$69</definedName>
    <definedName name="_xlnm.Print_Area" localSheetId="2">'Dead Ducks'!$A$1:$I$13</definedName>
    <definedName name="_xlnm.Print_Area" localSheetId="4">Income!$A$1:$AM$26</definedName>
    <definedName name="_xlnm.Print_Area" localSheetId="1">'Letting Progress'!$A$1:$S$17</definedName>
    <definedName name="_xlnm.Print_Area" localSheetId="0">Summary!$A$1:$I$47</definedName>
    <definedName name="_xlnm.Print_Area" localSheetId="3">'Viewing Schedule'!$A$1:$I$37</definedName>
    <definedName name="_xlnm.Print_Titles" localSheetId="2">'Dead Ducks'!$9:$9</definedName>
    <definedName name="_xlnm.Print_Titles" localSheetId="4">Income!$B:$E</definedName>
    <definedName name="_xlnm.Print_Titles" localSheetId="1">'Letting Progress'!$4:$4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7" l="1"/>
  <c r="K7" i="7" l="1"/>
  <c r="L7" i="7"/>
  <c r="O59" i="17"/>
  <c r="N59" i="17"/>
  <c r="M59" i="17"/>
  <c r="L59" i="17"/>
  <c r="O58" i="17"/>
  <c r="N58" i="17"/>
  <c r="M58" i="17"/>
  <c r="L58" i="17"/>
  <c r="O57" i="17"/>
  <c r="N57" i="17"/>
  <c r="M57" i="17"/>
  <c r="L57" i="17"/>
  <c r="L56" i="17"/>
  <c r="M56" i="17"/>
  <c r="N56" i="17"/>
  <c r="O56" i="17"/>
  <c r="AX15" i="9"/>
  <c r="H28" i="5" s="1"/>
  <c r="AX16" i="9"/>
  <c r="H29" i="5" s="1"/>
  <c r="AX5" i="9"/>
  <c r="AX6" i="9"/>
  <c r="AX7" i="9"/>
  <c r="M18" i="7"/>
  <c r="L18" i="7"/>
  <c r="K18" i="7"/>
  <c r="AX8" i="9" l="1"/>
  <c r="M17" i="7"/>
  <c r="L17" i="7"/>
  <c r="K17" i="7"/>
  <c r="L55" i="17"/>
  <c r="M55" i="17"/>
  <c r="N55" i="17"/>
  <c r="O55" i="17"/>
  <c r="L19" i="7"/>
  <c r="AW8" i="9" l="1"/>
  <c r="M19" i="7"/>
  <c r="K19" i="7"/>
  <c r="L10" i="7"/>
  <c r="L11" i="7"/>
  <c r="K10" i="7"/>
  <c r="L54" i="17"/>
  <c r="M54" i="17"/>
  <c r="N54" i="17"/>
  <c r="O54" i="17"/>
  <c r="L106" i="17"/>
  <c r="M106" i="17"/>
  <c r="N106" i="17"/>
  <c r="O106" i="17"/>
  <c r="N16" i="7"/>
  <c r="K111" i="17"/>
  <c r="L111" i="17"/>
  <c r="M111" i="17"/>
  <c r="N6" i="7"/>
  <c r="N7" i="7"/>
  <c r="N8" i="7"/>
  <c r="N9" i="7"/>
  <c r="N10" i="7"/>
  <c r="N11" i="7"/>
  <c r="N12" i="7"/>
  <c r="N13" i="7"/>
  <c r="N14" i="7"/>
  <c r="N15" i="7"/>
  <c r="N5" i="7"/>
  <c r="M6" i="7"/>
  <c r="M7" i="7"/>
  <c r="M8" i="7"/>
  <c r="M9" i="7"/>
  <c r="M10" i="7"/>
  <c r="M11" i="7"/>
  <c r="M12" i="7"/>
  <c r="M13" i="7"/>
  <c r="M14" i="7"/>
  <c r="M15" i="7"/>
  <c r="M16" i="7"/>
  <c r="L6" i="7"/>
  <c r="L8" i="7"/>
  <c r="L9" i="7"/>
  <c r="L12" i="7"/>
  <c r="L13" i="7"/>
  <c r="L14" i="7"/>
  <c r="L15" i="7"/>
  <c r="L16" i="7"/>
  <c r="K6" i="7"/>
  <c r="K8" i="7"/>
  <c r="K9" i="7"/>
  <c r="K11" i="7"/>
  <c r="AX14" i="9" s="1"/>
  <c r="K12" i="7"/>
  <c r="K13" i="7"/>
  <c r="K14" i="7"/>
  <c r="K16" i="7"/>
  <c r="N105" i="17"/>
  <c r="M105" i="17"/>
  <c r="L105" i="17"/>
  <c r="N104" i="17"/>
  <c r="M104" i="17"/>
  <c r="L104" i="17"/>
  <c r="O53" i="17"/>
  <c r="N53" i="17"/>
  <c r="M53" i="17"/>
  <c r="L53" i="17"/>
  <c r="AX17" i="9" l="1"/>
  <c r="H27" i="5"/>
  <c r="AW17" i="9"/>
  <c r="AV8" i="9"/>
  <c r="AV17" i="9"/>
  <c r="AU17" i="9"/>
  <c r="AU8" i="9"/>
  <c r="AT8" i="9"/>
  <c r="AT17" i="9"/>
  <c r="AS17" i="9"/>
  <c r="AS8" i="9"/>
  <c r="AR8" i="9"/>
  <c r="L103" i="17" l="1"/>
  <c r="M103" i="17"/>
  <c r="N103" i="17"/>
  <c r="L102" i="17"/>
  <c r="M102" i="17"/>
  <c r="N102" i="17"/>
  <c r="AR17" i="9" l="1"/>
  <c r="AQ8" i="9"/>
  <c r="L100" i="17"/>
  <c r="M100" i="17"/>
  <c r="N100" i="17"/>
  <c r="L99" i="17"/>
  <c r="M99" i="17"/>
  <c r="N99" i="17"/>
  <c r="L52" i="17" l="1"/>
  <c r="M52" i="17"/>
  <c r="N52" i="17"/>
  <c r="AM17" i="9" l="1"/>
  <c r="AQ17" i="9" l="1"/>
  <c r="N98" i="17"/>
  <c r="M98" i="17"/>
  <c r="L98" i="17"/>
  <c r="AP8" i="9" l="1"/>
  <c r="AO8" i="9"/>
  <c r="AN17" i="9" l="1"/>
  <c r="AL8" i="9" l="1"/>
  <c r="L51" i="17"/>
  <c r="M51" i="17"/>
  <c r="O51" i="17"/>
  <c r="AM12" i="9"/>
  <c r="AN12" i="9" s="1"/>
  <c r="AO12" i="9" s="1"/>
  <c r="AP12" i="9" s="1"/>
  <c r="AQ12" i="9" s="1"/>
  <c r="AR12" i="9" s="1"/>
  <c r="AS12" i="9" s="1"/>
  <c r="AT12" i="9" s="1"/>
  <c r="AU12" i="9" s="1"/>
  <c r="AV12" i="9" s="1"/>
  <c r="AW12" i="9" s="1"/>
  <c r="AX12" i="9" s="1"/>
  <c r="AM4" i="9"/>
  <c r="AN4" i="9" s="1"/>
  <c r="AO4" i="9" s="1"/>
  <c r="AP4" i="9" s="1"/>
  <c r="AQ4" i="9" s="1"/>
  <c r="AR4" i="9" s="1"/>
  <c r="AS4" i="9" s="1"/>
  <c r="AT4" i="9" s="1"/>
  <c r="AU4" i="9" s="1"/>
  <c r="AV4" i="9" s="1"/>
  <c r="AW4" i="9" s="1"/>
  <c r="AX4" i="9" s="1"/>
  <c r="L101" i="17"/>
  <c r="M101" i="17"/>
  <c r="N101" i="17"/>
  <c r="O101" i="17" s="1"/>
  <c r="AN8" i="9" l="1"/>
  <c r="AM8" i="9"/>
  <c r="N97" i="17"/>
  <c r="M97" i="17"/>
  <c r="L97" i="17"/>
  <c r="A5" i="7" l="1" a="1"/>
  <c r="A5" i="7" s="1"/>
  <c r="L96" i="17"/>
  <c r="M96" i="17"/>
  <c r="N96" i="17"/>
  <c r="H110" i="17"/>
  <c r="I110" i="17" s="1"/>
  <c r="N95" i="17"/>
  <c r="M95" i="17"/>
  <c r="L95" i="17"/>
  <c r="N94" i="17"/>
  <c r="M94" i="17"/>
  <c r="L94" i="17"/>
  <c r="N93" i="17"/>
  <c r="M93" i="17"/>
  <c r="L93" i="17"/>
  <c r="N92" i="17"/>
  <c r="O92" i="17" s="1"/>
  <c r="M92" i="17"/>
  <c r="L90" i="17"/>
  <c r="N89" i="17"/>
  <c r="O89" i="17" s="1"/>
  <c r="M89" i="17"/>
  <c r="L89" i="17"/>
  <c r="N88" i="17"/>
  <c r="O88" i="17" s="1"/>
  <c r="M88" i="17"/>
  <c r="L88" i="17"/>
  <c r="N87" i="17"/>
  <c r="O87" i="17" s="1"/>
  <c r="M87" i="17"/>
  <c r="L87" i="17"/>
  <c r="N86" i="17"/>
  <c r="M86" i="17"/>
  <c r="L86" i="17"/>
  <c r="N85" i="17"/>
  <c r="M85" i="17"/>
  <c r="L85" i="17"/>
  <c r="N84" i="17"/>
  <c r="M84" i="17"/>
  <c r="L84" i="17"/>
  <c r="N83" i="17"/>
  <c r="M83" i="17"/>
  <c r="L83" i="17"/>
  <c r="N82" i="17"/>
  <c r="M82" i="17"/>
  <c r="L82" i="17"/>
  <c r="K80" i="17"/>
  <c r="P79" i="17"/>
  <c r="K79" i="17"/>
  <c r="P78" i="17"/>
  <c r="K78" i="17"/>
  <c r="Q77" i="17"/>
  <c r="P77" i="17"/>
  <c r="K77" i="17"/>
  <c r="K76" i="17"/>
  <c r="K75" i="17"/>
  <c r="P74" i="17"/>
  <c r="K74" i="17"/>
  <c r="P73" i="17"/>
  <c r="K73" i="17"/>
  <c r="P72" i="17"/>
  <c r="K72" i="17"/>
  <c r="P71" i="17"/>
  <c r="K71" i="17"/>
  <c r="K70" i="17"/>
  <c r="K69" i="17"/>
  <c r="P68" i="17"/>
  <c r="P66" i="17"/>
  <c r="K66" i="17"/>
  <c r="P65" i="17"/>
  <c r="K65" i="17"/>
  <c r="P64" i="17"/>
  <c r="K64" i="17"/>
  <c r="O49" i="17"/>
  <c r="L49" i="17"/>
  <c r="O48" i="17"/>
  <c r="L48" i="17"/>
  <c r="L47" i="17"/>
  <c r="L46" i="17"/>
  <c r="L45" i="17"/>
  <c r="L44" i="17"/>
  <c r="M43" i="17"/>
  <c r="L43" i="17"/>
  <c r="L42" i="17"/>
  <c r="L41" i="17"/>
  <c r="L40" i="17"/>
  <c r="L39" i="17"/>
  <c r="M38" i="17"/>
  <c r="L38" i="17"/>
  <c r="L37" i="17"/>
  <c r="L36" i="17"/>
  <c r="L35" i="17"/>
  <c r="L34" i="17"/>
  <c r="L33" i="17"/>
  <c r="L32" i="17"/>
  <c r="L31" i="17"/>
  <c r="L30" i="17"/>
  <c r="M29" i="17"/>
  <c r="L29" i="17"/>
  <c r="L28" i="17"/>
  <c r="L27" i="17"/>
  <c r="L26" i="17"/>
  <c r="L25" i="17"/>
  <c r="L24" i="17"/>
  <c r="L23" i="17"/>
  <c r="L8" i="17"/>
  <c r="L7" i="17"/>
  <c r="AK8" i="9" l="1"/>
  <c r="G27" i="5"/>
  <c r="M5" i="7"/>
  <c r="AP17" i="9" l="1"/>
  <c r="AO17" i="9"/>
  <c r="AL17" i="9"/>
  <c r="AI17" i="9"/>
  <c r="AH17" i="9"/>
  <c r="AK17" i="9"/>
  <c r="AI8" i="9"/>
  <c r="AH8" i="9"/>
  <c r="AJ8" i="9"/>
  <c r="AJ17" i="9" l="1"/>
  <c r="K5" i="7" l="1"/>
  <c r="G2" i="16"/>
  <c r="O2" i="7" l="1"/>
  <c r="H5" i="5"/>
  <c r="E7" i="14"/>
  <c r="V6" i="9"/>
  <c r="G18" i="5"/>
  <c r="G16" i="5"/>
  <c r="G20" i="5"/>
  <c r="G23" i="5"/>
  <c r="H18" i="5"/>
  <c r="H16" i="5"/>
  <c r="G29" i="5"/>
  <c r="H23" i="5"/>
  <c r="G28" i="5" l="1"/>
  <c r="AC8" i="9" l="1"/>
  <c r="AC17" i="9"/>
  <c r="AG8" i="9" l="1"/>
  <c r="AF8" i="9"/>
  <c r="AE8" i="9"/>
  <c r="AD8" i="9" l="1"/>
  <c r="AB8" i="9" l="1"/>
  <c r="AA8" i="9" l="1"/>
  <c r="Z8" i="9" l="1"/>
  <c r="Y8" i="9" l="1"/>
  <c r="X8" i="9"/>
  <c r="W8" i="9"/>
  <c r="V8" i="9"/>
  <c r="U8" i="9" l="1"/>
  <c r="T8" i="9"/>
  <c r="S8" i="9"/>
  <c r="Q8" i="9" l="1"/>
  <c r="N8" i="9"/>
  <c r="R8" i="9" l="1"/>
  <c r="R17" i="9"/>
  <c r="P8" i="9"/>
  <c r="O8" i="9"/>
  <c r="M8" i="9"/>
  <c r="L8" i="9"/>
  <c r="S17" i="9" l="1"/>
  <c r="T17" i="9" l="1"/>
  <c r="G12" i="9"/>
  <c r="H12" i="9" s="1"/>
  <c r="I12" i="9" s="1"/>
  <c r="J12" i="9" s="1"/>
  <c r="K12" i="9" s="1"/>
  <c r="L12" i="9" s="1"/>
  <c r="M12" i="9" s="1"/>
  <c r="N12" i="9" s="1"/>
  <c r="O12" i="9" s="1"/>
  <c r="P12" i="9" s="1"/>
  <c r="Q12" i="9" s="1"/>
  <c r="R12" i="9" s="1"/>
  <c r="S12" i="9" s="1"/>
  <c r="T12" i="9" s="1"/>
  <c r="U12" i="9" s="1"/>
  <c r="V12" i="9" s="1"/>
  <c r="W12" i="9" s="1"/>
  <c r="X12" i="9" s="1"/>
  <c r="Y12" i="9" s="1"/>
  <c r="Z12" i="9" s="1"/>
  <c r="AA12" i="9" s="1"/>
  <c r="AB12" i="9" s="1"/>
  <c r="G4" i="9"/>
  <c r="H4" i="9" s="1"/>
  <c r="I4" i="9" s="1"/>
  <c r="J4" i="9" s="1"/>
  <c r="K4" i="9" s="1"/>
  <c r="L4" i="9" s="1"/>
  <c r="M4" i="9" s="1"/>
  <c r="N4" i="9" s="1"/>
  <c r="O4" i="9" s="1"/>
  <c r="P4" i="9" s="1"/>
  <c r="Q4" i="9" s="1"/>
  <c r="R4" i="9" s="1"/>
  <c r="S4" i="9" s="1"/>
  <c r="T4" i="9" s="1"/>
  <c r="U4" i="9" s="1"/>
  <c r="V4" i="9" s="1"/>
  <c r="W4" i="9" s="1"/>
  <c r="X4" i="9" s="1"/>
  <c r="Y4" i="9" s="1"/>
  <c r="Z4" i="9" s="1"/>
  <c r="AA4" i="9" s="1"/>
  <c r="AB4" i="9" s="1"/>
  <c r="AC4" i="9" l="1"/>
  <c r="AD4" i="9" s="1"/>
  <c r="AE4" i="9" s="1"/>
  <c r="AF4" i="9" s="1"/>
  <c r="AG4" i="9" s="1"/>
  <c r="AH4" i="9" s="1"/>
  <c r="AI4" i="9" s="1"/>
  <c r="AJ4" i="9" s="1"/>
  <c r="AK4" i="9" s="1"/>
  <c r="AC12" i="9"/>
  <c r="AD12" i="9" s="1"/>
  <c r="AE12" i="9" s="1"/>
  <c r="AF12" i="9" s="1"/>
  <c r="AG12" i="9" s="1"/>
  <c r="AH12" i="9" s="1"/>
  <c r="AI12" i="9" s="1"/>
  <c r="AJ12" i="9" s="1"/>
  <c r="AK12" i="9" s="1"/>
  <c r="U17" i="9"/>
  <c r="I8" i="9"/>
  <c r="H8" i="9"/>
  <c r="G8" i="9"/>
  <c r="F8" i="9"/>
  <c r="V17" i="9" l="1"/>
  <c r="J8" i="9"/>
  <c r="K8" i="9"/>
  <c r="W17" i="9" l="1"/>
  <c r="X17" i="9" l="1"/>
  <c r="Y17" i="9" l="1"/>
  <c r="Z17" i="9" l="1"/>
  <c r="AA17" i="9" l="1"/>
  <c r="H32" i="5"/>
  <c r="AB17" i="9" l="1"/>
  <c r="L5" i="7" l="1"/>
  <c r="H20" i="5"/>
  <c r="H21" i="5" s="1"/>
  <c r="H4" i="14"/>
  <c r="AD17" i="9" l="1"/>
  <c r="AE17" i="9" l="1"/>
  <c r="AG17" i="9" l="1"/>
  <c r="AF17" i="9"/>
  <c r="G32" i="5"/>
  <c r="G21" i="5" l="1"/>
  <c r="G30" i="5" l="1"/>
  <c r="I16" i="9" l="1"/>
  <c r="F17" i="9"/>
  <c r="K17" i="9" l="1"/>
  <c r="J17" i="9"/>
  <c r="I17" i="9"/>
  <c r="H17" i="9"/>
  <c r="G17" i="9"/>
  <c r="Q17" i="9" l="1"/>
  <c r="H30" i="5"/>
  <c r="P17" i="9"/>
  <c r="O17" i="9"/>
  <c r="N17" i="9"/>
  <c r="M17" i="9"/>
  <c r="L1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Perry Linch</author>
  </authors>
  <commentList>
    <comment ref="D4" authorId="0" shapeId="0" xr:uid="{D6CA5603-2BD4-4A65-8CFC-842D15CF10DB}">
      <text>
        <r>
          <rPr>
            <b/>
            <sz val="9"/>
            <color indexed="81"/>
            <rFont val="Tahoma"/>
            <family val="2"/>
          </rPr>
          <t>Abbreviations</t>
        </r>
        <r>
          <rPr>
            <sz val="9"/>
            <color indexed="81"/>
            <rFont val="Tahoma"/>
            <family val="2"/>
          </rPr>
          <t xml:space="preserve">
Lease Renewal - LR
New Lease - NL
Temporary Let -STL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Perry Linch</author>
  </authors>
  <commentList>
    <comment ref="E6" authorId="0" shapeId="0" xr:uid="{03653492-ECEF-4068-9DDA-D1E5B2379D66}">
      <text>
        <r>
          <rPr>
            <b/>
            <sz val="9"/>
            <color indexed="81"/>
            <rFont val="Tahoma"/>
            <family val="2"/>
          </rPr>
          <t>Abbreviations</t>
        </r>
        <r>
          <rPr>
            <sz val="9"/>
            <color indexed="81"/>
            <rFont val="Tahoma"/>
            <family val="2"/>
          </rPr>
          <t xml:space="preserve">
Lease Renewal - LR
New Lease - NL
Temporary Let - TL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<sst xmlns="http://schemas.openxmlformats.org/spreadsheetml/2006/main" count="3842" uniqueCount="1306">
  <si>
    <r>
      <t xml:space="preserve"> </t>
    </r>
    <r>
      <rPr>
        <sz val="18"/>
        <color theme="1"/>
        <rFont val="Times New Roman"/>
        <family val="1"/>
      </rPr>
      <t/>
    </r>
  </si>
  <si>
    <t xml:space="preserve">To. </t>
  </si>
  <si>
    <t xml:space="preserve">From. </t>
  </si>
  <si>
    <t>cc.</t>
  </si>
  <si>
    <t>Ref.</t>
  </si>
  <si>
    <t>New Lettings Progress</t>
  </si>
  <si>
    <t xml:space="preserve"> </t>
  </si>
  <si>
    <t>Sections</t>
  </si>
  <si>
    <t>No. Of Deals</t>
  </si>
  <si>
    <t>Total Rental Value/Year</t>
  </si>
  <si>
    <t>A</t>
  </si>
  <si>
    <t>(i) New deals in solicitors hands</t>
  </si>
  <si>
    <t>TOTAL (EXCLUDING DEAD DUCKS)</t>
  </si>
  <si>
    <t>B</t>
  </si>
  <si>
    <t>(i) Deals completed this week</t>
  </si>
  <si>
    <t>(ii) Total deals complete 1st Jan to date</t>
  </si>
  <si>
    <t>New Lets</t>
  </si>
  <si>
    <t>Temporary Lets</t>
  </si>
  <si>
    <t xml:space="preserve">                      Lease Renewals (Rental Uplift)</t>
  </si>
  <si>
    <t>Total</t>
  </si>
  <si>
    <t>(iii) Dead Ducks</t>
  </si>
  <si>
    <t xml:space="preserve">  </t>
  </si>
  <si>
    <t>LETTING PROGRESS</t>
  </si>
  <si>
    <t>No.</t>
  </si>
  <si>
    <t>Address</t>
  </si>
  <si>
    <t>Area to be Demised sq ft</t>
  </si>
  <si>
    <t>Date Solicitors Instructed</t>
  </si>
  <si>
    <t>Name of Tenant</t>
  </si>
  <si>
    <t>Lease Terms</t>
  </si>
  <si>
    <t>Solicitors for Tenant</t>
  </si>
  <si>
    <t>Solicitor</t>
  </si>
  <si>
    <t>Completed</t>
  </si>
  <si>
    <t>Action</t>
  </si>
  <si>
    <t>Surveyor</t>
  </si>
  <si>
    <t>Actual</t>
  </si>
  <si>
    <t>TBC</t>
  </si>
  <si>
    <t>SH</t>
  </si>
  <si>
    <t>No</t>
  </si>
  <si>
    <t>TH</t>
  </si>
  <si>
    <t>In House</t>
  </si>
  <si>
    <t xml:space="preserve">SH </t>
  </si>
  <si>
    <t>JM</t>
  </si>
  <si>
    <t>LEM</t>
  </si>
  <si>
    <t>Portland House, 4 Great Portland Street</t>
  </si>
  <si>
    <t>YS</t>
  </si>
  <si>
    <t>63-64 Margaret Street</t>
  </si>
  <si>
    <t>CM</t>
  </si>
  <si>
    <t>KLM</t>
  </si>
  <si>
    <t>Average psf (NEW)</t>
  </si>
  <si>
    <t xml:space="preserve">Average psf (OLD) </t>
  </si>
  <si>
    <t>N/A</t>
  </si>
  <si>
    <t>Order Line Limited</t>
  </si>
  <si>
    <t xml:space="preserve">4 years </t>
  </si>
  <si>
    <t xml:space="preserve">Tenant acting on their behalf. </t>
  </si>
  <si>
    <t>END</t>
  </si>
  <si>
    <t xml:space="preserve">B </t>
  </si>
  <si>
    <t>Dead Ducks</t>
  </si>
  <si>
    <t>No. of 'dead ducks' this week:</t>
  </si>
  <si>
    <t xml:space="preserve">No. </t>
  </si>
  <si>
    <t>Company</t>
  </si>
  <si>
    <t>Rent</t>
  </si>
  <si>
    <t>Rent psf</t>
  </si>
  <si>
    <t>Reason</t>
  </si>
  <si>
    <t>Viewing Schedule</t>
  </si>
  <si>
    <t xml:space="preserve">Address </t>
  </si>
  <si>
    <t>Floor/Suite</t>
  </si>
  <si>
    <t>Date</t>
  </si>
  <si>
    <t>Potential Tenant</t>
  </si>
  <si>
    <t>Agent/Broker</t>
  </si>
  <si>
    <t>Proposed Terms</t>
  </si>
  <si>
    <t>Remarks</t>
  </si>
  <si>
    <t>Agent</t>
  </si>
  <si>
    <t>Total Number of Deals</t>
  </si>
  <si>
    <t>Permanent Lets</t>
  </si>
  <si>
    <t>Lease Renewals (Rental Uplift)</t>
  </si>
  <si>
    <t>Running</t>
  </si>
  <si>
    <t>Media lab Group Limited</t>
  </si>
  <si>
    <t>Week Ending</t>
  </si>
  <si>
    <t>ERV psf</t>
  </si>
  <si>
    <t xml:space="preserve">2nd Floor, 14-18 Great Titchfield Street, </t>
  </si>
  <si>
    <t>Infront Sports &amp; Media UK Ltd</t>
  </si>
  <si>
    <t>51-53 Margaret Street</t>
  </si>
  <si>
    <t>22-25 Eastcastle Street</t>
  </si>
  <si>
    <t>Ian Scott</t>
  </si>
  <si>
    <t xml:space="preserve">New Rent </t>
  </si>
  <si>
    <t>Existing Rent</t>
  </si>
  <si>
    <t xml:space="preserve">Rental Uplift </t>
  </si>
  <si>
    <t>n/a</t>
  </si>
  <si>
    <t>LDG</t>
  </si>
  <si>
    <t>RIB</t>
  </si>
  <si>
    <t>47-50 Margaret Street</t>
  </si>
  <si>
    <t>51 Great Portland Street</t>
  </si>
  <si>
    <t>(ii) Deals in Solicitors’ Hands: Temporary Lettings</t>
  </si>
  <si>
    <t>Wedlake Bell</t>
  </si>
  <si>
    <t>56 Great Titchfield Street</t>
  </si>
  <si>
    <t>Morplan Ltd</t>
  </si>
  <si>
    <t>5 years from 01/02.2025 with 4 weeks rent free period</t>
  </si>
  <si>
    <t>5 year from 01/02.25 with 4 weeks rent free period</t>
  </si>
  <si>
    <t>Glovers Solicitors</t>
  </si>
  <si>
    <t xml:space="preserve">VNK Limited </t>
  </si>
  <si>
    <t>Memery Crystal</t>
  </si>
  <si>
    <t>65 Margaret Street</t>
  </si>
  <si>
    <t>Wallace</t>
  </si>
  <si>
    <t>CD</t>
  </si>
  <si>
    <t xml:space="preserve">77 Diamonds </t>
  </si>
  <si>
    <t>51/53 Margaret Street</t>
  </si>
  <si>
    <t>Dolor Medical Supplies</t>
  </si>
  <si>
    <t>5years with mutual break in year 3</t>
  </si>
  <si>
    <t>O-Chaa Thai Ltd</t>
  </si>
  <si>
    <t>156 Oxford Street</t>
  </si>
  <si>
    <t>Hawes &amp; Curtis Ltd</t>
  </si>
  <si>
    <t>10 year term with Tenant only break at end of year 5.   6 months rent free as 3 months pure rent free and 6 months half rent.</t>
  </si>
  <si>
    <t>30 Market Place</t>
  </si>
  <si>
    <t>OpenStudio Architects Ltd</t>
  </si>
  <si>
    <t>3 Year lease renewal, rental uplift to £17,922 and two months rent free</t>
  </si>
  <si>
    <t>Kenilworth House, 79-80 Margaret Street</t>
  </si>
  <si>
    <t>3 year lease</t>
  </si>
  <si>
    <t xml:space="preserve">Tenant has found alternative accomadation in a different area. </t>
  </si>
  <si>
    <t>15/16 Margaret Street</t>
  </si>
  <si>
    <t>The Ludorum Club</t>
  </si>
  <si>
    <t>10 years with t/b 5th year</t>
  </si>
  <si>
    <t>Great Titchfield House, 14-18 Great Titchfield Street</t>
  </si>
  <si>
    <t>True Green Capital</t>
  </si>
  <si>
    <t>5 yr lease</t>
  </si>
  <si>
    <t xml:space="preserve">Tenant looking t ostay put during economic uncertantiy. </t>
  </si>
  <si>
    <t>67 Wells street, Welbeck House</t>
  </si>
  <si>
    <t>World Chess</t>
  </si>
  <si>
    <t>5 years T/O break at end of 3yr</t>
  </si>
  <si>
    <t>Canis (marylebone)Ltd</t>
  </si>
  <si>
    <t xml:space="preserve">5 Years With M/B year 3 </t>
  </si>
  <si>
    <t>15/16 Margaret Street
Basement 2,161sq.ft</t>
  </si>
  <si>
    <t xml:space="preserve">It was felt this was not the right operator with the refurbishedunits above </t>
  </si>
  <si>
    <t xml:space="preserve">Shifting focus to online operations due to uncertain </t>
  </si>
  <si>
    <t>Joint London</t>
  </si>
  <si>
    <t>AdMaxim</t>
  </si>
  <si>
    <t>5yr lease T.o break 3yr</t>
  </si>
  <si>
    <t>10yr Lease T.o Break 5yr</t>
  </si>
  <si>
    <t xml:space="preserve">Tenant believed that buildin common parts were too much of security threat depsite proposed improvements </t>
  </si>
  <si>
    <t>WS</t>
  </si>
  <si>
    <t>67-81 Mortimer Street</t>
  </si>
  <si>
    <t xml:space="preserve">Feel Films Limited </t>
  </si>
  <si>
    <t>5 years  with t/b 3rd year</t>
  </si>
  <si>
    <t>tbc</t>
  </si>
  <si>
    <t xml:space="preserve">10 Years Lease. Mutual Break and Rent Review in Year 5. Financial settlement agreed on outstanding arears of £104,645 to be repaid over 12 months. </t>
  </si>
  <si>
    <t>Perry Ellis Europe Ltd.</t>
  </si>
  <si>
    <t>Short Term Lease Extension for a period of 6 months at a rent of £505,000.</t>
  </si>
  <si>
    <t xml:space="preserve">Top Floor Flat, Moray House </t>
  </si>
  <si>
    <t xml:space="preserve">Mark Versteegh &amp; William Antell </t>
  </si>
  <si>
    <t xml:space="preserve">1 year lease from 11.09.25, no break. </t>
  </si>
  <si>
    <t>Documents in agreed form ready for circulation. AML Passed expected completion end of month 25/04/2025. Lease and Rent Depoist now agreed. The tenant is on a TAW at £475,000 in the interim. Wording of side letter agreed, targeting completion next week 06/06/25. Tenant now disputing if Listed Building Consent is required. Furhter delay JM to advise board on openly marketing the property to pressure the tenant to complete. A tenancy at will is in place and LEM is raising billing at the annual amount of £475,000 13/06/25. JM has is requesting an explanation from H&amp;C on hold up to explain to client. 20/06/25</t>
  </si>
  <si>
    <t>21 Little Portland Street</t>
  </si>
  <si>
    <t>Ltde Limited</t>
  </si>
  <si>
    <t>5 years with t/b 3rd year</t>
  </si>
  <si>
    <t>3/4A Little Portland Street</t>
  </si>
  <si>
    <t>5 years with t/b 15/03/28</t>
  </si>
  <si>
    <t>Lanyon Bowdler</t>
  </si>
  <si>
    <t xml:space="preserve">        Malcolm Cohen</t>
  </si>
  <si>
    <t>47-50 Margaret Street
4th Floor East</t>
  </si>
  <si>
    <t>Isses relating to plannign change of use delayed deal too long</t>
  </si>
  <si>
    <t>Princess House</t>
  </si>
  <si>
    <t>1st, 2nd &amp; 3rd floors</t>
  </si>
  <si>
    <t>Convene</t>
  </si>
  <si>
    <t>NYD</t>
  </si>
  <si>
    <t>2nd inspection. Very interested in taking 2 floors. Board meeting on Wednesday to discuss the next steps.</t>
  </si>
  <si>
    <t xml:space="preserve">30 Market Place </t>
  </si>
  <si>
    <t>3rd floor</t>
  </si>
  <si>
    <t>Edward Charles</t>
  </si>
  <si>
    <t>Brave Corp</t>
  </si>
  <si>
    <t>New ERA</t>
  </si>
  <si>
    <t>1st inspection. Looking at a fitted option.</t>
  </si>
  <si>
    <t xml:space="preserve">3rd floor </t>
  </si>
  <si>
    <t>MAC</t>
  </si>
  <si>
    <t>1st inspection. Positive inspection with their agent and will want to carry out another inspection. Tenant represented by Savills.</t>
  </si>
  <si>
    <t>1st inspection. Very interested in leasing all the vacant space. Another inspection is being arranged next week for their design team. Initial layout plans prepared.</t>
  </si>
  <si>
    <t>1st inspection. Waiting for the feedback from our agent.</t>
  </si>
  <si>
    <t>2nd Floor</t>
  </si>
  <si>
    <t>SB</t>
  </si>
  <si>
    <t>Circus House</t>
  </si>
  <si>
    <t>Ground Floor</t>
  </si>
  <si>
    <t>The Graphical Tree</t>
  </si>
  <si>
    <t>1st Inspection. Knows unit is under offer but wanted to see it anyway.</t>
  </si>
  <si>
    <t>Ground &amp; Basement Floor</t>
  </si>
  <si>
    <t xml:space="preserve">1st Inspection, not keen as floor plan wouldn't work </t>
  </si>
  <si>
    <t>36-38 Mortimer Street, Radiant House</t>
  </si>
  <si>
    <t>Arya Douge Ltd</t>
  </si>
  <si>
    <t>19-21 Great Portland Streeet</t>
  </si>
  <si>
    <t>Savills (Workthere)</t>
  </si>
  <si>
    <t>Agent led -TBC</t>
  </si>
  <si>
    <t>1st Inspection. Waiting for the feedback from our agent.</t>
  </si>
  <si>
    <t>1st Inspection, awaiting feedback from our agent</t>
  </si>
  <si>
    <t>DY</t>
  </si>
  <si>
    <t>3rd Floor</t>
  </si>
  <si>
    <t>17-18 Margaret Street</t>
  </si>
  <si>
    <t>3rd Floor (East)</t>
  </si>
  <si>
    <t>4th Floor (West</t>
  </si>
  <si>
    <t>2nd Inspection, likes the unit but wants a kitchenette. May consider taking this unit and rear unit.</t>
  </si>
  <si>
    <t>15-16 Margaret Street</t>
  </si>
  <si>
    <t>Workplace</t>
  </si>
  <si>
    <t>1st Inspection, not keen as didn't like layout.</t>
  </si>
  <si>
    <t>32-36 Great Portland St</t>
  </si>
  <si>
    <t>Ortus Energy</t>
  </si>
  <si>
    <t>1st Inspection, liked unit but felt it was slightly too small</t>
  </si>
  <si>
    <t>6-10 Great Portland St</t>
  </si>
  <si>
    <t xml:space="preserve">4th Floor  </t>
  </si>
  <si>
    <t>1st Inspection, liked unit but will wait to see it once works all done.</t>
  </si>
  <si>
    <t>23-25 Eastcastle St</t>
  </si>
  <si>
    <t>6th Floor</t>
  </si>
  <si>
    <t>Scott Free</t>
  </si>
  <si>
    <t>1st Inspection, liked unit but wants to instruct an agent on their behalf to negotiatie</t>
  </si>
  <si>
    <t>65 Margaret St</t>
  </si>
  <si>
    <t>Daniela Schlingmann</t>
  </si>
  <si>
    <t>1st Inspection, liked unit but first one she has seen and will get back to us.</t>
  </si>
  <si>
    <t>Welbeck House</t>
  </si>
  <si>
    <t>Duo Lingo</t>
  </si>
  <si>
    <t>Engrossments have been circulated in readiness for completion 11/07/25</t>
  </si>
  <si>
    <t>Type of Letting</t>
  </si>
  <si>
    <t>LR</t>
  </si>
  <si>
    <t>NL</t>
  </si>
  <si>
    <t>Floor</t>
  </si>
  <si>
    <t>Ground and Basement</t>
  </si>
  <si>
    <t>1st 2nd &amp; 3rd</t>
  </si>
  <si>
    <t>Ground</t>
  </si>
  <si>
    <t>Mezzanine</t>
  </si>
  <si>
    <t>5th</t>
  </si>
  <si>
    <t>2nd</t>
  </si>
  <si>
    <t>Basement</t>
  </si>
  <si>
    <t>3rd ( E)</t>
  </si>
  <si>
    <t>3rd ( W)</t>
  </si>
  <si>
    <t>2nd ( E)</t>
  </si>
  <si>
    <t>1st</t>
  </si>
  <si>
    <t>Part 2nd</t>
  </si>
  <si>
    <t>Top Floor Flat</t>
  </si>
  <si>
    <t xml:space="preserve">53 Great portland street
</t>
  </si>
  <si>
    <t xml:space="preserve">30 Market Place
</t>
  </si>
  <si>
    <t xml:space="preserve">50 Great Portland Street </t>
  </si>
  <si>
    <t>Mappin House</t>
  </si>
  <si>
    <t>4 Winsley Street</t>
  </si>
  <si>
    <t>Floors, 58 Great Titchfield Street</t>
  </si>
  <si>
    <t>58 Great Titchfield Street</t>
  </si>
  <si>
    <t xml:space="preserve"> 9 Little Portland St</t>
  </si>
  <si>
    <t xml:space="preserve"> RACHEL GAO, PHIL HARDIE and MALCOLM PUGH,  </t>
  </si>
  <si>
    <t>Week Ending:</t>
  </si>
  <si>
    <t>2nd &amp; 3rd Floor</t>
  </si>
  <si>
    <t>Sportwear fashion company</t>
  </si>
  <si>
    <t>1st inspection with their agent, Making Moves. Very interested and have requested further info.</t>
  </si>
  <si>
    <t>3rd - suite 320</t>
  </si>
  <si>
    <t>Crypto company</t>
  </si>
  <si>
    <t>2nd inspection with the board. Awaiting feedback.</t>
  </si>
  <si>
    <t>Financial Services company</t>
  </si>
  <si>
    <t>1st inspection and awaiting agents feedback.</t>
  </si>
  <si>
    <t>1st floor</t>
  </si>
  <si>
    <t>Media Company</t>
  </si>
  <si>
    <t>Savills</t>
  </si>
  <si>
    <t>1st inspection. Did not give much away as they are looking at other properties in central West End</t>
  </si>
  <si>
    <t>KN</t>
  </si>
  <si>
    <t>Knight Frank</t>
  </si>
  <si>
    <t>1st Inspection and have chased our agent for feedback on the viewing.</t>
  </si>
  <si>
    <t xml:space="preserve">Cord Technoligies </t>
  </si>
  <si>
    <t>1st inspection and have arranged for a 2nd veiwing</t>
  </si>
  <si>
    <t>1st &amp; 3rd floors</t>
  </si>
  <si>
    <t xml:space="preserve">Accountants </t>
  </si>
  <si>
    <t xml:space="preserve">1st inspection and like the 1st floor. They are looking at other properties in the area with their agent </t>
  </si>
  <si>
    <t>Audley House- Margaret Street</t>
  </si>
  <si>
    <t>Whole</t>
  </si>
  <si>
    <t>Post Production Company</t>
  </si>
  <si>
    <t>Looked from the outside. Plans provided at their request Not suitable due to DDA issue.</t>
  </si>
  <si>
    <t>Kenilworth House</t>
  </si>
  <si>
    <t>Not suitable due to narrow entrance hall and DDA issue. Looking for 10,000 sq ft</t>
  </si>
  <si>
    <t xml:space="preserve">Welbeck House </t>
  </si>
  <si>
    <t xml:space="preserve">Ground Floor &amp; Basement </t>
  </si>
  <si>
    <t xml:space="preserve">Synergy </t>
  </si>
  <si>
    <t>1st inspection</t>
  </si>
  <si>
    <t>19/21 Gt Portland Street</t>
  </si>
  <si>
    <t>47/50 Margaret Street</t>
  </si>
  <si>
    <t>2nd inspection. Really like the space. Looking to expand within the Langham Estate</t>
  </si>
  <si>
    <t>63/64 Margaret Street</t>
  </si>
  <si>
    <t>3rd floor East &amp; West</t>
  </si>
  <si>
    <t>Faros</t>
  </si>
  <si>
    <t>£60 psf/5 yr lease</t>
  </si>
  <si>
    <t>in negs on the East unit.</t>
  </si>
  <si>
    <t>2nd Floor (West)</t>
  </si>
  <si>
    <t>Agent Led - TBC</t>
  </si>
  <si>
    <t>1st viewing, awaiting further feedback</t>
  </si>
  <si>
    <t>1st &amp; 3rd Floors</t>
  </si>
  <si>
    <t xml:space="preserve">Golderbrock House </t>
  </si>
  <si>
    <t>1st Floor (Rear)</t>
  </si>
  <si>
    <t>1st Floor</t>
  </si>
  <si>
    <t>2nd viewing via RIB, awaiting further feedback</t>
  </si>
  <si>
    <t>1st &amp; 2nd Floor</t>
  </si>
  <si>
    <t>Techspace</t>
  </si>
  <si>
    <t xml:space="preserve">Savills </t>
  </si>
  <si>
    <t>£67.50 psf/15 yr lease</t>
  </si>
  <si>
    <t>Inspection with mainboard. On going dscussions.</t>
  </si>
  <si>
    <t xml:space="preserve">Windsor House, 40-41 Great Castle Street </t>
  </si>
  <si>
    <t>Ground floor &amp; Basement</t>
  </si>
  <si>
    <t>Holy Greens</t>
  </si>
  <si>
    <t>1st viewing.</t>
  </si>
  <si>
    <t>Pizza business</t>
  </si>
  <si>
    <t>1st viewing and awaiting feedback.</t>
  </si>
  <si>
    <t>50 Eastcastle Street</t>
  </si>
  <si>
    <t>Entire 1st floor</t>
  </si>
  <si>
    <t>FinTech business</t>
  </si>
  <si>
    <t>4th &amp; 5th floor</t>
  </si>
  <si>
    <t>Amer Sports</t>
  </si>
  <si>
    <t>1st inspection. Was looking at a several locations in Central London. Appered to like the 4th floor due to it beeing bigger.</t>
  </si>
  <si>
    <t>MAC/DY/SB</t>
  </si>
  <si>
    <t xml:space="preserve">15/16 Margaret Street </t>
  </si>
  <si>
    <t>Property Company</t>
  </si>
  <si>
    <t xml:space="preserve">Was of interest and has asked for further info </t>
  </si>
  <si>
    <t>Great Titchfield House</t>
  </si>
  <si>
    <t>2nd &amp; 4th floors</t>
  </si>
  <si>
    <t>6/10 Gt Portland Street</t>
  </si>
  <si>
    <t>4th floor</t>
  </si>
  <si>
    <t>2nd Floor West</t>
  </si>
  <si>
    <t>Too bland. Configuration not right for their use.</t>
  </si>
  <si>
    <t xml:space="preserve">23-25 Eastcastle Street </t>
  </si>
  <si>
    <t>2md &amp; 3rd floor West</t>
  </si>
  <si>
    <t xml:space="preserve">65 Margaret Street </t>
  </si>
  <si>
    <t xml:space="preserve">2nd Floor  </t>
  </si>
  <si>
    <t>1st viewing and liked it but wants to be in for July -awaiting confirmation A/C can be added and rads removed in time.</t>
  </si>
  <si>
    <t>Good size but not as keen on building as common parts looking dated and unit not as nice as 65 MS.</t>
  </si>
  <si>
    <t>19-21 Great Portland Street</t>
  </si>
  <si>
    <t>2nd &amp; 3rd Floors</t>
  </si>
  <si>
    <t>4th Floor</t>
  </si>
  <si>
    <t>Windsor House</t>
  </si>
  <si>
    <t>Ground Floor &amp; Basement</t>
  </si>
  <si>
    <t>Focaccia Mia</t>
  </si>
  <si>
    <t>1st inspection. Have not received feedback from our agent</t>
  </si>
  <si>
    <t>Amma &amp; Atta</t>
  </si>
  <si>
    <t>£120,000&gt;£135,000 pa 10 year lease, 12 months R/F</t>
  </si>
  <si>
    <t xml:space="preserve">meeting on site to discuss their brand offering and financials </t>
  </si>
  <si>
    <t xml:space="preserve">Moray House </t>
  </si>
  <si>
    <t xml:space="preserve">Crypto business </t>
  </si>
  <si>
    <t>Making Moves</t>
  </si>
  <si>
    <t xml:space="preserve">Interested in a a furnished deal. All in budget of £1.2m (£150 psf). In discussions. </t>
  </si>
  <si>
    <t>39 Great Portland Street</t>
  </si>
  <si>
    <t>Sushi Dog</t>
  </si>
  <si>
    <t>£87,500 pa / 10 yr lease /9 months R/F</t>
  </si>
  <si>
    <t>in discussion. However, I have asked KLM to provide their marketing thoughts for this site.</t>
  </si>
  <si>
    <t>F &amp; B</t>
  </si>
  <si>
    <t xml:space="preserve">1st inspection. </t>
  </si>
  <si>
    <t>2nd floor</t>
  </si>
  <si>
    <t>1st inspection. Too small.</t>
  </si>
  <si>
    <t>2nd &amp; 3rd floors East</t>
  </si>
  <si>
    <t>1st inspection. Liked both units.</t>
  </si>
  <si>
    <t>Windsor House, 40-41 Great Castle Street</t>
  </si>
  <si>
    <t>1st inspection, awaiting further feedback</t>
  </si>
  <si>
    <t>Several suites</t>
  </si>
  <si>
    <t>1st inspection. Liked the 1st &amp; 2nd floors.</t>
  </si>
  <si>
    <t>Wants to take the 3rd floor. Terms are being prepared for their considertion. This will be for their accounts dept.</t>
  </si>
  <si>
    <t>Italian Concept</t>
  </si>
  <si>
    <t>Inspection with agent (Salter Rex) and client. Not suitable.</t>
  </si>
  <si>
    <t>Bakery offering</t>
  </si>
  <si>
    <t>1st inspection with their UK representatives. They are reporting to their client who joined via a zoom call inspection . Awaiting to get their response.</t>
  </si>
  <si>
    <t>2nd, 3rd &amp; 4th Floor (East)</t>
  </si>
  <si>
    <t>Timmy Chan (Aesthetics)</t>
  </si>
  <si>
    <t>1st inspection, positive feedback but 1st viewing so exploring the market</t>
  </si>
  <si>
    <t>DY/SB</t>
  </si>
  <si>
    <t>Encore Search</t>
  </si>
  <si>
    <t>Co-terminus with existing lease</t>
  </si>
  <si>
    <t>Additional space for existing tenants, awaiting decision from board</t>
  </si>
  <si>
    <t xml:space="preserve">Taste of Lahore </t>
  </si>
  <si>
    <t>1st Viewing, positive feedback but feel the ground floor may be too small, discussing internally</t>
  </si>
  <si>
    <t>Circus House, 21 Great Titchfield Street</t>
  </si>
  <si>
    <t xml:space="preserve">Ground Floor </t>
  </si>
  <si>
    <t>Lege Artis Ltd</t>
  </si>
  <si>
    <t>Hanway Commercial</t>
  </si>
  <si>
    <t>15 years with t/b yr 10</t>
  </si>
  <si>
    <t>3rd Viewing (fitout inspection), initial offer too low, awaiting their improved bid.</t>
  </si>
  <si>
    <t>Sanderson Weatherall</t>
  </si>
  <si>
    <t xml:space="preserve">1st viewing, awaiting further feedback </t>
  </si>
  <si>
    <t>Hefty Films</t>
  </si>
  <si>
    <t xml:space="preserve">2nd viewing, awaiting further instruction </t>
  </si>
  <si>
    <t xml:space="preserve">3rd Floor </t>
  </si>
  <si>
    <t xml:space="preserve">Lemon Pepper </t>
  </si>
  <si>
    <t xml:space="preserve">2nd viewing, awaiting further feedback </t>
  </si>
  <si>
    <t>1st, 3rd, 4th &amp; 5th Floors</t>
  </si>
  <si>
    <t>2nd Floor (East)</t>
  </si>
  <si>
    <t>Fitzrovia IT</t>
  </si>
  <si>
    <t>7 yrs with t/b 5th yr</t>
  </si>
  <si>
    <t>Fitout inspection</t>
  </si>
  <si>
    <t>Welbeck House, 66-67 Wells Street</t>
  </si>
  <si>
    <t>Ground, Bse &amp; Mezz</t>
  </si>
  <si>
    <t>76 Harley Street (Denist)</t>
  </si>
  <si>
    <t>1st inspection, space requires too much work to be considered</t>
  </si>
  <si>
    <t>1st inspection, client likes space and says it works well for use</t>
  </si>
  <si>
    <t>Wiindsor House, 40-41 Great Castle Street</t>
  </si>
  <si>
    <t xml:space="preserve">NYD </t>
  </si>
  <si>
    <t>1st inspection, liked space but needs to discuss internally</t>
  </si>
  <si>
    <t>23-25 Eastcastle Street</t>
  </si>
  <si>
    <t>Ground &amp; Basment</t>
  </si>
  <si>
    <t>Luigia</t>
  </si>
  <si>
    <t>One Voice</t>
  </si>
  <si>
    <t>1st Inspection, would like to see plans for extraction/ventilation but  no other feedback given.</t>
  </si>
  <si>
    <t>Michael Ritschel</t>
  </si>
  <si>
    <t>Hubble</t>
  </si>
  <si>
    <t>1st Inspection, awaiting feedback</t>
  </si>
  <si>
    <t>MC</t>
  </si>
  <si>
    <t>1st Inspection, liked 2nd floor and asked for details. Will get back to us after viewing all properties.</t>
  </si>
  <si>
    <t>Unknown</t>
  </si>
  <si>
    <t>Portland House</t>
  </si>
  <si>
    <t>19 Margaret Street</t>
  </si>
  <si>
    <t>1st &amp; 5th Floor</t>
  </si>
  <si>
    <t>20 Margaret Street</t>
  </si>
  <si>
    <t>42 Great Portland Street</t>
  </si>
  <si>
    <t>2-4th Floors</t>
  </si>
  <si>
    <t>Lewis Ellis</t>
  </si>
  <si>
    <t>Radiant House</t>
  </si>
  <si>
    <t>2nd Inspection, narrowing their favourites down</t>
  </si>
  <si>
    <t>Golderbrock House</t>
  </si>
  <si>
    <t>Natlino</t>
  </si>
  <si>
    <t xml:space="preserve">2nd &amp; 3rd </t>
  </si>
  <si>
    <t>New Era Cap Company</t>
  </si>
  <si>
    <t>New Era Cap Co</t>
  </si>
  <si>
    <t>Terms Agreed</t>
  </si>
  <si>
    <t>See deal section. Inspection by design team</t>
  </si>
  <si>
    <t>1st &amp; 2nd Floors</t>
  </si>
  <si>
    <t>Inspection with board directors. Very keen on the space but nervous about the quality of the landlords Cat A works. We should here early next week if it’s an opportunity that they can move forward with.</t>
  </si>
  <si>
    <t>2nd Inpsection. Follow up meeting with their board directors. Aawaiting reveised offer.</t>
  </si>
  <si>
    <t>23-25 Eastcastlle Street</t>
  </si>
  <si>
    <t>Lawyers</t>
  </si>
  <si>
    <t>1st inspection. Looking at many other opportunities in the area. Seemed to like the space and our in the area. Agent would not say who they were.</t>
  </si>
  <si>
    <t>Highlight House</t>
  </si>
  <si>
    <t>Upper floors</t>
  </si>
  <si>
    <t>£400,000 15 year lease</t>
  </si>
  <si>
    <t>Pre app meeting with Westminster planning officer . Hotel use will be consider only if we can show that we have marketed the floors for 12 months. This may delay matters by 10 months.</t>
  </si>
  <si>
    <t>Ground Floor, (West)</t>
  </si>
  <si>
    <t>Lege Aetis Ltd</t>
  </si>
  <si>
    <t>15 years with t/b 10th yr on 6 months notice</t>
  </si>
  <si>
    <t>SA Law</t>
  </si>
  <si>
    <t>YES</t>
  </si>
  <si>
    <t>Appley Properties Ltd</t>
  </si>
  <si>
    <t>4th / 5th Floor</t>
  </si>
  <si>
    <t>4th Floor East</t>
  </si>
  <si>
    <t>Looking to move before the end of the year.  Undertaking initial round of viewings</t>
  </si>
  <si>
    <t xml:space="preserve">Completed Deals </t>
  </si>
  <si>
    <t xml:space="preserve">New Lettings </t>
  </si>
  <si>
    <t>New Rent</t>
  </si>
  <si>
    <t>1st floor East         1,050 sq ft</t>
  </si>
  <si>
    <t>Peter Alexander UK Limited</t>
  </si>
  <si>
    <t>5 years with a t/b 3rd year</t>
  </si>
  <si>
    <t>Yes</t>
  </si>
  <si>
    <t>COMPLETED</t>
  </si>
  <si>
    <t>5th Floor                        750 sq ft</t>
  </si>
  <si>
    <t>Moods beauty Limited</t>
  </si>
  <si>
    <t>2 years</t>
  </si>
  <si>
    <t>Withers LLP</t>
  </si>
  <si>
    <t>Moray House, 23-35 Great Titchfield Street</t>
  </si>
  <si>
    <t>6th floor Flat                        2 bed</t>
  </si>
  <si>
    <t>Mr Marc Versteegh &amp; William Alex Mikael Antell</t>
  </si>
  <si>
    <t>1 year</t>
  </si>
  <si>
    <t>NA</t>
  </si>
  <si>
    <t>1st Floor West          688 sq ft</t>
  </si>
  <si>
    <t>Staybrook Capital Limited</t>
  </si>
  <si>
    <t>3 years t/b 2nd year</t>
  </si>
  <si>
    <t>Ground floor and Basement , East,             5,667 sq ft</t>
  </si>
  <si>
    <t>Future Maxx Limited </t>
  </si>
  <si>
    <t>15 years with a landord break at the end of the 8th year for redevolpement</t>
  </si>
  <si>
    <t>Fladgates</t>
  </si>
  <si>
    <t>Draft lease being prepared Rent agreed is yr1 £300,000 
yr2 £300,000; yr3 £305,000
yr4 £310,000; yr5 £320,000</t>
  </si>
  <si>
    <t>3-4 Bywell Place</t>
  </si>
  <si>
    <t xml:space="preserve">Ground Floor and Basement                                                  1,167 sq ft    </t>
  </si>
  <si>
    <t>Solo60 Ltd</t>
  </si>
  <si>
    <t>5 years with landlord break (conditional on noise complaints)</t>
  </si>
  <si>
    <t>Moray House</t>
  </si>
  <si>
    <t>Ground Floor (A &amp; B) 1,452 sq ft</t>
  </si>
  <si>
    <t>For a term to expiring 15/03/28</t>
  </si>
  <si>
    <t>3rd Floor (west)
504  sq ft</t>
  </si>
  <si>
    <t>Reishi Clinic Ltd</t>
  </si>
  <si>
    <t>5 year lease
t/b 2nd yr</t>
  </si>
  <si>
    <t>Completed - Not completed.</t>
  </si>
  <si>
    <t>146-148 Oxford Street</t>
  </si>
  <si>
    <t>Ground Floor and Basement              3,348 sq ft</t>
  </si>
  <si>
    <t>Holland &amp; Barrett Retail Limited</t>
  </si>
  <si>
    <t>10 years with t/b 6th year</t>
  </si>
  <si>
    <t>Exchanged</t>
  </si>
  <si>
    <t>Completion 08/11/2024</t>
  </si>
  <si>
    <t>27-28 Eastcastle Street</t>
  </si>
  <si>
    <t>3rd Floor                        665 sq ft</t>
  </si>
  <si>
    <t>Principle Estate Management Limited</t>
  </si>
  <si>
    <t>5 year lease with a t/b 2 years &amp; 6 months</t>
  </si>
  <si>
    <t xml:space="preserve">Completed. </t>
  </si>
  <si>
    <t>2nd Floor (East)                    1,124 sq ft</t>
  </si>
  <si>
    <t>Cord Technologies Ltd</t>
  </si>
  <si>
    <t xml:space="preserve">Co-terminus with current lease on 1st Floor West (Expiring 08/06/26 </t>
  </si>
  <si>
    <t>Stephenson's LLP</t>
  </si>
  <si>
    <t>Golderbrock House, 15/19 Great Titchfield Street</t>
  </si>
  <si>
    <t>1st Floor Front                    1,335 sq ft</t>
  </si>
  <si>
    <t>Space Workplace Limited</t>
  </si>
  <si>
    <t>5 years with a tb 3rd year</t>
  </si>
  <si>
    <t>BPE</t>
  </si>
  <si>
    <t>Completed 29/11/2024</t>
  </si>
  <si>
    <t>5th Floor (West)           1,528 sq ft</t>
  </si>
  <si>
    <t>Rios Design Studio Limited</t>
  </si>
  <si>
    <t>5 year lease with a t/b 3rd year</t>
  </si>
  <si>
    <t>Completed 26/11/2024</t>
  </si>
  <si>
    <t xml:space="preserve">Flat 1, 2 Little Portland Street </t>
  </si>
  <si>
    <t>1st Floor (1 bed / 420 sq ft)</t>
  </si>
  <si>
    <t xml:space="preserve">Miss Julia Tressler </t>
  </si>
  <si>
    <t xml:space="preserve">1 Year </t>
  </si>
  <si>
    <t>Completed. 12/12/2024</t>
  </si>
  <si>
    <t xml:space="preserve">20 Great Portland street </t>
  </si>
  <si>
    <t>2 Margaret Court 265sq.ft</t>
  </si>
  <si>
    <t>Express Alteration and Tailoring Limited</t>
  </si>
  <si>
    <t xml:space="preserve">5 year lease </t>
  </si>
  <si>
    <t>Solicitors instructed. Tenant made additional requests for lease documents.  12/12/2024</t>
  </si>
  <si>
    <t>4th Floor, (East) 1,957sq.ft</t>
  </si>
  <si>
    <t>Racoon Media Services Ltd</t>
  </si>
  <si>
    <t xml:space="preserve">5 years lease with a break option in year 3 on </t>
  </si>
  <si>
    <t>SMB London</t>
  </si>
  <si>
    <t>4th Floor, (West) 1,548sq.ft</t>
  </si>
  <si>
    <t>5 years lease with a break option in year 3 on 6 months notice. Rent free period of 3 months &amp; 16 days</t>
  </si>
  <si>
    <t>6th Floor, (West) 1,253sq.ft</t>
  </si>
  <si>
    <t>Directors Cut Films West Ltd</t>
  </si>
  <si>
    <t>5 year lease with a break option in year 3 on 6 months &amp; 16 days.</t>
  </si>
  <si>
    <t>Ronald Fletcher Baker</t>
  </si>
  <si>
    <t>6-10 Great Portland Street</t>
  </si>
  <si>
    <t>5th Floor - 995sq.ft</t>
  </si>
  <si>
    <t>4th Floor (West) 390sq.ft</t>
  </si>
  <si>
    <t>Sen Yoga Ltd</t>
  </si>
  <si>
    <t>5 years with t/b year 3</t>
  </si>
  <si>
    <t>Lisa's Law LLP</t>
  </si>
  <si>
    <t>Ground Floor Centre 1,949sq.ft</t>
  </si>
  <si>
    <t>H Illume Limited T/A LAPO</t>
  </si>
  <si>
    <t>10 years</t>
  </si>
  <si>
    <t>Compled</t>
  </si>
  <si>
    <t>Store Room A, 50 Eastcastle Street</t>
  </si>
  <si>
    <t xml:space="preserve">Basement 454 sq ft </t>
  </si>
  <si>
    <t xml:space="preserve">Hope 93 Ltd </t>
  </si>
  <si>
    <t>4 Years 7 Months / TB on 28/08/27 / RR on 28/08/27</t>
  </si>
  <si>
    <t>Completed 28th  27/01</t>
  </si>
  <si>
    <t>2nd Floor  
325sq.ft</t>
  </si>
  <si>
    <t>Learn Lab Language School Ltd</t>
  </si>
  <si>
    <t>2 years with t/b yr 1 (Inclusive deal)</t>
  </si>
  <si>
    <t>Completed 11/02/2025</t>
  </si>
  <si>
    <t xml:space="preserve">50 Eastcastle Street </t>
  </si>
  <si>
    <t>Suite 398 
416sq.ft</t>
  </si>
  <si>
    <t>Pixi Beauty</t>
  </si>
  <si>
    <t>Co terminus with lease at 395 13/11/2027</t>
  </si>
  <si>
    <t xml:space="preserve">Inhouse </t>
  </si>
  <si>
    <t>Awaiting for completion documents from Pixi. Internal Red Tape and time difference is the given reason for the delay. 24/01/2025</t>
  </si>
  <si>
    <t>6/10 Great Portland Street</t>
  </si>
  <si>
    <t>Basement, Ground &amp; Mezz                       4,958 sq ft</t>
  </si>
  <si>
    <t>PrettyLittleThing.com Limited</t>
  </si>
  <si>
    <t>Pannone Corporate LLP</t>
  </si>
  <si>
    <t>Completed 11/02/2025.14.02.25</t>
  </si>
  <si>
    <t>93 Mortimer Street / 43 Gt Portland Street</t>
  </si>
  <si>
    <t>Whole Building                                 10,112 sq ft</t>
  </si>
  <si>
    <t>Kamel Lazaar Foundation</t>
  </si>
  <si>
    <t>15 years with t/b 6th &amp; 10th years</t>
  </si>
  <si>
    <t>Completed 20/02/2025</t>
  </si>
  <si>
    <t>Ground Floor Rear    325 sq ft</t>
  </si>
  <si>
    <t xml:space="preserve">Arlettie </t>
  </si>
  <si>
    <t>3 years</t>
  </si>
  <si>
    <t>Due to complete 20/21 Feb. 20/02/25</t>
  </si>
  <si>
    <t>Princess House, 50 Eastcastle Street</t>
  </si>
  <si>
    <t>Suite 375 
797 sq.ft</t>
  </si>
  <si>
    <t>Jewells Retail Limited</t>
  </si>
  <si>
    <t>A term to expire on 07/03/26</t>
  </si>
  <si>
    <t>Inhouse</t>
  </si>
  <si>
    <t>all inclusive deal completed 25/02/2025</t>
  </si>
  <si>
    <t xml:space="preserve">Suite 380
480 sq.ft </t>
  </si>
  <si>
    <t xml:space="preserve">Ground Floor and Basement                                                  6,092  sq ft    </t>
  </si>
  <si>
    <t>Sisters Grimm Limited</t>
  </si>
  <si>
    <t>Completed. 28.02.25</t>
  </si>
  <si>
    <t>22 Eastcastle Street</t>
  </si>
  <si>
    <t>Ground Floor 
2,333 sq ft</t>
  </si>
  <si>
    <t>Top Bridal Ltd</t>
  </si>
  <si>
    <t>5 year Lease t/b 3rd year</t>
  </si>
  <si>
    <t>Completion  20.03.25</t>
  </si>
  <si>
    <t>5th Floor                           350 sq ft</t>
  </si>
  <si>
    <t xml:space="preserve">Mercury Creations Limited </t>
  </si>
  <si>
    <t xml:space="preserve">COMPLETED </t>
  </si>
  <si>
    <t>1 Great Titchfield street</t>
  </si>
  <si>
    <t>Whole Building       1,425 sq ft</t>
  </si>
  <si>
    <t>Tikkas</t>
  </si>
  <si>
    <t>Optima Law Solicitors</t>
  </si>
  <si>
    <t>Engrossments all signed. Awaiting completion money - 28/03/2025</t>
  </si>
  <si>
    <t>4th Floor
1,330 sq.ft.</t>
  </si>
  <si>
    <t>Autonomous UK Ltd</t>
  </si>
  <si>
    <t>5 year lease with t/b year 3</t>
  </si>
  <si>
    <t>Clarke Wilmott</t>
  </si>
  <si>
    <t>Completed 15/04/2025</t>
  </si>
  <si>
    <t>Priness House, 50 Eastcastle Street</t>
  </si>
  <si>
    <t>Suite 350, 3rd Floor       489 sq ft</t>
  </si>
  <si>
    <t>Jewells Retail Ltd</t>
  </si>
  <si>
    <t>A term to expire on 07/03/2026</t>
  </si>
  <si>
    <t>Completed 23/04/2025</t>
  </si>
  <si>
    <t>4th Floor 
4,250 sq.ft</t>
  </si>
  <si>
    <t>Ascot Lloyd</t>
  </si>
  <si>
    <t>10 year lease
T/0 Break 5yr</t>
  </si>
  <si>
    <t>Murrell Associates</t>
  </si>
  <si>
    <t>Completed 09/05/2025</t>
  </si>
  <si>
    <t>142-144 Oxford Street</t>
  </si>
  <si>
    <t>Basement, Ground &amp; 1st Floor  
5,200 sq ft</t>
  </si>
  <si>
    <t>02 (Telefonica)</t>
  </si>
  <si>
    <t>10 year lease with t/b 5th year</t>
  </si>
  <si>
    <t xml:space="preserve">Shoosmiths </t>
  </si>
  <si>
    <t>2nd Floor (East)
3,300 sq.ft</t>
  </si>
  <si>
    <t>InPost UK Ltd</t>
  </si>
  <si>
    <t>A Term to expire on 25/01/2029</t>
  </si>
  <si>
    <t>Basement (East)           1,519 sq ft</t>
  </si>
  <si>
    <t>12 month short form lease</t>
  </si>
  <si>
    <t>In solicitors hands.  Final draft lease issued and being reviewed. Tenant is on a licence to occupy in the interim. 23.05.2025. Still awaiting tenant signed docs expected on 16/06/25 to report completion next week 13/06/25</t>
  </si>
  <si>
    <t>Ground (East)
1,525 sq.ft.</t>
  </si>
  <si>
    <t xml:space="preserve">Lualdi UK </t>
  </si>
  <si>
    <t xml:space="preserve">5 year Lease </t>
  </si>
  <si>
    <t>Final iteration of lease docs out for final approval. Co-terminus surrender and new lease to start 16th June. Tenant in Gilmoora temporarily to facilitate 50 ECS development. 09.05.2025. Engrossments have been circulated. Now targeting completion W/C 16th. 13/06/2025. Delayed again completion set for 01/08/25 tenant is waiting for materials for fit out to arrive from italy. Nowat gilmoora house in the interim 20/06/2025.</t>
  </si>
  <si>
    <t>Fred Bakery Limited</t>
  </si>
  <si>
    <t>15 years with mutual break in 10th year</t>
  </si>
  <si>
    <t xml:space="preserve">Finance Law </t>
  </si>
  <si>
    <t>Completed.. 11.07.25</t>
  </si>
  <si>
    <t>Fitzrovia IT Ltd</t>
  </si>
  <si>
    <t>7 years With T/o Break end of 5yr</t>
  </si>
  <si>
    <t>Spencer West</t>
  </si>
  <si>
    <t>Renewals</t>
  </si>
  <si>
    <t>Basement (rear) Golderbrock House</t>
  </si>
  <si>
    <t>Soho Sonic Ltd</t>
  </si>
  <si>
    <t>5 year lease from 27/05/24</t>
  </si>
  <si>
    <t>3rd Floor, 26 Eastcastle Street, London, W1</t>
  </si>
  <si>
    <t>Alistair Park</t>
  </si>
  <si>
    <t>5 years from 06/09/24</t>
  </si>
  <si>
    <t>Completed.</t>
  </si>
  <si>
    <t>2nd Floor (West/North) 17/18 Margaret Street</t>
  </si>
  <si>
    <t>Smiggle UK Limited</t>
  </si>
  <si>
    <t>5 year lease from 26/05/24</t>
  </si>
  <si>
    <t>Ground floor (west) 17/18 Maragret Street</t>
  </si>
  <si>
    <t>Yamaha Music Europe GmbH</t>
  </si>
  <si>
    <t>5 year lease with T/B 20/08/24</t>
  </si>
  <si>
    <t>67-81 Mortimer Street (2nd floor West)</t>
  </si>
  <si>
    <t>Tappei Education Division</t>
  </si>
  <si>
    <t>Tenant break anytime after 29/06/2025 subject to 3 months notice</t>
  </si>
  <si>
    <t>Penthouse, 39 Great Portland Street</t>
  </si>
  <si>
    <t xml:space="preserve">Ciss &amp; Moser </t>
  </si>
  <si>
    <t xml:space="preserve">1 year, no break </t>
  </si>
  <si>
    <t>Gilmoora House, 57-61 Mortimer Street (Part Gnd - 5th Floors)</t>
  </si>
  <si>
    <t xml:space="preserve">Gilmoora House Limited </t>
  </si>
  <si>
    <t>5 years, no break</t>
  </si>
  <si>
    <t>156-162 Oxford Street</t>
  </si>
  <si>
    <t>Dune Group Ltd</t>
  </si>
  <si>
    <t>10 years from 22/02/2025</t>
  </si>
  <si>
    <t xml:space="preserve">Completed </t>
  </si>
  <si>
    <t>2nd Floor (Front), 
25 Margaret Street</t>
  </si>
  <si>
    <t xml:space="preserve">Tara Harrison </t>
  </si>
  <si>
    <t>5 Years from 
06/12/24</t>
  </si>
  <si>
    <t>1st Floor, 50 Great Portland Street</t>
  </si>
  <si>
    <t>Fresh Film Productions Ltd</t>
  </si>
  <si>
    <t>5 Years from 13/10/24</t>
  </si>
  <si>
    <t xml:space="preserve">Kiosk </t>
  </si>
  <si>
    <t>The Prudential Assurance Company</t>
  </si>
  <si>
    <t>1  Year</t>
  </si>
  <si>
    <t>Basement, 25 Margaret Street</t>
  </si>
  <si>
    <t>Mr Kram Ddin Saraj (trading as K Tailoring)</t>
  </si>
  <si>
    <t xml:space="preserve">5 years no break. </t>
  </si>
  <si>
    <t>4th Floor, (East), 52/53 Margaret Street</t>
  </si>
  <si>
    <t>MDB SARL</t>
  </si>
  <si>
    <t>2 years from 18/11/24</t>
  </si>
  <si>
    <t>20 Margaret Street (ground and Basement)</t>
  </si>
  <si>
    <t>Outform EMEA Ltd</t>
  </si>
  <si>
    <t>5 years, breaks in 2nd &amp; 3rd year</t>
  </si>
  <si>
    <t>Lease Completed 12/12/2024.</t>
  </si>
  <si>
    <t>16/20 Hallam Street, London W1</t>
  </si>
  <si>
    <t>Astor Court Hotel</t>
  </si>
  <si>
    <t xml:space="preserve">10 year lease from 25/12/2024  rent review in  5th year at a ccommencing rent of £600,000 pax </t>
  </si>
  <si>
    <t>Lease Completed 13/12/2024.</t>
  </si>
  <si>
    <t>Ground floor/basement Radiant House 36-38 Mortimer Street</t>
  </si>
  <si>
    <t>Europride Ltd</t>
  </si>
  <si>
    <t>3 year lease with T/B 17/02/26</t>
  </si>
  <si>
    <t>Completed (20/12/24)</t>
  </si>
  <si>
    <t>Ground Floor, (West), Portland House, 4 Great Portland Street, London, W1</t>
  </si>
  <si>
    <t>Costa Limited</t>
  </si>
  <si>
    <t>15 years from 12.01.25 with a mutual break option in year 10.  Rent review to be 5 yearly.</t>
  </si>
  <si>
    <t>completed on 20/12/24.</t>
  </si>
  <si>
    <t xml:space="preserve">142-144 Oxford Street </t>
  </si>
  <si>
    <t>Cool Britannia Retail Ltd</t>
  </si>
  <si>
    <t xml:space="preserve">1 Year with 1 month rolling mutual break option from day 1. </t>
  </si>
  <si>
    <t xml:space="preserve">Unrepresented </t>
  </si>
  <si>
    <t>Completed 06/01/2025</t>
  </si>
  <si>
    <t>Mappin House, 4 Winsley Street, W1</t>
  </si>
  <si>
    <t>London Mappin House Center</t>
  </si>
  <si>
    <t xml:space="preserve">Lease renewal on the same terms as the existing lease(s) for a term of 3 years at a Headline Rent of £1,648,856 per annum.
As per the existing lease a personal side deed will be annexed to the lease documenting a rental concession for the Guaranteed Rent to be set a 60% of a Headline Rent equating to £989,313 per annum.  </t>
  </si>
  <si>
    <t>Field Fisher</t>
  </si>
  <si>
    <t xml:space="preserve">Wallace </t>
  </si>
  <si>
    <t>Completed 14/01/2025</t>
  </si>
  <si>
    <t>Ground / Basement, 26 Eastcastle street</t>
  </si>
  <si>
    <t>Hela Brands Ltd</t>
  </si>
  <si>
    <t>3yr lease from 23/12/2024 T/O break after 12 month</t>
  </si>
  <si>
    <t>Documents signed by both parties.  Awaiting completion monies. 07.02.25</t>
  </si>
  <si>
    <t>Completed. 07.02.25</t>
  </si>
  <si>
    <t>Julco House, 26-28 Great Portland Street</t>
  </si>
  <si>
    <t>Oakvale Capital</t>
  </si>
  <si>
    <t>5 years, T/O break 3rd year</t>
  </si>
  <si>
    <t>Engrossments returened to SH in readiness for completion. Complete 014.02.25</t>
  </si>
  <si>
    <t>James Boatman</t>
  </si>
  <si>
    <t xml:space="preserve">3 Year lease renewal, rental uplift to £17,500. No rent free  </t>
  </si>
  <si>
    <t>COMPLETED 08/04/2025</t>
  </si>
  <si>
    <t>Face2Face Counselling Services Limited</t>
  </si>
  <si>
    <t xml:space="preserve">5 year lease with tenant break in year 3,  subject to 6 months notice </t>
  </si>
  <si>
    <t>Completed 16/04/2025</t>
  </si>
  <si>
    <t>Psychotherapy UK Training Ltd</t>
  </si>
  <si>
    <t>One Therapy Limited</t>
  </si>
  <si>
    <t xml:space="preserve">Agree to surrender existing lease and grant a new 10 Year lease from 17/02/25, to coincide with the Ground &amp; Basement (Rear), 76 GPS. 
No rent free. </t>
  </si>
  <si>
    <t>Ellicotts LLP</t>
  </si>
  <si>
    <t>Completed 01/05/2025</t>
  </si>
  <si>
    <t xml:space="preserve">10 Year renewal from 17/02/25. No Rent Free. </t>
  </si>
  <si>
    <t>68 Wells Street</t>
  </si>
  <si>
    <t xml:space="preserve">Voltage TV Productions Ltd </t>
  </si>
  <si>
    <t xml:space="preserve">3 Year renewal. No rent free. </t>
  </si>
  <si>
    <t>Completed 30/04/2025</t>
  </si>
  <si>
    <t xml:space="preserve">71/77 Mortimer Street </t>
  </si>
  <si>
    <t>Folia ltd.</t>
  </si>
  <si>
    <t>Licence to occupy granted in the interim from 8th January 2025 for both units on all inclusive sum.
71 Mortimer Street - £55,000  works yet to start
77 Mortimer Street - £55,000</t>
  </si>
  <si>
    <t xml:space="preserve">Leases completed 9/05/2025 
Side letter in place for 71 Mortimer while works continue  </t>
  </si>
  <si>
    <t xml:space="preserve">Top Floor Flat, 25 Margaret Street </t>
  </si>
  <si>
    <t xml:space="preserve">Mr Ole &amp; Miss Ledo </t>
  </si>
  <si>
    <t xml:space="preserve">12 Month term, no break </t>
  </si>
  <si>
    <t>The London Child &amp; Family Therapy Centre</t>
  </si>
  <si>
    <t>5 years from 19/03/25</t>
  </si>
  <si>
    <t>£57.55</t>
  </si>
  <si>
    <t>Not represented</t>
  </si>
  <si>
    <t>Temporary Lettings</t>
  </si>
  <si>
    <t>1st Floor (Rear) 66 Wells Street, Welbeck House</t>
  </si>
  <si>
    <t>Bradshaw &amp; Bradshaw</t>
  </si>
  <si>
    <t>1 month</t>
  </si>
  <si>
    <t>All inclusive deal for £1,677  20/12/2024</t>
  </si>
  <si>
    <t xml:space="preserve">Licence to occupy up to 24/1/2025 </t>
  </si>
  <si>
    <t>Moray House, 23-25 Great Titchfield Street, 2nd Floor, suites 1,2,3 &amp; 4</t>
  </si>
  <si>
    <t>EveryMatrix</t>
  </si>
  <si>
    <t>12 month extension  All inclusive rent with 6 month break with 3 months notice Tenant right to break March 2025</t>
  </si>
  <si>
    <t xml:space="preserve">Short term lease agreed </t>
  </si>
  <si>
    <t>Ground &amp; Basement</t>
  </si>
  <si>
    <t xml:space="preserve">2nd ,3rd ,4th </t>
  </si>
  <si>
    <t>1st Rear</t>
  </si>
  <si>
    <t xml:space="preserve">2nd Rear </t>
  </si>
  <si>
    <t>3rd Rear</t>
  </si>
  <si>
    <t>20 Great Portland Street</t>
  </si>
  <si>
    <t xml:space="preserve"> 20 Great Portland Street</t>
  </si>
  <si>
    <t xml:space="preserve"> 76 Great Portland Street </t>
  </si>
  <si>
    <t xml:space="preserve">4th Floor </t>
  </si>
  <si>
    <t xml:space="preserve">17/18 Margaret Street
</t>
  </si>
  <si>
    <t>Flat</t>
  </si>
  <si>
    <t>Olga Mantsiou</t>
  </si>
  <si>
    <t>42-48 Great Portland Street</t>
  </si>
  <si>
    <t>2nd, 3rd &amp; 4th Floors</t>
  </si>
  <si>
    <t>3rd Inspection. Wanted to show another colleague and have asked for a lot of details regarding fit out specifications.</t>
  </si>
  <si>
    <t>1st Inspection. Awaiting feedback.</t>
  </si>
  <si>
    <t>50 Great Portland Street</t>
  </si>
  <si>
    <t>Kanjo</t>
  </si>
  <si>
    <t xml:space="preserve">1st Inspection. Liked this unit but the works won't be completed in time. </t>
  </si>
  <si>
    <t>3rd Floor West</t>
  </si>
  <si>
    <t>Nilam Holmes</t>
  </si>
  <si>
    <t>3rd &amp; 5th Floor</t>
  </si>
  <si>
    <t>3rd Inspection. Wanted to see 5th floor and compare to 3rd Floor. Will get back to us.</t>
  </si>
  <si>
    <t>Andy</t>
  </si>
  <si>
    <t>1st Inspection, liked the unit but believes it may be too small. Will liase with  Workplace+ to get them to see bigger units.</t>
  </si>
  <si>
    <t>Workplace+</t>
  </si>
  <si>
    <t>85 Mortimer Street</t>
  </si>
  <si>
    <t>1-3rd Floor</t>
  </si>
  <si>
    <t>DMR Film</t>
  </si>
  <si>
    <t>1st Inspection, interested in a short term let only.</t>
  </si>
  <si>
    <t>Jack McGinley - Scale</t>
  </si>
  <si>
    <t>Undisclosed</t>
  </si>
  <si>
    <t>4-6k media co not fitted</t>
  </si>
  <si>
    <t>Stuart Fricker - SW</t>
  </si>
  <si>
    <t>Emma Bruce - KF</t>
  </si>
  <si>
    <t>Archie Keogh - DWD</t>
  </si>
  <si>
    <t>Positive viewing although likely to be too small as they want to accommodate 50 staff</t>
  </si>
  <si>
    <t>Johnny Bray</t>
  </si>
  <si>
    <t>Alee Smalley - Savills</t>
  </si>
  <si>
    <t>Duo lingo</t>
  </si>
  <si>
    <t>New Era Cap</t>
  </si>
  <si>
    <t>Revolution</t>
  </si>
  <si>
    <t>2 x Viewings, Currently in the Forge, Landsec space, Waiting on feedback from agent</t>
  </si>
  <si>
    <t xml:space="preserve">Discounted - UO elsewhere </t>
  </si>
  <si>
    <t>Discounted - gone to managed space</t>
  </si>
  <si>
    <t>Looking for 4-5k close to transport links - 
Trying to encourage an inspection</t>
  </si>
  <si>
    <t>5th floor</t>
  </si>
  <si>
    <t>6th floor</t>
  </si>
  <si>
    <t>7th floor</t>
  </si>
  <si>
    <t>8th floor</t>
  </si>
  <si>
    <t>9th floor</t>
  </si>
  <si>
    <t>10th floor</t>
  </si>
  <si>
    <t>11th floor</t>
  </si>
  <si>
    <t>yes</t>
  </si>
  <si>
    <t>Unknown/Professional</t>
  </si>
  <si>
    <t>Freddie Worth/Vail Williams</t>
  </si>
  <si>
    <t>Beth Wem/Kontor</t>
  </si>
  <si>
    <t xml:space="preserve">Professional services firm looking for a single floor around St James's, Soho and Covent Garden of 7-9,500 sq ft. Stay v go situation. </t>
  </si>
  <si>
    <t>The building is not of high enough spec. Looking at Cat A space, as they have an architect onboarded to work with</t>
  </si>
  <si>
    <t>3-5k Must be fitted. Encouraging a viewing</t>
  </si>
  <si>
    <t>MALCOLM COHEN, SABINA BATHURST, GREG HUTCHENSON and CRISTINA CIMPOESU</t>
  </si>
  <si>
    <t>4-5k West End general - have shortlisted on
 Kato to view</t>
  </si>
  <si>
    <t>Unknown
Professional</t>
  </si>
  <si>
    <t xml:space="preserve">Currently based on Lower Regent St and want to ideally stay near Piccadilly. Search seems to be very slow moving at the moment.
Professional services firm looking for a single floor around St James's, Soho and Covent Garden of 7-9,500 sq ft. Stay v go situation. Will also consider short term options. </t>
  </si>
  <si>
    <t xml:space="preserve">51 Great Portland Street </t>
  </si>
  <si>
    <t xml:space="preserve">Tommy Graham / Art Gallery </t>
  </si>
  <si>
    <t>HOTs agreed - waiting for Langham to send out draft lease</t>
  </si>
  <si>
    <t xml:space="preserve">51-53 Margaret Street </t>
  </si>
  <si>
    <t>4th Floor (West)</t>
  </si>
  <si>
    <t xml:space="preserve">Craig Whitehead / Contractors </t>
  </si>
  <si>
    <t>Unit was out of price range and prefered another option viewed</t>
  </si>
  <si>
    <t>Andrea Puccio / Art Gallery</t>
  </si>
  <si>
    <t>Unit was too small and would prefer a lift if upper floors</t>
  </si>
  <si>
    <t xml:space="preserve">15-16 Margaret Street </t>
  </si>
  <si>
    <t xml:space="preserve">Whole </t>
  </si>
  <si>
    <t>Film Post Production Co</t>
  </si>
  <si>
    <t>Floor arrangement floor by floor was not feasible following further review, focus is now on self contained space</t>
  </si>
  <si>
    <t xml:space="preserve">63/64 Margaret Street </t>
  </si>
  <si>
    <t>4th Floor (East)</t>
  </si>
  <si>
    <t>Mukil Menon / Logistic Centre</t>
  </si>
  <si>
    <t xml:space="preserve">They liked the space however after consideration they would prefer a ground floor presence </t>
  </si>
  <si>
    <t xml:space="preserve">21 Little Portland Street </t>
  </si>
  <si>
    <t xml:space="preserve">1st Floor </t>
  </si>
  <si>
    <t xml:space="preserve">Azime Hunt </t>
  </si>
  <si>
    <t>Agent representing a number of turkish clinics. Unit was disregarded due their prefernce of Mayfair of Fitzrovia</t>
  </si>
  <si>
    <t>4th &amp; 5th Floor</t>
  </si>
  <si>
    <t>Scott Free - Film production Co</t>
  </si>
  <si>
    <t>Inspected both floors, suggesting the location and configuration works well. Decision makers are currently away on AL. MM due to catchup next week on their return</t>
  </si>
  <si>
    <t>3rd</t>
  </si>
  <si>
    <t>Levi RE - EV Charging Co</t>
  </si>
  <si>
    <t>Details being considered by the agents client - they're looking for a 1 year break date. Viewings expected next week</t>
  </si>
  <si>
    <t xml:space="preserve">4th or 5th </t>
  </si>
  <si>
    <t>https://eckuity.com/about-us/</t>
  </si>
  <si>
    <t xml:space="preserve">Eckuity Capital is a proactive investor in healthcare, and they work with their portfolio companies to create value across multiple aspects of company growth. They have enquired into 15-16 Margaret Street and I hope to view with them next week. </t>
  </si>
  <si>
    <t>15-16 MS &amp; 21 LPS</t>
  </si>
  <si>
    <t>All</t>
  </si>
  <si>
    <t>Auriga</t>
  </si>
  <si>
    <t>Tech co. looking for new office space. No floor of particular ibetrest but hopefully out vieiwng all available next week.</t>
  </si>
  <si>
    <t>1st at LPS &amp; 3rd at 15-16</t>
  </si>
  <si>
    <t>Pictorum</t>
  </si>
  <si>
    <t xml:space="preserve">Small family office (advisory in art &amp; Private Investment). They like the look of 21 LPS &amp; 3rd Floor 15-16 MS. chased for viewing times. </t>
  </si>
  <si>
    <t>Golf Traveller</t>
  </si>
  <si>
    <t>Ideally they want a managed space but they are lookign at tradtional and liek the look of 15-16 MS (3rd)</t>
  </si>
  <si>
    <t>https://app.termgrid.com/</t>
  </si>
  <si>
    <t xml:space="preserve">2nd Viewing with an agent led requirement. The look and feel of the space is a great attraction for them and the meeting room is a bonus. The layout however of the space is proving to be fairly awakard to accomodate the desk space required. </t>
  </si>
  <si>
    <t>Financial Tech</t>
  </si>
  <si>
    <t>Tech investment bank Looking for 600-1000 sq ft in Fitzrovia with a meeting room. Both 3rd, 4th and 5th floors are being considered for viewings</t>
  </si>
  <si>
    <t xml:space="preserve">63-64 Margaret Street </t>
  </si>
  <si>
    <t>Production Co</t>
  </si>
  <si>
    <t xml:space="preserve">Looking for circa 800-1000 Sq. Ft in Fitzrovia. Currently building a shortlist of options to potentially view in September once thier directors have returned from overseas. </t>
  </si>
  <si>
    <t>https://www.wb19.co.uk/</t>
  </si>
  <si>
    <t>https://screenscene.ie/</t>
  </si>
  <si>
    <t>Scene ‘Irelands leading post production company’. Viewed with JC, looking for a London office space. They would need to install another meeting room but feedback was positive. JC has also sent info on the other two options Will mentioned. They are reviewing these.</t>
  </si>
  <si>
    <t>1st Inspection, awaiting feedback.</t>
  </si>
  <si>
    <t>53 Eastcastle Street</t>
  </si>
  <si>
    <t>Italian Restuarant</t>
  </si>
  <si>
    <t>23-25 Eastcastle Steet</t>
  </si>
  <si>
    <t>Public Pictures</t>
  </si>
  <si>
    <t>1st Inspection, but loved all the light and the unit -said it was the best they had seen to date but they would want glass in windows replaced.</t>
  </si>
  <si>
    <t>1st Inspection,  Liked unit but didn't like that it didn't have a meeting room</t>
  </si>
  <si>
    <t>1st Inspection, Liked the unit but work might not be done in time.</t>
  </si>
  <si>
    <t>Ascot Lloyds</t>
  </si>
  <si>
    <t>Carter Jonas</t>
  </si>
  <si>
    <t>1st Inspection, meeting rooms not in line with their current branding but think they could make it work.</t>
  </si>
  <si>
    <t>Nonamebargames</t>
  </si>
  <si>
    <t>OneVoice</t>
  </si>
  <si>
    <t>1st Inpection. Will look at plans but believes it may be too small as ideally looking for 10,000sqft on one floor.</t>
  </si>
  <si>
    <t xml:space="preserve">completed </t>
  </si>
  <si>
    <t>Consultancy Firm</t>
  </si>
  <si>
    <t>Neutral viewing. Currently has 3,000 - 3,500 sq.ft. and isn't looking to downsize but they  don't seem to have the budget for larger so they are focussing on the third floor. I have sent them 47-50 Margaret Street too to also consider. Will want unfurnished</t>
  </si>
  <si>
    <t>Undisclosed Prop Co.</t>
  </si>
  <si>
    <t>Felt the quality of the fit-out did not meet their aspirations and were not fans of the suspended ceiling. Was complimentary of the level of natural light, even on a grey day.</t>
  </si>
  <si>
    <t>Visit seemed positive, preferred layout of the 3rd floor but decision maker is away for summer. Considering and will revert once the director is back in September. Second Viewing booked in</t>
  </si>
  <si>
    <t>Banking &amp; Finance</t>
  </si>
  <si>
    <t>Aries Global / Software Company</t>
  </si>
  <si>
    <t>Did not feel the quality met their requirements.</t>
  </si>
  <si>
    <t>Creative &amp; Media</t>
  </si>
  <si>
    <t>Second Viewd. Whilst they liked the space, the focus is on smaller premises due to day-to-day use of the premises.</t>
  </si>
  <si>
    <t>The Production Lens / Film &amp; Media</t>
  </si>
  <si>
    <t>Liked the space but made an unrealistic offer for a 12 month term</t>
  </si>
  <si>
    <t>Lemon Pepper Holdings / Restaurants</t>
  </si>
  <si>
    <t>UO on a self-contained building of 5,500 sq.ft. with window frontage. Too Small</t>
  </si>
  <si>
    <t>UO on a self-contained building of 5,500 sq.ft. with window frontage. Too corporated and preferred something more industrial and fitted with audio suites.</t>
  </si>
  <si>
    <t>Liked the space but couldn't get the requested info in time so decided to proceed on something else</t>
  </si>
  <si>
    <t>Technology</t>
  </si>
  <si>
    <t>Tech co. Preferred 19-21 GPS but they don't need to give notice until August so won't be moving until next year. They were basically on a fact finding tour looking at trad, managed and serviced.</t>
  </si>
  <si>
    <t>4-5k. Cat A or Fully Fitted. Occupation Q4 2025. Viewing 28/08. Positive feedback - need 3 x private offices.</t>
  </si>
  <si>
    <t>Layout doesn't work for them, they have clients coming in often and don't want them to walk past the whole team to get to meeting rooms. They also felt the main working space was too tight for them</t>
  </si>
  <si>
    <t>Originally liked how bright the space was and was confident they could fit 20-22 people in the space. Asked about a managed solution which we're providing quotes for. Agent has subsequently not been able to follow up with his client.</t>
  </si>
  <si>
    <t>Completed 27th August 2025</t>
  </si>
  <si>
    <t xml:space="preserve">Engrossments in circulation in readiness for complettion.  29/08/25 </t>
  </si>
  <si>
    <t>Doctor Care Anywhere</t>
  </si>
  <si>
    <t>16.07.25</t>
  </si>
  <si>
    <t>Arava S.R.L</t>
  </si>
  <si>
    <t>3 year lease effective from 12th  September 2025 with a Tenant's break option at the end of 18th Months.</t>
  </si>
  <si>
    <t>Ufficio.legal@aravfashion.it. Solicitor is based in Italy</t>
  </si>
  <si>
    <t>Windsor House, 40/41 Great Castle Street</t>
  </si>
  <si>
    <t>2nd Inspection. Brought space planners with them so  hopeful they will proceed.</t>
  </si>
  <si>
    <t>55 Eastcastle Street</t>
  </si>
  <si>
    <t>1st Inspection. Size would work but preferred location of 9 Little Portland Street -which they were going to view later and will get back to me</t>
  </si>
  <si>
    <t>51 Margaret Street</t>
  </si>
  <si>
    <t>David Wej / Menswear</t>
  </si>
  <si>
    <t>Ayodele Ayeni / Dentist</t>
  </si>
  <si>
    <t>1st Inspection. Liked size but needs to be on ground or first floor to due deliveries of clothing.</t>
  </si>
  <si>
    <t xml:space="preserve">2nd Floor </t>
  </si>
  <si>
    <t>1st Inspection. Liked unit and have sent him details along with some other cheaper options.</t>
  </si>
  <si>
    <t>9 Little Portland Street</t>
  </si>
  <si>
    <t>David Wej</t>
  </si>
  <si>
    <t xml:space="preserve">2nd Inspection, likes unit but doesn't have to move until January so will wait if any ground floor units become available. </t>
  </si>
  <si>
    <t>Dmitri Savchenko</t>
  </si>
  <si>
    <t xml:space="preserve">1st Inspection. </t>
  </si>
  <si>
    <t>3 year term, wants rolling break on anniversary of the lease</t>
  </si>
  <si>
    <t>VF Northern Europe (T/A Timberland)</t>
  </si>
  <si>
    <t>10 Years Leae. TOB Year 5. 3m RF. £615 Zone A (Gross) / £600 Zone A (Net)</t>
  </si>
  <si>
    <t xml:space="preserve">Awaiting Tenants Signature to complete lease. 13/06/2025. Tenant has expressed intrest in the third floor and JM is putting proposal together for next week. </t>
  </si>
  <si>
    <t>In solicitors hands.  First draft lease issued and being reviewed by otherside. 13/06/2025. Completion Funds to be transferred with engrossment due by COB next week. 04/09/2025</t>
  </si>
  <si>
    <t>158 Oxford Street</t>
  </si>
  <si>
    <t xml:space="preserve">Yes </t>
  </si>
  <si>
    <t>Pale Horse Gallery Ltd</t>
  </si>
  <si>
    <t xml:space="preserve">3 year Lease  </t>
  </si>
  <si>
    <t>Completed 05/09/2025</t>
  </si>
  <si>
    <t>Lease documents close to final form. Side letter for Landlord works being drafted on common part works. 05/09/2025</t>
  </si>
  <si>
    <t>NMHL Ltd (T/A Natalino)</t>
  </si>
  <si>
    <t>5 year lease T/o break end of yr 2.</t>
  </si>
  <si>
    <t>1st Inspection. Awaiting agent feedback</t>
  </si>
  <si>
    <t>Day One Strategy</t>
  </si>
  <si>
    <t>1st to 5th Floors</t>
  </si>
  <si>
    <t>1st &amp; 5th Floors</t>
  </si>
  <si>
    <t>2nd Inspection. Awaiting agent feedback</t>
  </si>
  <si>
    <t xml:space="preserve">2nd Inspection, likes the unit but wants windows replaced and rolling break clause as they are new. </t>
  </si>
  <si>
    <t>3 year term</t>
  </si>
  <si>
    <t>51-53 Eastcastle Street</t>
  </si>
  <si>
    <t>L'Osteria</t>
  </si>
  <si>
    <t xml:space="preserve">Nyo </t>
  </si>
  <si>
    <t>Tally</t>
  </si>
  <si>
    <t>2nd Inspection. Narrowing it down and awaiting feedback from agent.</t>
  </si>
  <si>
    <t>Toby Ross</t>
  </si>
  <si>
    <t>1st Inspection. Will have a chat with partner and get back to us.</t>
  </si>
  <si>
    <t>Tempo Performance</t>
  </si>
  <si>
    <t>1st Inspection. Keen but will chat with partner and get back to us.</t>
  </si>
  <si>
    <t xml:space="preserve">Ground &amp; Basement </t>
  </si>
  <si>
    <t xml:space="preserve">Fads Boutique Limited </t>
  </si>
  <si>
    <t>6 Months, Landlord rolling 1 months break</t>
  </si>
  <si>
    <t>Completed. 12.09.25.</t>
  </si>
  <si>
    <t xml:space="preserve">32-26 Great Portland Street
</t>
  </si>
  <si>
    <t>1st Inspection. Director of the company was also one of the founding directors of Vapiano. Looking at several other sites.</t>
  </si>
  <si>
    <t>2nd-4th floors</t>
  </si>
  <si>
    <t xml:space="preserve">Pretty Little Thing/Debenhams </t>
  </si>
  <si>
    <t>James Hardwicke</t>
  </si>
  <si>
    <t>1st, 3rd &amp; 4thfloors</t>
  </si>
  <si>
    <t>2nd West Floors</t>
  </si>
  <si>
    <t>part 1st floor</t>
  </si>
  <si>
    <t>2nd &amp; 3rd floors</t>
  </si>
  <si>
    <t>32-36 Great Portland Street</t>
  </si>
  <si>
    <t xml:space="preserve">1st inspection and looking at several option on the estate. Seeking circa 3000-4000 sq ft </t>
  </si>
  <si>
    <t>1st inspection and looking at several option on the estate. Seeking circa 3000-4000 sq ft. This is the floor that is of most interest</t>
  </si>
  <si>
    <t>Hosiptality Management Company</t>
  </si>
  <si>
    <t>Matta.London</t>
  </si>
  <si>
    <t>1st inspection. Liked all the properties shown and has asked for additional information. (Sent)</t>
  </si>
  <si>
    <t>2nd inspection. Plans requested showing how we could connect the 2 suites to create 4,000 sq ft suite</t>
  </si>
  <si>
    <t>1st floor West</t>
  </si>
  <si>
    <t>Oreno Ramen Limited</t>
  </si>
  <si>
    <t>Interested in the suite. Reviewing the figures.</t>
  </si>
  <si>
    <t>1st rear</t>
  </si>
  <si>
    <t xml:space="preserve">Terms Agreed </t>
  </si>
  <si>
    <t>See letting progress section</t>
  </si>
  <si>
    <t>1 Rebal</t>
  </si>
  <si>
    <t>£375,000 pa/ 15 year lease</t>
  </si>
  <si>
    <t>Design team inspection. Outline terms agreed subject to agreement of rent free. Should be confirmed next week.</t>
  </si>
  <si>
    <r>
      <t>Letting and property management company looking for c. 1,000 – 1,500 sqft. JC is speaking with them, they like the 1</t>
    </r>
    <r>
      <rPr>
        <vertAlign val="superscript"/>
        <sz val="12"/>
        <color theme="4" tint="-0.499984740745262"/>
        <rFont val="Ariel"/>
      </rPr>
      <t>st</t>
    </r>
    <r>
      <rPr>
        <sz val="12"/>
        <color theme="4" tint="-0.499984740745262"/>
        <rFont val="Ariel"/>
      </rPr>
      <t xml:space="preserve"> floor space. Looking to book them in next week.</t>
    </r>
  </si>
  <si>
    <t>Interested in the third floor. Would want some adaptions to the fit-out. I have suggested they make an offer on this basis.</t>
  </si>
  <si>
    <t xml:space="preserve">19-21 Great Portland Street </t>
  </si>
  <si>
    <t xml:space="preserve">Not high enough standard for them. Also mentioned they felt the layout of 47-50 Margaret Street was restricted. </t>
  </si>
  <si>
    <t>Viewed both floors -felt both were not  high enough standard for them.</t>
  </si>
  <si>
    <t>Medical Co.</t>
  </si>
  <si>
    <t xml:space="preserve">Second viewing, the decision maker preferred the second-floor office but is mulling over options. They understand there is an offer on the second floor and will choose the third floor as well. </t>
  </si>
  <si>
    <t>4-5k. Cat A or Fully Fitted. Occupation Q4 2025. Went on 2nd viewing tour of c.3,000 sq ft. Reviewing options.</t>
  </si>
  <si>
    <t xml:space="preserve">Discussions ongoing on acquiring 3rd floor. Agent has reported that they are still trying to assign their lease on Wigmore St before acquiring additional space </t>
  </si>
  <si>
    <t>GF &amp; B</t>
  </si>
  <si>
    <t>Beyond</t>
  </si>
  <si>
    <t>Viewing 15.09. New pilates concept</t>
  </si>
  <si>
    <t xml:space="preserve">Horatio </t>
  </si>
  <si>
    <t>N.A</t>
  </si>
  <si>
    <t>Scape Goat Gallery</t>
  </si>
  <si>
    <t>General</t>
  </si>
  <si>
    <t>Face Gym</t>
  </si>
  <si>
    <t>Space</t>
  </si>
  <si>
    <t xml:space="preserve">Requirement for c.800 - 1,200 sq.ft Current preference for Marylebone over Fitzrovia but have talked them through estate strategy and vision. Agent walked them around Fitzrovia 12.09 and will come back with feedback. </t>
  </si>
  <si>
    <t>6th Floor, (East)</t>
  </si>
  <si>
    <t>ARAVA s.r.l</t>
  </si>
  <si>
    <t>Licence to Occupy  for the period from 16.09.25 to 20.09.25 prepared by LEM. 19.09.25.</t>
  </si>
  <si>
    <t>Licence to Occupy for 5 days from 16.09.25 to 20.09.25. All inclusive rent: Licence fee £184.93 x 5 = £924.65, S/c £34.91 x 5 days= £174.55 &amp; Insurance £5.02 x 5= £25.10. Total Licence fee = £1,124.30 pus VAT. All inclusive rent based on a daily rate of £224.86 per day. Net rent £145/day.</t>
  </si>
  <si>
    <t>142 - 144 Oxford Street</t>
  </si>
  <si>
    <t>Hogan Lovell</t>
  </si>
  <si>
    <t>Lease Renewal for a term of one year from 24 October 2025. Tenant Break option with 3 months notices. Tenant Option to Renew on 24 October 2026 Subject to 3 Months Notice</t>
  </si>
  <si>
    <t>Edwards Cheshire Company Ltd</t>
  </si>
  <si>
    <t>Cameron Ameri -Art Gallery</t>
  </si>
  <si>
    <t>51-53 Margareet Street</t>
  </si>
  <si>
    <t>5th Floor</t>
  </si>
  <si>
    <t>1st Inspection. Looking to relocate his gallery to West End. Liked unit but would need kitchenette and strip lighting removed and replaced with spot lights.</t>
  </si>
  <si>
    <t>1st Inspection. Liked this space a lot, but the unit needs a lot of work and is bigger/costlier than 51-53 MS.</t>
  </si>
  <si>
    <t>Gate VR - Virtual Reality/Gaming Co.</t>
  </si>
  <si>
    <t>1st Inspection. Waiting to hear feedback from agent.</t>
  </si>
  <si>
    <t>Winkworths Commercial Property</t>
  </si>
  <si>
    <t>1st Inspection. Wasn't happy with fhe looring, wooden doors &amp; older kitchenette. Thinks common areas could do with some improvement.</t>
  </si>
  <si>
    <t>1st Inspection. Liked this unit a lot and can see potential but has no kitchenette. Thinks common areas need improvement.</t>
  </si>
  <si>
    <t xml:space="preserve">1st Inspection. Liked the unit, thought the common parts were terrible and couldn't bring clients to. </t>
  </si>
  <si>
    <t>1st Inspection. Liked the unit but only need the unit for a few months and will see if it works.</t>
  </si>
  <si>
    <t>1st-3rd floors</t>
  </si>
  <si>
    <t>Sindhu Immigration Services</t>
  </si>
  <si>
    <t>5 years with a mutail break at the end of the 3rd year</t>
  </si>
  <si>
    <t>Tech Company</t>
  </si>
  <si>
    <t>1st inspection with their retained agent Noble Harris. Proposed party had already seen 14 other properties had another 7 properties to see the next day. Awaiting feedack.</t>
  </si>
  <si>
    <t>19/21 Great Portland Street</t>
  </si>
  <si>
    <t>1st inspection and waiting for feedback from our agent</t>
  </si>
  <si>
    <t>NK</t>
  </si>
  <si>
    <t>2nd floor W</t>
  </si>
  <si>
    <t>Medical Company</t>
  </si>
  <si>
    <t>1st inspection. Very interested and has been short listed</t>
  </si>
  <si>
    <t>See letting progress</t>
  </si>
  <si>
    <t>Inspection by design team</t>
  </si>
  <si>
    <t>entire 1st floor</t>
  </si>
  <si>
    <t>1st inspection. Awaiting feedback from our agent</t>
  </si>
  <si>
    <t>Viewed 04.09. South African gallery looking to open first London premises. Positive viewing. Floorplans with them to review. Expecting offer</t>
  </si>
  <si>
    <t>all vacant units</t>
  </si>
  <si>
    <t>Runway East</t>
  </si>
  <si>
    <t>Wanted to inspect to see the floors post strip out works. They are interested and are now considering a deal without landlord capex</t>
  </si>
  <si>
    <t>Ground &amp; basement</t>
  </si>
  <si>
    <t>Jenki</t>
  </si>
  <si>
    <t>1st inspection. Awaiting feedback from our agent.</t>
  </si>
  <si>
    <t>STL</t>
  </si>
  <si>
    <t>1st Inspection. Didn't like 2nd floor due to condensers at the back and didn't like 3rd or 4th floor as no meeting room.</t>
  </si>
  <si>
    <t xml:space="preserve">Peratera /Tech </t>
  </si>
  <si>
    <t>Peratera /Tech</t>
  </si>
  <si>
    <t xml:space="preserve">Engrossments issued. </t>
  </si>
  <si>
    <t>WS / ET</t>
  </si>
  <si>
    <t>53 Great Portland Street</t>
  </si>
  <si>
    <t>Kiosk</t>
  </si>
  <si>
    <t>Mr Yogesh Brahmbhatt</t>
  </si>
  <si>
    <t>5 Years With break at end of 3rd &amp;4th Year</t>
  </si>
  <si>
    <t>Markand &amp; Co Solicitors LLP</t>
  </si>
  <si>
    <t>32 Great Portland Street</t>
  </si>
  <si>
    <t>Undisclosed
Service industry</t>
  </si>
  <si>
    <t>Viewed 32 GPS along with multiple options and have been out viewing since and they have another tour lined up. We have not been formally discounted. Monitor for feedback. Their lease ends in March but they want to find something by Christmas.</t>
  </si>
  <si>
    <t>Sequoia Investment Management</t>
  </si>
  <si>
    <t>Bluebook</t>
  </si>
  <si>
    <t>3rd &amp; 4th Floor</t>
  </si>
  <si>
    <t xml:space="preserve">Viewed and the on floor feedback was positive but the building has been discounted as they are now solely focusing on options with manned receptions. </t>
  </si>
  <si>
    <t>In discussions -low offer submitted.</t>
  </si>
  <si>
    <t>3rd Inspection. Awaiting feedback and an improved offer.</t>
  </si>
  <si>
    <t>Face Gtm</t>
  </si>
  <si>
    <t xml:space="preserve">LEM </t>
  </si>
  <si>
    <t>1st inspection. They want to arrange another inspection (to be confirmed)</t>
  </si>
  <si>
    <t>1st - 3rd floors</t>
  </si>
  <si>
    <t>Design Agency</t>
  </si>
  <si>
    <t>1st inspection with their retained agent Kinney &amp; Green. Property configuration not right for them.</t>
  </si>
  <si>
    <t>1st inspection and we are waiting our agents feedback.</t>
  </si>
  <si>
    <t>41 Great Portland Street</t>
  </si>
  <si>
    <t>Horatio</t>
  </si>
  <si>
    <t>Openning offer submitted. Negs ongoing.</t>
  </si>
  <si>
    <t>1st inspection. Preferance is for Great Portland Street.</t>
  </si>
  <si>
    <t>Golderbroch House</t>
  </si>
  <si>
    <t>Post production</t>
  </si>
  <si>
    <t>1st inspection. An intro from Final Cut. May be suitable and will be considering it further over the weekend.</t>
  </si>
  <si>
    <t>Requested rolling break after first year.</t>
  </si>
  <si>
    <t>2nd Inspection. Liked unit and thought it was a good size but wanted to know how much of a reduction we were prepared to give and cannot commit to longer than one year.</t>
  </si>
  <si>
    <t>PETER MORDEN, LAURA OWEN, PERRY LINCH, HOWARD ROSEN, TOM HURLEY, SHANIE HENDERSON, CARA DYETT, CHERYL MASON, JOSEPH MANNU, WILLIAM SPENCER, ELIZABETH TAYLOR, SEAN COLLINS, RUTH SHAVE, GRAEME NOOT,</t>
  </si>
  <si>
    <t>SH to circulate first draft to to tenant. Lease to commence on 19 January 2026.</t>
  </si>
  <si>
    <t>whole</t>
  </si>
  <si>
    <t>Design agency</t>
  </si>
  <si>
    <t>1st viewing and awaiting feedback</t>
  </si>
  <si>
    <t>1st veiwing and seeking feedback from agent</t>
  </si>
  <si>
    <t>Grd &amp; Base</t>
  </si>
  <si>
    <t>Cottio Coffee</t>
  </si>
  <si>
    <t>1st inspection. Requested further info requested. They are a chinese coffee business with 17,000 units in 28 countries.Awaiting an offer on one site TBC.</t>
  </si>
  <si>
    <t>2nd inspection. Requested further info requested. They are a chinese coffee business with 17,000 units in 28 countries.Awaiting an offer on one site TBC.</t>
  </si>
  <si>
    <t>3rd inspection. Requested further info requested. They are a chinese coffee business with 17,000 units in 28 countries.Awaiting an offer on one site TBC.</t>
  </si>
  <si>
    <t>Fin tech business</t>
  </si>
  <si>
    <t>ECP</t>
  </si>
  <si>
    <t>Denistry</t>
  </si>
  <si>
    <t>1st inspection. Opening offer received at £90,000 pa. In Negs. We want to know more about this business and they have been advised that we are looking for an elevated retail use.</t>
  </si>
  <si>
    <t>3rd-5th floors</t>
  </si>
  <si>
    <t>1st inspection. Waiting for their feedback report.</t>
  </si>
  <si>
    <t>3rd &amp; 4th floors</t>
  </si>
  <si>
    <t>Johniie Burns</t>
  </si>
  <si>
    <t>1st inspection. Oscar &amp; BAFTA winner looking to lease one of the floors. Outline figures have been sent. Will be a week before they can confirm that they can move progress.</t>
  </si>
  <si>
    <t>2nd imspection. They will require the floor to be furnished if this is something that they wish to take forward. They are looking at other furnished options in the market via their agent JLL</t>
  </si>
  <si>
    <t xml:space="preserve">Mappin House </t>
  </si>
  <si>
    <t>Wanted to see again as they are keen to lease the entire building. Will now consider a non landlord capex contribution deal</t>
  </si>
  <si>
    <t>3 floors</t>
  </si>
  <si>
    <t xml:space="preserve">Considering but now keen to reconsider Mappin House. Additional detaiils sent oon both properties </t>
  </si>
  <si>
    <t>Draft documents with the other side. Tenant pack sent to SH.  03/10/2025</t>
  </si>
  <si>
    <t>3-36 Great Portland House</t>
  </si>
  <si>
    <t>Binocular Productions</t>
  </si>
  <si>
    <t>42 Great Portland House</t>
  </si>
  <si>
    <t>1st Inspection. Liked unit but needs additional meeting room.</t>
  </si>
  <si>
    <t>1st Inspection. Really liked space would need additional meeting room.</t>
  </si>
  <si>
    <t>1st Inspection. Liked unit but would want additional space from 34 and meeting room.</t>
  </si>
  <si>
    <t>1st Inspection. Liked unit and location but would need additional meeting rooms.</t>
  </si>
  <si>
    <t>6-10 Great Portland House</t>
  </si>
  <si>
    <t>Restaurant Investment Company</t>
  </si>
  <si>
    <t>1st inspection and looking at several other properties in the area. The person who inspected will report back to directors.</t>
  </si>
  <si>
    <t>160 Oxford Street</t>
  </si>
  <si>
    <t>shop</t>
  </si>
  <si>
    <t>Dynamic Accessories Limited t/a New Era</t>
  </si>
  <si>
    <t>£475,000/6 months R/F, 10 yr lease</t>
  </si>
  <si>
    <t>in negs.</t>
  </si>
  <si>
    <t>Studio Boum</t>
  </si>
  <si>
    <t>3rd inspection. This is very encouraging and we are hoping to receive an offer.</t>
  </si>
  <si>
    <t>Recruitment company</t>
  </si>
  <si>
    <t>TMT</t>
  </si>
  <si>
    <t>1st inspection with their retained agent Workplace Company. Looging for circa 20,000 sq ft. Same agent that is reppresenting New Era!</t>
  </si>
  <si>
    <t>Hope 93</t>
  </si>
  <si>
    <t>1st inspection,</t>
  </si>
  <si>
    <t>1st inspection. Looking at a retail and café opportunity to showcase their products.</t>
  </si>
  <si>
    <t xml:space="preserve">Board game manufacture </t>
  </si>
  <si>
    <t>42/48 Great Portland Street</t>
  </si>
  <si>
    <t>4th &amp; 5th floors</t>
  </si>
  <si>
    <t>Inkxspace</t>
  </si>
  <si>
    <t>Very interested in leasing the 5th floor. In negs on  potential deal.</t>
  </si>
  <si>
    <t>1st Inspection. Was viewing various options in the area. Awaiting feedback.</t>
  </si>
  <si>
    <t>Film Production Co.</t>
  </si>
  <si>
    <t>1st Inspection. Liked space but will need to determine if the layout will work for them.</t>
  </si>
  <si>
    <t xml:space="preserve">Ovis / Coffee Co. </t>
  </si>
  <si>
    <t>2nd inspection. Looking at taking this site for a 3 month pop up before commiting to the area long term.</t>
  </si>
  <si>
    <t>War Games &amp; Drinks Operator</t>
  </si>
  <si>
    <t>Belcor</t>
  </si>
  <si>
    <t xml:space="preserve">Tenant lease renewal is on hold while the landlord prepares a retail strategy with KLM.  Existing tenants may no longer meet the requirements under the new strategy.  26.09.25 </t>
  </si>
  <si>
    <t>Lease completed.  09/10/25</t>
  </si>
  <si>
    <t>They are very keen to take this unit as an expansion space and showcase their work with high-end fashion clients. They will look to collaborate with DLX (they already work with Kith) and also develop a café with Monocle Magazine or Café Nuances. If done right, this could be a very exciting opportunity for the estate.</t>
  </si>
  <si>
    <t>Engrossments issued for signing. 15/10/2025</t>
  </si>
  <si>
    <t>Draft documents still with tenant to review. SH have chased. 15/10/2025</t>
  </si>
  <si>
    <t>ET</t>
  </si>
  <si>
    <t>Nepenthes</t>
  </si>
  <si>
    <t>2nd Inspection. Awaiting feedback.</t>
  </si>
  <si>
    <t>32/36 Great Portland Street</t>
  </si>
  <si>
    <t>75-77 Margaret Street</t>
  </si>
  <si>
    <t>2nd, 3rd Floor</t>
  </si>
  <si>
    <t>Metspace</t>
  </si>
  <si>
    <t>Kith</t>
  </si>
  <si>
    <t>Junior</t>
  </si>
  <si>
    <t>2nd &amp; 4th Floor</t>
  </si>
  <si>
    <t>B-Side</t>
  </si>
  <si>
    <t>3rd Inspection. Awaiting feedback.</t>
  </si>
  <si>
    <t>2nd &amp; 4rd Floor</t>
  </si>
  <si>
    <t>2nd, 4th &amp; 5th floors</t>
  </si>
  <si>
    <t>1 &amp; 2nd Floors</t>
  </si>
  <si>
    <t>Halem Street Hotel</t>
  </si>
  <si>
    <t>1st to 3rd Floors</t>
  </si>
  <si>
    <t>Libere Hospitality Group</t>
  </si>
  <si>
    <t>Forte</t>
  </si>
  <si>
    <t>2nd-4th Floors</t>
  </si>
  <si>
    <t>Unknown / Production Co.</t>
  </si>
  <si>
    <t>Andrew Rosen</t>
  </si>
  <si>
    <t>Matcha Drink Co.</t>
  </si>
  <si>
    <t>James Lightstone</t>
  </si>
  <si>
    <t>Grd Floor</t>
  </si>
  <si>
    <t>41 Great Portland House</t>
  </si>
  <si>
    <t>Base-4th Floors</t>
  </si>
  <si>
    <t>Newmark</t>
  </si>
  <si>
    <t>Grnd &amp; Base</t>
  </si>
  <si>
    <t>Yuan /Cocktail and Fusion Bar/restaurant</t>
  </si>
  <si>
    <t>Dr Ayodele / Dentist</t>
  </si>
  <si>
    <t>KJ One West</t>
  </si>
  <si>
    <t>PYO</t>
  </si>
  <si>
    <t xml:space="preserve">10-year renewal from 28 Sep 2027, Rent £499,600, Rent Review 5th Year.  </t>
  </si>
  <si>
    <t>40-41 Great Castle Street</t>
  </si>
  <si>
    <t>Workspace+</t>
  </si>
  <si>
    <t>Whole building</t>
  </si>
  <si>
    <t>SU Groups</t>
  </si>
  <si>
    <t>Post-Production</t>
  </si>
  <si>
    <t>1st Inspection. Keen but feels rent is too high, will get back to me.</t>
  </si>
  <si>
    <t>RM / Bookshop</t>
  </si>
  <si>
    <t>1st Inspection. Prefers 41 GPS</t>
  </si>
  <si>
    <t>Paul Smith</t>
  </si>
  <si>
    <t>1st Inspection. Awaiting Feedback</t>
  </si>
  <si>
    <t>KSH Management</t>
  </si>
  <si>
    <t>Completed 21/10/2025</t>
  </si>
  <si>
    <t>1st Inspection. Awaiting feedback</t>
  </si>
  <si>
    <t>2nd Inspection. Likes unit and discussing with the board and will come back shortly.</t>
  </si>
  <si>
    <t>Clints Footwear</t>
  </si>
  <si>
    <t>Fin Tech Co</t>
  </si>
  <si>
    <t>2nd inspection. Liked the 2nd floor over the 4th floor. However, they are looking at several options. Awaiting their agents feedback.</t>
  </si>
  <si>
    <t>2nd &amp; 4th floor</t>
  </si>
  <si>
    <t>Software co</t>
  </si>
  <si>
    <t>2nd inspection. Awaiting our agents feedback.</t>
  </si>
  <si>
    <t>Finance  Company</t>
  </si>
  <si>
    <t>1st inspection. Looking at several options</t>
  </si>
  <si>
    <t>1st &amp; 2nd floors</t>
  </si>
  <si>
    <t>2nd inspection. Looking at several options</t>
  </si>
  <si>
    <t>Embassy</t>
  </si>
  <si>
    <t>1st Inspection. Positive feedback, second viewing scheduled.</t>
  </si>
  <si>
    <t>1st Inspection. Viewing went well but will wait for further details.</t>
  </si>
  <si>
    <t>1st Inspection. Awaiting feedback but preferred 32 GPS.</t>
  </si>
  <si>
    <t>Fund Managers</t>
  </si>
  <si>
    <t>1st Inspection. Liked unit and the all the meeting room space.</t>
  </si>
  <si>
    <t>1st Inspection.</t>
  </si>
  <si>
    <t>2nd, 4th &amp; 5th Floors</t>
  </si>
  <si>
    <t>2nd Inspection.Brought the team back to view, really like space.</t>
  </si>
  <si>
    <t>2nd Inspection. Brought the team back and like space but no meeting rooms.</t>
  </si>
  <si>
    <t>1st inspection. Really liked the unit and also looked at 39 Gt Portland Street. Was excited to learn that Kith was moving in around the corner. They will come back to me next week.</t>
  </si>
  <si>
    <t>Racoon</t>
  </si>
  <si>
    <t>1st viewing with a client that they would like to move in as part of a long term contract/post production deal that they are hoping to land.</t>
  </si>
  <si>
    <t>23/25 Eastcastle Street</t>
  </si>
  <si>
    <t>Fashion company</t>
  </si>
  <si>
    <t>1st viewing. They are looking at several options in the area and fringe city.</t>
  </si>
  <si>
    <t>3rd floor East</t>
  </si>
  <si>
    <t>Wal G</t>
  </si>
  <si>
    <t>1st Viewing and have arranged to inspect again.</t>
  </si>
  <si>
    <t>2nd inspection and have requested floor plans to space plan the suite.</t>
  </si>
  <si>
    <t>Termgrid Limited</t>
  </si>
  <si>
    <t>5 years with tenant break 3rd year</t>
  </si>
  <si>
    <t>NO</t>
  </si>
  <si>
    <t>Whispering Smith Ltd</t>
  </si>
  <si>
    <t>3rd, 4th &amp; 5th</t>
  </si>
  <si>
    <t xml:space="preserve">4th &amp; 5th </t>
  </si>
  <si>
    <t>Appointment only gallery - Optima Contemporary</t>
  </si>
  <si>
    <t>https://www.blackandwhitecomms.com/</t>
  </si>
  <si>
    <t>JC -Viewed multiple times with JC. Unfortunatley they dicsounted to another option which already has multiple small partitions for editing suites</t>
  </si>
  <si>
    <t>MM - A gallery viewed looking for private showing areas and office - Layout and size was not best suited</t>
  </si>
  <si>
    <t xml:space="preserve">JC - PR company looking for new office in Fitzrovia. They have shortlisted the 3rd but couldnt move quick enough to compete with Ben's interest. Looking at the idea of taking both the 4th &amp; 5th but they ideally want to be on one floor </t>
  </si>
  <si>
    <t xml:space="preserve">BK - HOTs currently with tenant's agent for review. </t>
  </si>
  <si>
    <t>Amy Giunta / Gallary</t>
  </si>
  <si>
    <t>3rd Floor East</t>
  </si>
  <si>
    <t>5th Floor West</t>
  </si>
  <si>
    <t>IS</t>
  </si>
  <si>
    <t>Lease completed 29th October 2025.</t>
  </si>
  <si>
    <t>Tenant's AML checks have completed.  Tenant is based in France and now awaiting confirmation that tenant has completed the Statutory Declaration on the 1st-3rd Floor 58 Great Titchfield Street, before completing the lease of the protected tenancies.  29/10/25</t>
  </si>
  <si>
    <t>Stephenson Harwood instructed.  Pack being put together. 29/10/2025</t>
  </si>
  <si>
    <t xml:space="preserve">Tenant's solicitors to get back to Stephenson Harwood with their comments on the legal documents shortly. 10/10/2025: 30/10/2025 Lege Atris team undertaking surveys and investigations into how drainage provision can be delivered for use as dentists surgery. </t>
  </si>
  <si>
    <t>Fee Quote accepted, tenant pack being put together. ARES Works is now underway. 10/10/2025 Stephenson Harwood requested further details from Langham, and Elizabeth Taylor provided them over the course of the week. 30/10/2025 - each side's solicitors dealing.</t>
  </si>
  <si>
    <t xml:space="preserve">1st, 3rd &amp; 4th </t>
  </si>
  <si>
    <t>Encora Resourses plc</t>
  </si>
  <si>
    <t>2nd inspection with director. They are looking at several Langham propoerties. Currently based in Kent House, Market Place and looking to downsize</t>
  </si>
  <si>
    <t>2nd floor West</t>
  </si>
  <si>
    <t>1st inspection.</t>
  </si>
  <si>
    <t>2nd inspection.</t>
  </si>
  <si>
    <t>ground &amp; base</t>
  </si>
  <si>
    <t>Café operator</t>
  </si>
  <si>
    <t>1st inspecion. Awaiting feedback.</t>
  </si>
  <si>
    <t>2nd ffloor</t>
  </si>
  <si>
    <t>3rd floor- currently planning.</t>
  </si>
  <si>
    <t>1st inspection. Reporting to board.</t>
  </si>
  <si>
    <t>Awaiting for offer for the whole building.</t>
  </si>
  <si>
    <t>£87.50 psf</t>
  </si>
  <si>
    <t>Heads of Terms circuleted. Waiting for their response.</t>
  </si>
  <si>
    <t xml:space="preserve">2nd </t>
  </si>
  <si>
    <t>Inspection with tD&amp;B contractor looking at space planning the floor for tenant</t>
  </si>
  <si>
    <t>Lito Real Estate</t>
  </si>
  <si>
    <t>Black Sheep</t>
  </si>
  <si>
    <t>Ground &amp; base</t>
  </si>
  <si>
    <t>Whole Build</t>
  </si>
  <si>
    <t>Tassen / Book Shop</t>
  </si>
  <si>
    <t>15 years, £115k 18 months R/F</t>
  </si>
  <si>
    <t>3rd Inspection. Offer made, waiting on further details regarding dilapidations.</t>
  </si>
  <si>
    <t>1st , 3rd &amp; 4th</t>
  </si>
  <si>
    <t>Lonic</t>
  </si>
  <si>
    <t>2nd Inspection. Awaiting Feedback</t>
  </si>
  <si>
    <t>2nd inspection. Awaiting Feedback</t>
  </si>
  <si>
    <t>JL Property</t>
  </si>
  <si>
    <t>WP</t>
  </si>
  <si>
    <t>Arya / Mediterrean Restaurant</t>
  </si>
  <si>
    <t>BB</t>
  </si>
  <si>
    <t>Tenant's AML checks have ceen ompleted.  The tenant is based in France and is now awaiting confirmation that they have completed the Statutory Declaration for the 1st-3rd Floor, 58 Great Titchfield Street, before proceeding with the lease of the protected tenancies.  29/10/25b</t>
  </si>
  <si>
    <t>Tenant's AML checks have completed.  Tenant is based in France and is now awaiting confirmation that the tenant has completed the Statutory Declaration in France.  29/10/25</t>
  </si>
  <si>
    <t>Draft documents in the agreed-upon format to reflect the existing lease. Target completion for Jan 2026. AML Passed. JM is happy with the Licence to Alter docs. Awaiting bank consent.  09/05/2025. Breach of planning application. Awaiting resolution from the tenant. The lease will be completed once the breach is rectified on 13/06/2025. The tenant has agreed to rectify the breach, and completion is expected in Q4.</t>
  </si>
  <si>
    <t>Draft Documents in final form. Lease plans are being amended. Works are close to completion. 03/10/2025</t>
  </si>
  <si>
    <t xml:space="preserve">Stephenson Harwood has answered all the queries raised by the tenant's solicitors and has returned all documents to them. 30/10/2025 - ET has instructed Hot Water Works, which will deliver an electrified and degassed floor, allowing EPC B to be achieved. These are likely to be completed just after the lease does, but a side letter will be required, and Stephen Laud will deal with this. Completion is expected by either Friday, 31 October, or early next week. </t>
  </si>
  <si>
    <t xml:space="preserve">22-23 Eastcastle Street </t>
  </si>
  <si>
    <t>Media 15</t>
  </si>
  <si>
    <t>3rd Floor (West)</t>
  </si>
  <si>
    <t>Didn't like the unit as no kitchenette and they didn't want the hassle of having to put one in.</t>
  </si>
  <si>
    <t>1st Floor (West)</t>
  </si>
  <si>
    <t>Liked unit but didn't like the metal wall as couldn't understand what it was for and don't want to wait for works to be done.</t>
  </si>
  <si>
    <t>They liked the unit a lot, but I didn't like that it had no fridge or blinds (which I mentioned we could supply if needed).</t>
  </si>
  <si>
    <t>51/53 Eastcastle Street</t>
  </si>
  <si>
    <t>Passyunk Avenue</t>
  </si>
  <si>
    <t>OVH</t>
  </si>
  <si>
    <t>1st floor (2 suites)</t>
  </si>
  <si>
    <t>TGR1.618 Limited</t>
  </si>
  <si>
    <t>1st inspection. Did not like the configuration.</t>
  </si>
  <si>
    <t>75/77 Margaret Street</t>
  </si>
  <si>
    <t>entire 2nd floor Front &amp; rear)</t>
  </si>
  <si>
    <t>1st inspection. Liked the configuration and has requested further info.</t>
  </si>
  <si>
    <t>3rd East</t>
  </si>
  <si>
    <t>£63 psf /5 yr lease</t>
  </si>
  <si>
    <t>Several inspections. Offer made and we are running cash flows between this offer and another offer made by Binocular Productions.</t>
  </si>
  <si>
    <t>1st inspection with London director. 2nd inspection to be arranged for US director to inspect.</t>
  </si>
  <si>
    <t xml:space="preserve">Tech company </t>
  </si>
  <si>
    <t>1st inspection. Waiting for update report from our agent.</t>
  </si>
  <si>
    <t>1st inspection. They appeared to like the site and felt that it would work well as a competitive socialising venue.</t>
  </si>
  <si>
    <t>Media Tech agony</t>
  </si>
  <si>
    <t>Media Tech agency</t>
  </si>
  <si>
    <t>Inspection by their design team</t>
  </si>
  <si>
    <t>1st viewing. We have blown them out the 47/50 Margaret Street =3rd floor deal to go with another party. Looking at alternative options</t>
  </si>
  <si>
    <t>See above comment.</t>
  </si>
  <si>
    <t>Media co</t>
  </si>
  <si>
    <t>1st viewing. Looking at several options in the West End</t>
  </si>
  <si>
    <t>2n &amp; 4th floors</t>
  </si>
  <si>
    <t>2nd flooor West</t>
  </si>
  <si>
    <t>2nd viewing. Looking at several options in the West End</t>
  </si>
  <si>
    <t>9 Little Portland House</t>
  </si>
  <si>
    <t>Fabrique (Bakery)</t>
  </si>
  <si>
    <t>Orphalan UK</t>
  </si>
  <si>
    <t>1st Inspection. Like unit but has no meeting rooms and they don't want to put them in.</t>
  </si>
  <si>
    <t>1st Inspection. Really liked this unit due to it's glass partioned meeting rooms but the unit is about to go under offer to someone else.</t>
  </si>
  <si>
    <t>1st Inspection. Liked unit and the meeting rooms. Will look at plan and come back to us.</t>
  </si>
  <si>
    <t>CLYX</t>
  </si>
  <si>
    <t>1st Inspection. Awaiting feedback although clearly liked this one the best due to having a lift. Will need to look at finances.</t>
  </si>
  <si>
    <t>1st, 2nd &amp; 4th Floors</t>
  </si>
  <si>
    <t>Media.Work</t>
  </si>
  <si>
    <t>4th &amp; 5th Floors</t>
  </si>
  <si>
    <t>3rd &amp; 4th Floors</t>
  </si>
  <si>
    <t>SCRT</t>
  </si>
  <si>
    <t>Whole Building</t>
  </si>
  <si>
    <t>(iii) Lease Renewals - Agreed Rental Uplift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</si>
</sst>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Red]\-&quot;£&quot;#,##0"/>
    <numFmt numFmtId="8" formatCode="&quot;£&quot;#,##0.00;[Red]\-&quot;£&quot;#,##0.00"/>
    <numFmt numFmtId="42" formatCode="_-&quot;£&quot;* #,##0_-;\-&quot;£&quot;* #,##0_-;_-&quot;£&quot;* &quot;-&quot;_-;_-@_-"/>
    <numFmt numFmtId="44" formatCode="_-&quot;£&quot;* #,##0.00_-;\-&quot;£&quot;* #,##0.00_-;_-&quot;£&quot;* &quot;-&quot;??_-;_-@_-"/>
    <numFmt numFmtId="43" formatCode="_-* #,##0.00_-;\-* #,##0.00_-;_-* &quot;-&quot;??_-;_-@_-"/>
    <numFmt numFmtId="164" formatCode="_(* #,##0.00_);_(* \(#,##0.00\);_(* &quot;-&quot;??_);_(@_)"/>
    <numFmt numFmtId="165" formatCode="_-[$£-809]* #,##0.00_-;\-[$£-809]* #,##0.00_-;_-[$£-809]* &quot;-&quot;??_-;_-@_-"/>
    <numFmt numFmtId="166" formatCode="dd/mm/yyyy;@"/>
    <numFmt numFmtId="167" formatCode="_-&quot;£&quot;* #,##0_-;\-&quot;£&quot;* #,##0_-;_-&quot;£&quot;* &quot;-&quot;??_-;_-@_-"/>
    <numFmt numFmtId="168" formatCode="&quot;£&quot;#,##0.00"/>
    <numFmt numFmtId="169" formatCode="&quot;£&quot;#,##0"/>
    <numFmt numFmtId="170" formatCode="_(* #,##0_);_(* \(#,##0\);_(* &quot;-&quot;??_);_(@_)"/>
    <numFmt numFmtId="171" formatCode="[$-F800]dddd\,\ mmmm\ dd\,\ yyyy"/>
    <numFmt numFmtId="172" formatCode="&quot;£&quot;#,##0.0"/>
    <numFmt numFmtId="173" formatCode="&quot;£&quot;#,##0.00_);[Red]\(&quot;£&quot;#,##0.00\)"/>
    <numFmt numFmtId="174" formatCode="&quot;£&quot;#,##0.0;[Red]\-&quot;£&quot;#,##0.0"/>
    <numFmt numFmtId="175" formatCode="&quot;£&quot;#,##0_);[Red]\(&quot;£&quot;#,##0\)"/>
  </numFmts>
  <fonts count="43">
    <font>
      <sz val="12"/>
      <color theme="1"/>
      <name val="Aptos Narrow"/>
      <family val="2"/>
      <scheme val="minor"/>
    </font>
    <font>
      <sz val="12"/>
      <color theme="1"/>
      <name val="Aptos Narrow"/>
      <family val="2"/>
      <scheme val="minor"/>
    </font>
    <font>
      <u/>
      <sz val="12"/>
      <color theme="10"/>
      <name val="Aptos Narrow"/>
      <family val="2"/>
      <scheme val="minor"/>
    </font>
    <font>
      <u/>
      <sz val="12"/>
      <color theme="11"/>
      <name val="Aptos Narrow"/>
      <family val="2"/>
      <scheme val="minor"/>
    </font>
    <font>
      <b/>
      <sz val="12"/>
      <color theme="1"/>
      <name val="Aptos Narrow"/>
      <family val="2"/>
      <scheme val="minor"/>
    </font>
    <font>
      <sz val="10"/>
      <color theme="1"/>
      <name val="Aptos Narrow"/>
      <family val="2"/>
      <scheme val="minor"/>
    </font>
    <font>
      <b/>
      <sz val="16"/>
      <color theme="1"/>
      <name val="Aptos Narrow"/>
      <family val="2"/>
      <scheme val="minor"/>
    </font>
    <font>
      <sz val="18"/>
      <color theme="1"/>
      <name val="Times New Roman"/>
      <family val="1"/>
    </font>
    <font>
      <sz val="9"/>
      <color theme="1"/>
      <name val="Arial"/>
      <family val="2"/>
    </font>
    <font>
      <sz val="10"/>
      <color theme="1"/>
      <name val="Arial"/>
      <family val="2"/>
    </font>
    <font>
      <b/>
      <sz val="10"/>
      <color theme="1"/>
      <name val="Arial"/>
      <family val="2"/>
    </font>
    <font>
      <sz val="12"/>
      <color theme="1"/>
      <name val="Arial"/>
      <family val="2"/>
    </font>
    <font>
      <b/>
      <sz val="16"/>
      <color theme="1"/>
      <name val="Arial"/>
      <family val="2"/>
    </font>
    <font>
      <b/>
      <sz val="10"/>
      <color theme="0"/>
      <name val="Arial"/>
      <family val="2"/>
    </font>
    <font>
      <sz val="10"/>
      <name val="Arial"/>
      <family val="2"/>
    </font>
    <font>
      <sz val="16"/>
      <color theme="1"/>
      <name val="Arial"/>
      <family val="2"/>
    </font>
    <font>
      <b/>
      <sz val="11"/>
      <color theme="0"/>
      <name val="Arial"/>
      <family val="2"/>
    </font>
    <font>
      <sz val="10"/>
      <color rgb="FF333333"/>
      <name val="Arial"/>
      <family val="2"/>
    </font>
    <font>
      <b/>
      <u/>
      <sz val="10"/>
      <color theme="1"/>
      <name val="Arial"/>
      <family val="2"/>
    </font>
    <font>
      <sz val="8"/>
      <name val="Aptos Narrow"/>
      <family val="2"/>
      <scheme val="minor"/>
    </font>
    <font>
      <sz val="9"/>
      <color rgb="FF000000"/>
      <name val="Arial"/>
      <family val="2"/>
    </font>
    <font>
      <sz val="9"/>
      <name val="Arial"/>
      <family val="2"/>
    </font>
    <font>
      <sz val="10"/>
      <color rgb="FF000000"/>
      <name val="Arial"/>
      <family val="2"/>
    </font>
    <font>
      <sz val="10"/>
      <color theme="1"/>
      <name val="Calibri"/>
      <family val="2"/>
    </font>
    <font>
      <sz val="9"/>
      <color rgb="FF000001"/>
      <name val="Arial"/>
      <family val="2"/>
    </font>
    <font>
      <sz val="11"/>
      <color theme="1"/>
      <name val="Calibri"/>
      <family val="2"/>
    </font>
    <font>
      <sz val="11"/>
      <color rgb="FF000000"/>
      <name val="Calibri"/>
      <family val="2"/>
    </font>
    <font>
      <sz val="10"/>
      <color rgb="FF000001"/>
      <name val="Arial"/>
      <family val="2"/>
    </font>
    <font>
      <sz val="9"/>
      <color indexed="81"/>
      <name val="Tahoma"/>
      <family val="2"/>
    </font>
    <font>
      <b/>
      <sz val="9"/>
      <color indexed="81"/>
      <name val="Tahoma"/>
      <family val="2"/>
    </font>
    <font>
      <sz val="9"/>
      <color rgb="FFFF0000"/>
      <name val="Arial"/>
      <family val="2"/>
    </font>
    <font>
      <sz val="11"/>
      <name val="Aptos Narrow"/>
      <family val="2"/>
      <scheme val="minor"/>
    </font>
    <font>
      <sz val="12"/>
      <color theme="1"/>
      <name val="Ariel"/>
    </font>
    <font>
      <sz val="12"/>
      <color rgb="FF000000"/>
      <name val="Ariel"/>
    </font>
    <font>
      <sz val="12"/>
      <color theme="3" tint="0.499984740745262"/>
      <name val="Ariel"/>
    </font>
    <font>
      <sz val="12"/>
      <color theme="8"/>
      <name val="Ariel"/>
    </font>
    <font>
      <b/>
      <sz val="12"/>
      <color rgb="FF000000"/>
      <name val="Ariel"/>
    </font>
    <font>
      <sz val="12"/>
      <color theme="4" tint="-0.499984740745262"/>
      <name val="Ariel"/>
    </font>
    <font>
      <vertAlign val="superscript"/>
      <sz val="12"/>
      <color theme="4" tint="-0.499984740745262"/>
      <name val="Ariel"/>
    </font>
    <font>
      <sz val="12"/>
      <color theme="5" tint="-0.499984740745262"/>
      <name val="Ariel"/>
    </font>
    <font>
      <sz val="12"/>
      <color theme="6" tint="-0.499984740745262"/>
      <name val="Ariel"/>
    </font>
    <font>
      <sz val="12"/>
      <color theme="7" tint="-0.249977111117893"/>
      <name val="Ariel"/>
    </font>
    <font>
      <sz val="12"/>
      <color theme="6" tint="-0.249977111117893"/>
      <name val="Ariel"/>
    </font>
  </fonts>
  <fills count="18">
    <fill>
      <patternFill patternType="none"/>
    </fill>
    <fill>
      <patternFill patternType="gray125"/>
    </fill>
    <fill>
      <patternFill patternType="solid">
        <fgColor rgb="FFC0C0C0"/>
        <bgColor indexed="64"/>
      </patternFill>
    </fill>
    <fill>
      <patternFill patternType="solid">
        <fgColor theme="0" tint="-0.249977111117893"/>
        <bgColor indexed="64"/>
      </patternFill>
    </fill>
    <fill>
      <patternFill patternType="solid">
        <fgColor theme="0"/>
        <bgColor indexed="64"/>
      </patternFill>
    </fill>
    <fill>
      <patternFill patternType="solid">
        <fgColor theme="0"/>
      </patternFill>
    </fill>
    <fill>
      <patternFill patternType="solid">
        <fgColor rgb="FFFFFFFF"/>
        <bgColor rgb="FF000000"/>
      </patternFill>
    </fill>
    <fill>
      <patternFill patternType="solid">
        <fgColor rgb="FFA73F2C"/>
        <bgColor indexed="64"/>
      </patternFill>
    </fill>
    <fill>
      <patternFill patternType="solid">
        <fgColor rgb="FFFF0000"/>
        <bgColor indexed="64"/>
      </patternFill>
    </fill>
    <fill>
      <patternFill patternType="solid">
        <fgColor theme="5" tint="-0.249977111117893"/>
        <bgColor indexed="64"/>
      </patternFill>
    </fill>
    <fill>
      <patternFill patternType="solid">
        <fgColor theme="0"/>
        <bgColor theme="4" tint="0.79998168889431442"/>
      </patternFill>
    </fill>
    <fill>
      <patternFill patternType="solid">
        <fgColor theme="0"/>
        <bgColor theme="4" tint="0.59999389629810485"/>
      </patternFill>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rgb="FF000000"/>
      </patternFill>
    </fill>
    <fill>
      <patternFill patternType="solid">
        <fgColor rgb="FFFFFF00"/>
      </patternFill>
    </fill>
    <fill>
      <patternFill patternType="solid">
        <fgColor theme="1"/>
        <bgColor indexed="64"/>
      </patternFill>
    </fill>
  </fills>
  <borders count="47">
    <border>
      <left/>
      <right/>
      <top/>
      <bottom/>
      <diagonal/>
    </border>
    <border>
      <left style="thin">
        <color auto="1"/>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style="thin">
        <color auto="1"/>
      </top>
      <bottom style="thin">
        <color indexed="64"/>
      </bottom>
      <diagonal/>
    </border>
    <border>
      <left style="thin">
        <color rgb="FF000000"/>
      </left>
      <right style="thin">
        <color rgb="FF000000"/>
      </right>
      <top style="thin">
        <color auto="1"/>
      </top>
      <bottom style="thin">
        <color indexed="64"/>
      </bottom>
      <diagonal/>
    </border>
    <border>
      <left/>
      <right style="thin">
        <color indexed="64"/>
      </right>
      <top/>
      <bottom/>
      <diagonal/>
    </border>
    <border>
      <left style="thin">
        <color indexed="64"/>
      </left>
      <right style="thin">
        <color rgb="FF000000"/>
      </right>
      <top style="thin">
        <color auto="1"/>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top style="thin">
        <color auto="1"/>
      </top>
      <bottom style="thin">
        <color rgb="FF000000"/>
      </bottom>
      <diagonal/>
    </border>
    <border>
      <left style="thin">
        <color indexed="64"/>
      </left>
      <right style="thin">
        <color indexed="64"/>
      </right>
      <top style="thin">
        <color auto="1"/>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theme="0"/>
      </top>
      <bottom style="thin">
        <color rgb="FF000000"/>
      </bottom>
      <diagonal/>
    </border>
    <border>
      <left style="thin">
        <color rgb="FF000000"/>
      </left>
      <right style="thin">
        <color theme="0"/>
      </right>
      <top style="thin">
        <color theme="0"/>
      </top>
      <bottom style="thin">
        <color rgb="FF000000"/>
      </bottom>
      <diagonal/>
    </border>
    <border>
      <left style="thin">
        <color theme="0"/>
      </left>
      <right style="thin">
        <color indexed="64"/>
      </right>
      <top style="thin">
        <color theme="0"/>
      </top>
      <bottom style="thin">
        <color rgb="FF000000"/>
      </bottom>
      <diagonal/>
    </border>
    <border>
      <left style="thin">
        <color rgb="FF000000"/>
      </left>
      <right style="thin">
        <color theme="0"/>
      </right>
      <top style="thin">
        <color rgb="FF000000"/>
      </top>
      <bottom style="thin">
        <color rgb="FF000000"/>
      </bottom>
      <diagonal/>
    </border>
    <border>
      <left style="thin">
        <color theme="0"/>
      </left>
      <right style="thin">
        <color indexed="64"/>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rgb="FF000000"/>
      </left>
      <right/>
      <top style="thin">
        <color rgb="FF000000"/>
      </top>
      <bottom style="thin">
        <color auto="1"/>
      </bottom>
      <diagonal/>
    </border>
    <border>
      <left style="thin">
        <color rgb="FF000000"/>
      </left>
      <right style="thin">
        <color indexed="64"/>
      </right>
      <top style="thin">
        <color theme="0"/>
      </top>
      <bottom style="thin">
        <color rgb="FF000000"/>
      </bottom>
      <diagonal/>
    </border>
    <border>
      <left style="thin">
        <color rgb="FF000000"/>
      </left>
      <right style="thin">
        <color rgb="FF000000"/>
      </right>
      <top style="thin">
        <color theme="0"/>
      </top>
      <bottom style="thin">
        <color indexed="64"/>
      </bottom>
      <diagonal/>
    </border>
    <border>
      <left style="thin">
        <color rgb="FF000000"/>
      </left>
      <right style="thin">
        <color indexed="64"/>
      </right>
      <top style="thin">
        <color rgb="FF000000"/>
      </top>
      <bottom style="thin">
        <color rgb="FF000000"/>
      </bottom>
      <diagonal/>
    </border>
    <border>
      <left style="thin">
        <color theme="0"/>
      </left>
      <right style="thin">
        <color theme="0"/>
      </right>
      <top style="thin">
        <color theme="0"/>
      </top>
      <bottom style="thin">
        <color theme="0"/>
      </bottom>
      <diagonal/>
    </border>
    <border>
      <left style="thin">
        <color theme="0"/>
      </left>
      <right style="thin">
        <color auto="1"/>
      </right>
      <top style="thin">
        <color auto="1"/>
      </top>
      <bottom style="thin">
        <color auto="1"/>
      </bottom>
      <diagonal/>
    </border>
    <border>
      <left style="thin">
        <color auto="1"/>
      </left>
      <right style="thin">
        <color auto="1"/>
      </right>
      <top style="thin">
        <color theme="0"/>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theme="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theme="0"/>
      </bottom>
      <diagonal/>
    </border>
  </borders>
  <cellStyleXfs count="63">
    <xf numFmtId="0" fontId="0" fillId="5"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cellStyleXfs>
  <cellXfs count="844">
    <xf numFmtId="0" fontId="0" fillId="5" borderId="0" xfId="0"/>
    <xf numFmtId="0" fontId="5" fillId="5" borderId="0" xfId="0" applyFont="1" applyAlignment="1">
      <alignment horizontal="center" vertical="top"/>
    </xf>
    <xf numFmtId="0" fontId="5" fillId="5" borderId="0" xfId="0" applyFont="1"/>
    <xf numFmtId="0" fontId="8" fillId="0" borderId="0" xfId="0" applyFont="1" applyFill="1" applyAlignment="1">
      <alignment horizontal="center" vertical="center" wrapText="1"/>
    </xf>
    <xf numFmtId="0" fontId="8" fillId="5" borderId="0" xfId="0" applyFont="1" applyAlignment="1">
      <alignment horizontal="center" vertical="center" wrapText="1"/>
    </xf>
    <xf numFmtId="0" fontId="9" fillId="4" borderId="0" xfId="0" applyFont="1" applyFill="1" applyAlignment="1">
      <alignment vertical="center"/>
    </xf>
    <xf numFmtId="0" fontId="11" fillId="5" borderId="0" xfId="0" applyFont="1"/>
    <xf numFmtId="0" fontId="9" fillId="4" borderId="0" xfId="0" applyFont="1" applyFill="1"/>
    <xf numFmtId="0" fontId="9" fillId="4" borderId="0" xfId="0" applyFont="1" applyFill="1" applyAlignment="1">
      <alignment horizontal="center" wrapText="1"/>
    </xf>
    <xf numFmtId="0" fontId="9" fillId="5" borderId="0" xfId="0" applyFont="1"/>
    <xf numFmtId="0" fontId="9" fillId="4" borderId="1" xfId="0" applyFont="1" applyFill="1" applyBorder="1"/>
    <xf numFmtId="0" fontId="9" fillId="4" borderId="3" xfId="0" applyFont="1" applyFill="1" applyBorder="1" applyAlignment="1">
      <alignment horizontal="center"/>
    </xf>
    <xf numFmtId="0" fontId="10" fillId="5" borderId="0" xfId="0" applyFont="1"/>
    <xf numFmtId="0" fontId="9" fillId="0" borderId="0" xfId="0" applyFont="1" applyFill="1"/>
    <xf numFmtId="0" fontId="9" fillId="4" borderId="0" xfId="0" applyFont="1" applyFill="1" applyAlignment="1">
      <alignment horizontal="center" vertical="center"/>
    </xf>
    <xf numFmtId="0" fontId="9" fillId="5" borderId="0" xfId="0" applyFont="1" applyAlignment="1">
      <alignment vertical="center"/>
    </xf>
    <xf numFmtId="0" fontId="9" fillId="0" borderId="8" xfId="0" applyFont="1" applyFill="1" applyBorder="1" applyAlignment="1">
      <alignment vertical="center"/>
    </xf>
    <xf numFmtId="0" fontId="9" fillId="4" borderId="3" xfId="0" applyFont="1" applyFill="1" applyBorder="1" applyAlignment="1">
      <alignment horizontal="center" vertical="center"/>
    </xf>
    <xf numFmtId="167" fontId="9" fillId="4" borderId="3" xfId="0" applyNumberFormat="1" applyFont="1" applyFill="1" applyBorder="1" applyAlignment="1">
      <alignment horizontal="left" vertical="center"/>
    </xf>
    <xf numFmtId="0" fontId="14" fillId="0" borderId="3" xfId="0" applyFont="1" applyFill="1" applyBorder="1" applyAlignment="1">
      <alignment horizontal="center" vertical="center"/>
    </xf>
    <xf numFmtId="0" fontId="10" fillId="0" borderId="3" xfId="0" applyFont="1" applyFill="1" applyBorder="1" applyAlignment="1">
      <alignment horizontal="center" vertical="center"/>
    </xf>
    <xf numFmtId="167" fontId="10" fillId="4" borderId="5" xfId="0" applyNumberFormat="1" applyFont="1" applyFill="1" applyBorder="1" applyAlignment="1">
      <alignment vertical="center"/>
    </xf>
    <xf numFmtId="0" fontId="10" fillId="4" borderId="4" xfId="0" applyFont="1" applyFill="1" applyBorder="1" applyAlignment="1">
      <alignment horizontal="center" vertical="center"/>
    </xf>
    <xf numFmtId="0" fontId="9" fillId="5" borderId="3" xfId="0" applyFont="1" applyBorder="1" applyAlignment="1">
      <alignment horizontal="center" vertical="center"/>
    </xf>
    <xf numFmtId="169" fontId="9" fillId="0" borderId="3" xfId="0" applyNumberFormat="1" applyFont="1" applyFill="1" applyBorder="1" applyAlignment="1">
      <alignment vertical="center"/>
    </xf>
    <xf numFmtId="0" fontId="10" fillId="4" borderId="0" xfId="0" applyFont="1" applyFill="1" applyAlignment="1">
      <alignment horizontal="left" vertical="center"/>
    </xf>
    <xf numFmtId="167" fontId="10" fillId="4" borderId="3" xfId="0" applyNumberFormat="1" applyFont="1" applyFill="1" applyBorder="1" applyAlignment="1">
      <alignment horizontal="left" vertical="center"/>
    </xf>
    <xf numFmtId="0" fontId="10" fillId="4" borderId="3" xfId="0" applyFont="1" applyFill="1" applyBorder="1" applyAlignment="1">
      <alignment horizontal="center" vertical="center"/>
    </xf>
    <xf numFmtId="167" fontId="10" fillId="4" borderId="4" xfId="0" applyNumberFormat="1" applyFont="1" applyFill="1" applyBorder="1" applyAlignment="1">
      <alignment horizontal="left" vertical="center"/>
    </xf>
    <xf numFmtId="0" fontId="9" fillId="4" borderId="8" xfId="0" applyFont="1" applyFill="1" applyBorder="1" applyAlignment="1">
      <alignment horizontal="left" vertical="center"/>
    </xf>
    <xf numFmtId="0" fontId="10" fillId="4" borderId="5" xfId="0" applyFont="1" applyFill="1" applyBorder="1" applyAlignment="1">
      <alignment horizontal="center" vertical="center"/>
    </xf>
    <xf numFmtId="0" fontId="9" fillId="4" borderId="7" xfId="0" applyFont="1" applyFill="1" applyBorder="1" applyAlignment="1">
      <alignment vertical="center"/>
    </xf>
    <xf numFmtId="0" fontId="9" fillId="0" borderId="3" xfId="0" applyFont="1" applyFill="1" applyBorder="1" applyAlignment="1">
      <alignment horizontal="center" vertical="center"/>
    </xf>
    <xf numFmtId="167" fontId="9" fillId="0" borderId="3" xfId="0" applyNumberFormat="1" applyFont="1" applyFill="1" applyBorder="1" applyAlignment="1">
      <alignment vertical="center"/>
    </xf>
    <xf numFmtId="0" fontId="14" fillId="4" borderId="0" xfId="0" applyFont="1" applyFill="1"/>
    <xf numFmtId="0" fontId="14" fillId="4" borderId="0" xfId="0" applyFont="1" applyFill="1" applyAlignment="1">
      <alignment horizontal="left" vertical="top"/>
    </xf>
    <xf numFmtId="166" fontId="9" fillId="4" borderId="0" xfId="0" applyNumberFormat="1" applyFont="1" applyFill="1" applyAlignment="1">
      <alignment vertical="center"/>
    </xf>
    <xf numFmtId="0" fontId="9" fillId="2" borderId="3" xfId="0" applyFont="1" applyFill="1" applyBorder="1" applyAlignment="1">
      <alignment horizontal="center" vertical="top" wrapText="1"/>
    </xf>
    <xf numFmtId="0" fontId="9" fillId="5" borderId="6" xfId="0" applyFont="1" applyBorder="1"/>
    <xf numFmtId="0" fontId="12" fillId="5" borderId="0" xfId="0" applyFont="1"/>
    <xf numFmtId="0" fontId="15" fillId="5" borderId="0" xfId="0" applyFont="1"/>
    <xf numFmtId="0" fontId="14" fillId="5" borderId="3" xfId="0" applyFont="1" applyBorder="1" applyAlignment="1">
      <alignment horizontal="center" vertical="center" wrapText="1"/>
    </xf>
    <xf numFmtId="168" fontId="14" fillId="5" borderId="3" xfId="0" applyNumberFormat="1" applyFont="1" applyBorder="1" applyAlignment="1">
      <alignment horizontal="center" vertical="center" wrapText="1"/>
    </xf>
    <xf numFmtId="0" fontId="9" fillId="5" borderId="0" xfId="0" applyFont="1" applyAlignment="1">
      <alignment horizontal="center" vertical="top"/>
    </xf>
    <xf numFmtId="0" fontId="17" fillId="5" borderId="0" xfId="0" applyFont="1"/>
    <xf numFmtId="0" fontId="9" fillId="5" borderId="10" xfId="0" applyFont="1" applyBorder="1"/>
    <xf numFmtId="0" fontId="9" fillId="5" borderId="2" xfId="0" applyFont="1" applyBorder="1"/>
    <xf numFmtId="1" fontId="9" fillId="5" borderId="3" xfId="0" applyNumberFormat="1" applyFont="1" applyBorder="1" applyAlignment="1">
      <alignment horizontal="center" vertical="top"/>
    </xf>
    <xf numFmtId="1" fontId="9" fillId="5" borderId="3" xfId="0" applyNumberFormat="1" applyFont="1" applyBorder="1" applyAlignment="1">
      <alignment horizontal="center" vertical="center"/>
    </xf>
    <xf numFmtId="0" fontId="18" fillId="5" borderId="0" xfId="0" applyFont="1"/>
    <xf numFmtId="0" fontId="14" fillId="5" borderId="3" xfId="0" applyFont="1" applyBorder="1" applyAlignment="1">
      <alignment horizontal="left" vertical="center" wrapText="1"/>
    </xf>
    <xf numFmtId="169" fontId="14" fillId="5" borderId="3" xfId="0" applyNumberFormat="1" applyFont="1" applyBorder="1" applyAlignment="1">
      <alignment horizontal="left" vertical="center" wrapText="1"/>
    </xf>
    <xf numFmtId="168" fontId="14" fillId="5" borderId="3" xfId="0" applyNumberFormat="1" applyFont="1" applyBorder="1" applyAlignment="1">
      <alignment horizontal="left" vertical="center" wrapText="1"/>
    </xf>
    <xf numFmtId="0" fontId="0" fillId="5" borderId="0" xfId="0" applyAlignment="1">
      <alignment horizontal="center"/>
    </xf>
    <xf numFmtId="0" fontId="6" fillId="5" borderId="0" xfId="0" applyFont="1"/>
    <xf numFmtId="0" fontId="8" fillId="0" borderId="3" xfId="0" applyFont="1" applyFill="1" applyBorder="1" applyAlignment="1">
      <alignment horizontal="center" vertical="center" wrapText="1"/>
    </xf>
    <xf numFmtId="0" fontId="9" fillId="5" borderId="11" xfId="0" applyFont="1" applyBorder="1"/>
    <xf numFmtId="0" fontId="13" fillId="0" borderId="3" xfId="0" applyFont="1" applyFill="1" applyBorder="1" applyAlignment="1">
      <alignment vertical="center"/>
    </xf>
    <xf numFmtId="0" fontId="13" fillId="0" borderId="3" xfId="0" applyFont="1" applyFill="1" applyBorder="1" applyAlignment="1">
      <alignment horizontal="center" vertical="center" wrapText="1"/>
    </xf>
    <xf numFmtId="0" fontId="10" fillId="4" borderId="8" xfId="0" applyFont="1" applyFill="1" applyBorder="1" applyAlignment="1">
      <alignment horizontal="right" vertical="center"/>
    </xf>
    <xf numFmtId="0" fontId="10" fillId="4" borderId="7" xfId="0" applyFont="1" applyFill="1" applyBorder="1" applyAlignment="1">
      <alignment horizontal="right" vertical="center"/>
    </xf>
    <xf numFmtId="0" fontId="9" fillId="4" borderId="7" xfId="0" applyFont="1" applyFill="1" applyBorder="1" applyAlignment="1">
      <alignment horizontal="left" vertical="center"/>
    </xf>
    <xf numFmtId="0" fontId="9" fillId="5" borderId="0" xfId="0" applyFont="1" applyAlignment="1">
      <alignment horizontal="right"/>
    </xf>
    <xf numFmtId="0" fontId="9" fillId="2" borderId="3" xfId="0" applyFont="1" applyFill="1" applyBorder="1" applyAlignment="1">
      <alignment horizontal="center" vertical="center" wrapText="1"/>
    </xf>
    <xf numFmtId="14" fontId="9" fillId="0" borderId="3" xfId="0" applyNumberFormat="1" applyFont="1" applyFill="1" applyBorder="1" applyAlignment="1">
      <alignment horizontal="center" vertical="top"/>
    </xf>
    <xf numFmtId="169" fontId="9" fillId="5" borderId="3" xfId="0" applyNumberFormat="1" applyFont="1" applyBorder="1" applyAlignment="1">
      <alignment horizontal="center"/>
    </xf>
    <xf numFmtId="0" fontId="14" fillId="5" borderId="3" xfId="0" applyFont="1" applyBorder="1" applyAlignment="1">
      <alignment horizontal="left" vertical="top" wrapText="1"/>
    </xf>
    <xf numFmtId="0" fontId="9" fillId="4" borderId="3" xfId="0" applyFont="1" applyFill="1" applyBorder="1" applyAlignment="1">
      <alignment horizontal="left" vertical="top" wrapText="1"/>
    </xf>
    <xf numFmtId="0" fontId="13" fillId="7" borderId="3" xfId="0" applyFont="1" applyFill="1" applyBorder="1" applyAlignment="1">
      <alignment vertical="center"/>
    </xf>
    <xf numFmtId="0" fontId="13" fillId="7" borderId="3" xfId="0" applyFont="1" applyFill="1" applyBorder="1" applyAlignment="1">
      <alignment horizontal="center" vertical="center" wrapText="1"/>
    </xf>
    <xf numFmtId="0" fontId="16" fillId="7" borderId="0" xfId="0" applyFont="1" applyFill="1"/>
    <xf numFmtId="0" fontId="13" fillId="7" borderId="3" xfId="0" applyFont="1" applyFill="1" applyBorder="1" applyAlignment="1">
      <alignment horizontal="center"/>
    </xf>
    <xf numFmtId="169" fontId="13" fillId="7" borderId="3" xfId="0" applyNumberFormat="1" applyFont="1" applyFill="1" applyBorder="1" applyAlignment="1">
      <alignment horizontal="center" vertical="top"/>
    </xf>
    <xf numFmtId="0" fontId="10" fillId="0" borderId="0" xfId="0" applyFont="1" applyFill="1"/>
    <xf numFmtId="0" fontId="11" fillId="5" borderId="0" xfId="0" applyFont="1" applyAlignment="1">
      <alignment horizontal="center"/>
    </xf>
    <xf numFmtId="171" fontId="0" fillId="5" borderId="0" xfId="0" applyNumberFormat="1"/>
    <xf numFmtId="0" fontId="9" fillId="4" borderId="0" xfId="0" applyFont="1" applyFill="1" applyAlignment="1">
      <alignment wrapText="1"/>
    </xf>
    <xf numFmtId="171" fontId="0" fillId="5" borderId="0" xfId="0" applyNumberFormat="1" applyAlignment="1">
      <alignment horizontal="center"/>
    </xf>
    <xf numFmtId="171" fontId="9" fillId="4" borderId="0" xfId="0" applyNumberFormat="1" applyFont="1" applyFill="1"/>
    <xf numFmtId="0" fontId="10" fillId="4" borderId="9" xfId="0" applyFont="1" applyFill="1" applyBorder="1" applyAlignment="1">
      <alignment horizontal="right" vertical="center"/>
    </xf>
    <xf numFmtId="0" fontId="11" fillId="5" borderId="0" xfId="0" applyFont="1" applyAlignment="1">
      <alignment vertical="center"/>
    </xf>
    <xf numFmtId="0" fontId="0" fillId="5" borderId="0" xfId="0" applyAlignment="1">
      <alignment vertical="center"/>
    </xf>
    <xf numFmtId="0" fontId="16" fillId="7" borderId="0" xfId="0" applyFont="1" applyFill="1" applyAlignment="1">
      <alignment vertical="center"/>
    </xf>
    <xf numFmtId="14" fontId="11" fillId="5" borderId="0" xfId="0" applyNumberFormat="1" applyFont="1" applyAlignment="1">
      <alignment vertical="center"/>
    </xf>
    <xf numFmtId="165" fontId="9" fillId="5" borderId="0" xfId="0" applyNumberFormat="1" applyFont="1" applyAlignment="1">
      <alignment vertical="center"/>
    </xf>
    <xf numFmtId="0" fontId="5" fillId="0" borderId="0" xfId="0" applyFont="1" applyFill="1" applyAlignment="1">
      <alignment vertical="center"/>
    </xf>
    <xf numFmtId="0" fontId="5" fillId="5" borderId="0" xfId="0" applyFont="1" applyAlignment="1">
      <alignment vertical="center"/>
    </xf>
    <xf numFmtId="165" fontId="5" fillId="5" borderId="0" xfId="0" applyNumberFormat="1" applyFont="1" applyAlignment="1">
      <alignment vertical="center"/>
    </xf>
    <xf numFmtId="0" fontId="9" fillId="4" borderId="0" xfId="0" applyFont="1" applyFill="1" applyAlignment="1">
      <alignment horizontal="center" vertical="center" wrapText="1"/>
    </xf>
    <xf numFmtId="0" fontId="20" fillId="6" borderId="13" xfId="0" applyFont="1" applyFill="1" applyBorder="1" applyAlignment="1">
      <alignment horizontal="left" vertical="center" wrapText="1"/>
    </xf>
    <xf numFmtId="0" fontId="13" fillId="7" borderId="7" xfId="0" applyFont="1" applyFill="1" applyBorder="1" applyAlignment="1">
      <alignment vertical="center"/>
    </xf>
    <xf numFmtId="0" fontId="9" fillId="4" borderId="1" xfId="0" applyFont="1" applyFill="1" applyBorder="1" applyAlignment="1">
      <alignment vertical="center"/>
    </xf>
    <xf numFmtId="3" fontId="8" fillId="5" borderId="12" xfId="0" applyNumberFormat="1" applyFont="1" applyBorder="1" applyAlignment="1">
      <alignment horizontal="center" vertical="center"/>
    </xf>
    <xf numFmtId="6" fontId="20" fillId="6" borderId="13" xfId="0" applyNumberFormat="1" applyFont="1" applyFill="1" applyBorder="1" applyAlignment="1">
      <alignment horizontal="center" vertical="center" wrapText="1"/>
    </xf>
    <xf numFmtId="0" fontId="0" fillId="5" borderId="11" xfId="0" applyBorder="1"/>
    <xf numFmtId="0" fontId="8" fillId="5" borderId="4" xfId="0" applyFont="1" applyBorder="1" applyAlignment="1">
      <alignment horizontal="center" vertical="center" wrapText="1"/>
    </xf>
    <xf numFmtId="0" fontId="5" fillId="0" borderId="2" xfId="0" applyFont="1" applyFill="1" applyBorder="1" applyAlignment="1">
      <alignment vertical="center"/>
    </xf>
    <xf numFmtId="14" fontId="9" fillId="5" borderId="0" xfId="0" applyNumberFormat="1" applyFont="1"/>
    <xf numFmtId="0" fontId="8" fillId="5" borderId="19" xfId="0" applyFont="1" applyBorder="1" applyAlignment="1">
      <alignment horizontal="center" vertical="center" wrapText="1"/>
    </xf>
    <xf numFmtId="169" fontId="9" fillId="5" borderId="0" xfId="0" applyNumberFormat="1" applyFont="1"/>
    <xf numFmtId="172" fontId="20" fillId="6" borderId="13" xfId="57" applyNumberFormat="1" applyFont="1" applyFill="1" applyBorder="1" applyAlignment="1">
      <alignment horizontal="center" vertical="center" wrapText="1"/>
    </xf>
    <xf numFmtId="169" fontId="9" fillId="5" borderId="5" xfId="0" applyNumberFormat="1" applyFont="1" applyBorder="1"/>
    <xf numFmtId="169" fontId="9" fillId="5" borderId="3" xfId="0" applyNumberFormat="1" applyFont="1" applyBorder="1"/>
    <xf numFmtId="168" fontId="9" fillId="5" borderId="5" xfId="0" applyNumberFormat="1" applyFont="1" applyBorder="1"/>
    <xf numFmtId="168" fontId="9" fillId="5" borderId="3" xfId="0" applyNumberFormat="1" applyFont="1" applyBorder="1"/>
    <xf numFmtId="0" fontId="0" fillId="5" borderId="20" xfId="0" applyBorder="1"/>
    <xf numFmtId="0" fontId="25" fillId="5" borderId="3" xfId="0" applyFont="1" applyBorder="1" applyAlignment="1">
      <alignment horizontal="center" vertical="center"/>
    </xf>
    <xf numFmtId="0" fontId="25" fillId="5" borderId="3" xfId="0" applyFont="1" applyBorder="1" applyAlignment="1">
      <alignment vertical="center" wrapText="1"/>
    </xf>
    <xf numFmtId="169" fontId="26" fillId="6" borderId="13" xfId="0" applyNumberFormat="1" applyFont="1" applyFill="1" applyBorder="1" applyAlignment="1">
      <alignment horizontal="center" vertical="center" wrapText="1"/>
    </xf>
    <xf numFmtId="6" fontId="26" fillId="6" borderId="13" xfId="0" applyNumberFormat="1" applyFont="1" applyFill="1" applyBorder="1" applyAlignment="1">
      <alignment horizontal="center" vertical="center" wrapText="1"/>
    </xf>
    <xf numFmtId="0" fontId="26" fillId="6" borderId="13" xfId="0" applyFont="1" applyFill="1" applyBorder="1" applyAlignment="1">
      <alignment vertical="center" wrapText="1"/>
    </xf>
    <xf numFmtId="0" fontId="26" fillId="6" borderId="13" xfId="0" applyFont="1" applyFill="1" applyBorder="1" applyAlignment="1">
      <alignment horizontal="left" vertical="center" wrapText="1"/>
    </xf>
    <xf numFmtId="6" fontId="0" fillId="5" borderId="0" xfId="0" applyNumberFormat="1" applyAlignment="1">
      <alignment vertical="center"/>
    </xf>
    <xf numFmtId="0" fontId="26" fillId="4" borderId="12" xfId="0" applyFont="1" applyFill="1" applyBorder="1" applyAlignment="1">
      <alignment horizontal="center" wrapText="1"/>
    </xf>
    <xf numFmtId="0" fontId="26" fillId="6" borderId="13" xfId="0" applyFont="1" applyFill="1" applyBorder="1" applyAlignment="1">
      <alignment horizontal="center" wrapText="1"/>
    </xf>
    <xf numFmtId="169" fontId="26" fillId="4" borderId="3" xfId="0" applyNumberFormat="1" applyFont="1" applyFill="1" applyBorder="1" applyAlignment="1">
      <alignment horizontal="center" wrapText="1"/>
    </xf>
    <xf numFmtId="168" fontId="25" fillId="5" borderId="3" xfId="0" applyNumberFormat="1" applyFont="1" applyBorder="1" applyAlignment="1">
      <alignment horizontal="center" wrapText="1"/>
    </xf>
    <xf numFmtId="6" fontId="25" fillId="5" borderId="0" xfId="0" applyNumberFormat="1" applyFont="1" applyAlignment="1">
      <alignment horizontal="center"/>
    </xf>
    <xf numFmtId="169" fontId="25" fillId="5" borderId="0" xfId="0" applyNumberFormat="1" applyFont="1" applyAlignment="1">
      <alignment horizontal="center" vertical="center" wrapText="1"/>
    </xf>
    <xf numFmtId="169" fontId="25" fillId="5" borderId="3" xfId="0" applyNumberFormat="1" applyFont="1" applyBorder="1" applyAlignment="1">
      <alignment horizontal="center" vertical="center" wrapText="1"/>
    </xf>
    <xf numFmtId="0" fontId="25" fillId="5" borderId="23" xfId="0" applyFont="1" applyBorder="1" applyAlignment="1">
      <alignment wrapText="1"/>
    </xf>
    <xf numFmtId="6" fontId="25" fillId="5" borderId="24" xfId="0" applyNumberFormat="1" applyFont="1" applyBorder="1" applyAlignment="1">
      <alignment horizontal="center" wrapText="1"/>
    </xf>
    <xf numFmtId="6" fontId="25" fillId="5" borderId="8" xfId="0" applyNumberFormat="1" applyFont="1" applyBorder="1" applyAlignment="1">
      <alignment wrapText="1"/>
    </xf>
    <xf numFmtId="0" fontId="25" fillId="5" borderId="0" xfId="0" applyFont="1" applyAlignment="1">
      <alignment horizontal="center" wrapText="1"/>
    </xf>
    <xf numFmtId="0" fontId="26" fillId="6" borderId="13" xfId="0" applyFont="1" applyFill="1" applyBorder="1" applyAlignment="1">
      <alignment horizontal="center" vertical="center" wrapText="1"/>
    </xf>
    <xf numFmtId="0" fontId="25" fillId="5" borderId="22" xfId="0" applyFont="1" applyBorder="1" applyAlignment="1">
      <alignment horizontal="center" vertical="center" wrapText="1"/>
    </xf>
    <xf numFmtId="0" fontId="25" fillId="5" borderId="23" xfId="0" applyFont="1" applyBorder="1" applyAlignment="1">
      <alignment horizontal="left" wrapText="1"/>
    </xf>
    <xf numFmtId="0" fontId="25" fillId="5" borderId="13" xfId="0" applyFont="1" applyBorder="1" applyAlignment="1">
      <alignment horizontal="left" vertical="center" wrapText="1"/>
    </xf>
    <xf numFmtId="0" fontId="25" fillId="5" borderId="21" xfId="0" applyFont="1" applyBorder="1" applyAlignment="1">
      <alignment horizontal="left" vertical="center" wrapText="1"/>
    </xf>
    <xf numFmtId="0" fontId="25" fillId="5" borderId="12" xfId="0" applyFont="1" applyBorder="1" applyAlignment="1">
      <alignment horizontal="left" wrapText="1"/>
    </xf>
    <xf numFmtId="6" fontId="25" fillId="5" borderId="3" xfId="0" applyNumberFormat="1" applyFont="1" applyBorder="1" applyAlignment="1">
      <alignment horizontal="center" vertical="center"/>
    </xf>
    <xf numFmtId="0" fontId="9" fillId="4" borderId="0" xfId="0" applyFont="1" applyFill="1" applyAlignment="1">
      <alignment vertical="center" wrapText="1"/>
    </xf>
    <xf numFmtId="0" fontId="8" fillId="0" borderId="19" xfId="0" applyFont="1" applyFill="1" applyBorder="1" applyAlignment="1">
      <alignment horizontal="center" vertical="center" wrapText="1"/>
    </xf>
    <xf numFmtId="0" fontId="20" fillId="0" borderId="13" xfId="0" applyFont="1" applyFill="1" applyBorder="1" applyAlignment="1">
      <alignment horizontal="left" vertical="center" wrapText="1"/>
    </xf>
    <xf numFmtId="6" fontId="20" fillId="0" borderId="13" xfId="0" applyNumberFormat="1" applyFont="1" applyFill="1" applyBorder="1" applyAlignment="1">
      <alignment horizontal="center" vertical="center" wrapText="1"/>
    </xf>
    <xf numFmtId="172" fontId="20" fillId="0" borderId="13" xfId="57" applyNumberFormat="1" applyFont="1" applyFill="1" applyBorder="1" applyAlignment="1">
      <alignment horizontal="center" vertical="center" wrapText="1"/>
    </xf>
    <xf numFmtId="0" fontId="25" fillId="0" borderId="20" xfId="0" applyFont="1" applyFill="1" applyBorder="1" applyAlignment="1">
      <alignment vertical="center" wrapText="1"/>
    </xf>
    <xf numFmtId="0" fontId="25" fillId="0" borderId="3" xfId="0" applyFont="1" applyFill="1" applyBorder="1" applyAlignment="1">
      <alignment horizontal="center" vertical="center"/>
    </xf>
    <xf numFmtId="0" fontId="25" fillId="5" borderId="18" xfId="0" applyFont="1" applyBorder="1" applyAlignment="1">
      <alignment vertical="center" wrapText="1"/>
    </xf>
    <xf numFmtId="0" fontId="9" fillId="8" borderId="3" xfId="0" applyFont="1" applyFill="1" applyBorder="1" applyAlignment="1">
      <alignment horizontal="center" vertical="top" wrapText="1"/>
    </xf>
    <xf numFmtId="0" fontId="9" fillId="8" borderId="3" xfId="0" applyFont="1" applyFill="1" applyBorder="1" applyAlignment="1">
      <alignment horizontal="center" vertical="center" wrapText="1"/>
    </xf>
    <xf numFmtId="0" fontId="5" fillId="8" borderId="3" xfId="0" applyFont="1" applyFill="1" applyBorder="1" applyAlignment="1">
      <alignment horizontal="center"/>
    </xf>
    <xf numFmtId="1" fontId="9" fillId="4" borderId="3" xfId="0" applyNumberFormat="1" applyFont="1" applyFill="1" applyBorder="1" applyAlignment="1">
      <alignment horizontal="center" vertical="center"/>
    </xf>
    <xf numFmtId="0" fontId="21" fillId="12" borderId="3" xfId="0" applyFont="1" applyFill="1" applyBorder="1" applyAlignment="1">
      <alignment horizontal="center" vertical="center"/>
    </xf>
    <xf numFmtId="0" fontId="8" fillId="12" borderId="3" xfId="0" applyFont="1" applyFill="1" applyBorder="1" applyAlignment="1">
      <alignment horizontal="center" vertical="center" wrapText="1"/>
    </xf>
    <xf numFmtId="0" fontId="20" fillId="12" borderId="3" xfId="0" applyFont="1" applyFill="1" applyBorder="1" applyAlignment="1">
      <alignment horizontal="center" wrapText="1"/>
    </xf>
    <xf numFmtId="0" fontId="20" fillId="12" borderId="3" xfId="0" applyFont="1" applyFill="1" applyBorder="1" applyAlignment="1">
      <alignment horizontal="center" vertical="center" wrapText="1"/>
    </xf>
    <xf numFmtId="14" fontId="8" fillId="12" borderId="3" xfId="0" applyNumberFormat="1" applyFont="1" applyFill="1" applyBorder="1" applyAlignment="1">
      <alignment horizontal="center" vertical="center"/>
    </xf>
    <xf numFmtId="0" fontId="8" fillId="12" borderId="3" xfId="0" applyFont="1" applyFill="1" applyBorder="1" applyAlignment="1">
      <alignment horizontal="center" vertical="center"/>
    </xf>
    <xf numFmtId="0" fontId="8" fillId="12" borderId="3" xfId="0" applyFont="1" applyFill="1" applyBorder="1" applyAlignment="1">
      <alignment horizontal="left" vertical="center"/>
    </xf>
    <xf numFmtId="0" fontId="8" fillId="12" borderId="3" xfId="0" applyFont="1" applyFill="1" applyBorder="1" applyAlignment="1">
      <alignment horizontal="left" vertical="center" wrapText="1"/>
    </xf>
    <xf numFmtId="6" fontId="8" fillId="12" borderId="3" xfId="0" applyNumberFormat="1" applyFont="1" applyFill="1" applyBorder="1" applyAlignment="1">
      <alignment vertical="center"/>
    </xf>
    <xf numFmtId="3" fontId="8" fillId="12" borderId="3" xfId="0" applyNumberFormat="1" applyFont="1" applyFill="1" applyBorder="1" applyAlignment="1">
      <alignment vertical="center"/>
    </xf>
    <xf numFmtId="168" fontId="8" fillId="12" borderId="3" xfId="0" applyNumberFormat="1" applyFont="1" applyFill="1" applyBorder="1" applyAlignment="1">
      <alignment vertical="center"/>
    </xf>
    <xf numFmtId="169" fontId="20" fillId="12" borderId="3" xfId="0" applyNumberFormat="1" applyFont="1" applyFill="1" applyBorder="1" applyAlignment="1">
      <alignment vertical="center" wrapText="1"/>
    </xf>
    <xf numFmtId="8" fontId="20" fillId="12" borderId="3" xfId="0" applyNumberFormat="1" applyFont="1" applyFill="1" applyBorder="1" applyAlignment="1">
      <alignment vertical="center" wrapText="1"/>
    </xf>
    <xf numFmtId="0" fontId="4" fillId="5" borderId="0" xfId="0" applyFont="1"/>
    <xf numFmtId="0" fontId="31" fillId="4" borderId="0" xfId="0" applyFont="1" applyFill="1"/>
    <xf numFmtId="3" fontId="9" fillId="2" borderId="3" xfId="0" applyNumberFormat="1" applyFont="1" applyFill="1" applyBorder="1" applyAlignment="1">
      <alignment horizontal="center" vertical="top" wrapText="1"/>
    </xf>
    <xf numFmtId="2" fontId="9" fillId="2" borderId="3" xfId="0" applyNumberFormat="1" applyFont="1" applyFill="1" applyBorder="1" applyAlignment="1">
      <alignment horizontal="center" vertical="top" wrapText="1"/>
    </xf>
    <xf numFmtId="0" fontId="8" fillId="12" borderId="3" xfId="0" applyFont="1" applyFill="1" applyBorder="1" applyAlignment="1">
      <alignment horizontal="center" vertical="top"/>
    </xf>
    <xf numFmtId="0" fontId="20" fillId="15" borderId="13" xfId="0" applyFont="1" applyFill="1" applyBorder="1" applyAlignment="1">
      <alignment horizontal="left" vertical="top" wrapText="1"/>
    </xf>
    <xf numFmtId="14" fontId="20" fillId="15" borderId="13" xfId="0" applyNumberFormat="1" applyFont="1" applyFill="1" applyBorder="1" applyAlignment="1">
      <alignment horizontal="left" vertical="top"/>
    </xf>
    <xf numFmtId="0" fontId="20" fillId="15" borderId="13" xfId="0" applyFont="1" applyFill="1" applyBorder="1" applyAlignment="1">
      <alignment vertical="center" wrapText="1"/>
    </xf>
    <xf numFmtId="0" fontId="20" fillId="15" borderId="14" xfId="0" applyFont="1" applyFill="1" applyBorder="1" applyAlignment="1">
      <alignment vertical="top" wrapText="1"/>
    </xf>
    <xf numFmtId="6" fontId="20" fillId="15" borderId="13" xfId="0" applyNumberFormat="1" applyFont="1" applyFill="1" applyBorder="1" applyAlignment="1">
      <alignment horizontal="left" vertical="top" wrapText="1"/>
    </xf>
    <xf numFmtId="6" fontId="20" fillId="15" borderId="13" xfId="0" applyNumberFormat="1" applyFont="1" applyFill="1" applyBorder="1" applyAlignment="1">
      <alignment horizontal="center" vertical="top" wrapText="1"/>
    </xf>
    <xf numFmtId="168" fontId="20" fillId="15" borderId="13" xfId="0" applyNumberFormat="1" applyFont="1" applyFill="1" applyBorder="1" applyAlignment="1">
      <alignment horizontal="left" vertical="top" wrapText="1"/>
    </xf>
    <xf numFmtId="0" fontId="20" fillId="15" borderId="13" xfId="0" applyFont="1" applyFill="1" applyBorder="1" applyAlignment="1">
      <alignment vertical="top" wrapText="1"/>
    </xf>
    <xf numFmtId="0" fontId="20" fillId="15" borderId="13" xfId="0" applyFont="1" applyFill="1" applyBorder="1" applyAlignment="1">
      <alignment horizontal="left" vertical="top"/>
    </xf>
    <xf numFmtId="0" fontId="20" fillId="15" borderId="3" xfId="0" applyFont="1" applyFill="1" applyBorder="1" applyAlignment="1">
      <alignment horizontal="left" vertical="top"/>
    </xf>
    <xf numFmtId="0" fontId="20" fillId="15" borderId="13" xfId="0" applyFont="1" applyFill="1" applyBorder="1" applyAlignment="1">
      <alignment horizontal="center" vertical="top" wrapText="1"/>
    </xf>
    <xf numFmtId="14" fontId="8" fillId="12" borderId="13" xfId="0" applyNumberFormat="1" applyFont="1" applyFill="1" applyBorder="1" applyAlignment="1">
      <alignment horizontal="left" vertical="top" wrapText="1"/>
    </xf>
    <xf numFmtId="0" fontId="20" fillId="15" borderId="13" xfId="0" applyFont="1" applyFill="1" applyBorder="1" applyAlignment="1">
      <alignment horizontal="left" vertical="center" wrapText="1"/>
    </xf>
    <xf numFmtId="14" fontId="8" fillId="16" borderId="13" xfId="0" applyNumberFormat="1" applyFont="1" applyFill="1" applyBorder="1" applyAlignment="1">
      <alignment horizontal="left" vertical="top" wrapText="1"/>
    </xf>
    <xf numFmtId="8" fontId="20" fillId="15" borderId="13" xfId="0" applyNumberFormat="1" applyFont="1" applyFill="1" applyBorder="1" applyAlignment="1">
      <alignment horizontal="left" vertical="top" wrapText="1"/>
    </xf>
    <xf numFmtId="14" fontId="20" fillId="15" borderId="13" xfId="0" applyNumberFormat="1" applyFont="1" applyFill="1" applyBorder="1" applyAlignment="1">
      <alignment horizontal="left" vertical="center"/>
    </xf>
    <xf numFmtId="6" fontId="20" fillId="15" borderId="13" xfId="0" applyNumberFormat="1" applyFont="1" applyFill="1" applyBorder="1" applyAlignment="1">
      <alignment horizontal="left" vertical="center" wrapText="1"/>
    </xf>
    <xf numFmtId="169" fontId="20" fillId="15" borderId="13" xfId="0" applyNumberFormat="1" applyFont="1" applyFill="1" applyBorder="1" applyAlignment="1">
      <alignment horizontal="center" vertical="center" wrapText="1"/>
    </xf>
    <xf numFmtId="169" fontId="20" fillId="15" borderId="13" xfId="0" applyNumberFormat="1" applyFont="1" applyFill="1" applyBorder="1" applyAlignment="1">
      <alignment horizontal="left" vertical="center" wrapText="1"/>
    </xf>
    <xf numFmtId="14" fontId="20" fillId="15" borderId="13" xfId="0" applyNumberFormat="1" applyFont="1" applyFill="1" applyBorder="1" applyAlignment="1">
      <alignment horizontal="center" vertical="center"/>
    </xf>
    <xf numFmtId="0" fontId="20" fillId="15" borderId="13" xfId="0" applyFont="1" applyFill="1" applyBorder="1" applyAlignment="1">
      <alignment horizontal="center" vertical="top"/>
    </xf>
    <xf numFmtId="0" fontId="20" fillId="15" borderId="3" xfId="0" applyFont="1" applyFill="1" applyBorder="1" applyAlignment="1">
      <alignment horizontal="center" vertical="top"/>
    </xf>
    <xf numFmtId="0" fontId="20" fillId="12" borderId="12" xfId="0" applyFont="1" applyFill="1" applyBorder="1" applyAlignment="1">
      <alignment vertical="center" wrapText="1"/>
    </xf>
    <xf numFmtId="3" fontId="8" fillId="12" borderId="12" xfId="0" applyNumberFormat="1" applyFont="1" applyFill="1" applyBorder="1" applyAlignment="1">
      <alignment horizontal="left" vertical="center" wrapText="1"/>
    </xf>
    <xf numFmtId="14" fontId="20" fillId="12" borderId="12" xfId="0" applyNumberFormat="1" applyFont="1" applyFill="1" applyBorder="1" applyAlignment="1">
      <alignment horizontal="center" vertical="center"/>
    </xf>
    <xf numFmtId="0" fontId="8" fillId="12" borderId="12" xfId="0" applyFont="1" applyFill="1" applyBorder="1" applyAlignment="1">
      <alignment horizontal="left" vertical="center" wrapText="1"/>
    </xf>
    <xf numFmtId="0" fontId="8" fillId="12" borderId="12" xfId="0" applyFont="1" applyFill="1" applyBorder="1" applyAlignment="1">
      <alignment vertical="center" wrapText="1"/>
    </xf>
    <xf numFmtId="169" fontId="20" fillId="12" borderId="3" xfId="0" applyNumberFormat="1" applyFont="1" applyFill="1" applyBorder="1" applyAlignment="1">
      <alignment horizontal="left" vertical="center" wrapText="1"/>
    </xf>
    <xf numFmtId="169" fontId="20" fillId="12" borderId="13" xfId="0" applyNumberFormat="1" applyFont="1" applyFill="1" applyBorder="1" applyAlignment="1">
      <alignment horizontal="center" vertical="center" wrapText="1"/>
    </xf>
    <xf numFmtId="0" fontId="20" fillId="12" borderId="13" xfId="0" applyFont="1" applyFill="1" applyBorder="1" applyAlignment="1">
      <alignment horizontal="center" vertical="top" wrapText="1"/>
    </xf>
    <xf numFmtId="0" fontId="20" fillId="12" borderId="13" xfId="0" applyFont="1" applyFill="1" applyBorder="1" applyAlignment="1">
      <alignment horizontal="center" vertical="top"/>
    </xf>
    <xf numFmtId="0" fontId="20" fillId="12" borderId="3" xfId="0" applyFont="1" applyFill="1" applyBorder="1" applyAlignment="1">
      <alignment horizontal="center" vertical="top"/>
    </xf>
    <xf numFmtId="0" fontId="20" fillId="12" borderId="13" xfId="0" applyFont="1" applyFill="1" applyBorder="1" applyAlignment="1">
      <alignment horizontal="left" vertical="top" wrapText="1"/>
    </xf>
    <xf numFmtId="0" fontId="8" fillId="16" borderId="12" xfId="0" applyFont="1" applyFill="1" applyBorder="1" applyAlignment="1">
      <alignment vertical="center" wrapText="1"/>
    </xf>
    <xf numFmtId="0" fontId="20" fillId="15" borderId="13" xfId="0" applyFont="1" applyFill="1" applyBorder="1" applyAlignment="1">
      <alignment horizontal="center" vertical="center" wrapText="1"/>
    </xf>
    <xf numFmtId="0" fontId="20" fillId="15" borderId="13" xfId="0" applyFont="1" applyFill="1" applyBorder="1" applyAlignment="1">
      <alignment horizontal="center" vertical="center"/>
    </xf>
    <xf numFmtId="0" fontId="20" fillId="15" borderId="3" xfId="0" applyFont="1" applyFill="1" applyBorder="1" applyAlignment="1">
      <alignment horizontal="center" vertical="center"/>
    </xf>
    <xf numFmtId="169" fontId="20" fillId="15" borderId="13" xfId="57" applyNumberFormat="1" applyFont="1" applyFill="1" applyBorder="1" applyAlignment="1">
      <alignment horizontal="center" vertical="center" wrapText="1"/>
    </xf>
    <xf numFmtId="0" fontId="8" fillId="16" borderId="13" xfId="0" applyFont="1" applyFill="1" applyBorder="1" applyAlignment="1">
      <alignment horizontal="left" vertical="top" wrapText="1"/>
    </xf>
    <xf numFmtId="0" fontId="20" fillId="15" borderId="0" xfId="0" applyFont="1" applyFill="1" applyAlignment="1">
      <alignment horizontal="center" vertical="center" wrapText="1"/>
    </xf>
    <xf numFmtId="6" fontId="20" fillId="15" borderId="13" xfId="0" applyNumberFormat="1" applyFont="1" applyFill="1" applyBorder="1" applyAlignment="1">
      <alignment horizontal="center" vertical="center" wrapText="1"/>
    </xf>
    <xf numFmtId="0" fontId="8" fillId="12" borderId="32" xfId="0" applyFont="1" applyFill="1" applyBorder="1" applyAlignment="1">
      <alignment horizontal="center" vertical="top"/>
    </xf>
    <xf numFmtId="0" fontId="20" fillId="15" borderId="15" xfId="0" applyFont="1" applyFill="1" applyBorder="1" applyAlignment="1">
      <alignment horizontal="left" vertical="center" wrapText="1"/>
    </xf>
    <xf numFmtId="14" fontId="20" fillId="15" borderId="15" xfId="0" applyNumberFormat="1" applyFont="1" applyFill="1" applyBorder="1" applyAlignment="1">
      <alignment horizontal="center" vertical="center"/>
    </xf>
    <xf numFmtId="0" fontId="20" fillId="15" borderId="15" xfId="0" applyFont="1" applyFill="1" applyBorder="1" applyAlignment="1">
      <alignment horizontal="center" vertical="center" wrapText="1"/>
    </xf>
    <xf numFmtId="0" fontId="20" fillId="15" borderId="15" xfId="0" applyFont="1" applyFill="1" applyBorder="1" applyAlignment="1">
      <alignment vertical="center" wrapText="1"/>
    </xf>
    <xf numFmtId="6" fontId="20" fillId="15" borderId="15" xfId="0" applyNumberFormat="1" applyFont="1" applyFill="1" applyBorder="1" applyAlignment="1">
      <alignment horizontal="center" vertical="center" wrapText="1"/>
    </xf>
    <xf numFmtId="169" fontId="20" fillId="15" borderId="15" xfId="0" applyNumberFormat="1" applyFont="1" applyFill="1" applyBorder="1" applyAlignment="1">
      <alignment horizontal="center" vertical="center" wrapText="1"/>
    </xf>
    <xf numFmtId="0" fontId="20" fillId="15" borderId="15" xfId="0" applyFont="1" applyFill="1" applyBorder="1" applyAlignment="1">
      <alignment horizontal="center" vertical="center"/>
    </xf>
    <xf numFmtId="0" fontId="20" fillId="15" borderId="32" xfId="0" applyFont="1" applyFill="1" applyBorder="1" applyAlignment="1">
      <alignment horizontal="center" vertical="center"/>
    </xf>
    <xf numFmtId="14" fontId="8" fillId="12" borderId="15" xfId="0" applyNumberFormat="1" applyFont="1" applyFill="1" applyBorder="1" applyAlignment="1">
      <alignment horizontal="left" vertical="top" wrapText="1"/>
    </xf>
    <xf numFmtId="0" fontId="20" fillId="15" borderId="3" xfId="0" applyFont="1" applyFill="1" applyBorder="1" applyAlignment="1">
      <alignment horizontal="left" vertical="center" wrapText="1"/>
    </xf>
    <xf numFmtId="14" fontId="20" fillId="15" borderId="3" xfId="0" applyNumberFormat="1" applyFont="1" applyFill="1" applyBorder="1" applyAlignment="1">
      <alignment horizontal="center" vertical="center"/>
    </xf>
    <xf numFmtId="0" fontId="8" fillId="16" borderId="3" xfId="0" applyFont="1" applyFill="1" applyBorder="1" applyAlignment="1">
      <alignment horizontal="center" vertical="center" wrapText="1"/>
    </xf>
    <xf numFmtId="6" fontId="20" fillId="15" borderId="3" xfId="0" applyNumberFormat="1" applyFont="1" applyFill="1" applyBorder="1" applyAlignment="1">
      <alignment horizontal="center" vertical="center" wrapText="1"/>
    </xf>
    <xf numFmtId="169" fontId="20" fillId="15" borderId="3" xfId="0" applyNumberFormat="1" applyFont="1" applyFill="1" applyBorder="1" applyAlignment="1">
      <alignment horizontal="center" vertical="center" wrapText="1"/>
    </xf>
    <xf numFmtId="169" fontId="20" fillId="15" borderId="3" xfId="57" applyNumberFormat="1" applyFont="1" applyFill="1" applyBorder="1" applyAlignment="1">
      <alignment horizontal="center" vertical="center" wrapText="1"/>
    </xf>
    <xf numFmtId="0" fontId="20" fillId="15" borderId="3" xfId="0" applyFont="1" applyFill="1" applyBorder="1" applyAlignment="1">
      <alignment horizontal="center" vertical="center" wrapText="1"/>
    </xf>
    <xf numFmtId="14" fontId="0" fillId="12" borderId="3" xfId="0" applyNumberFormat="1" applyFill="1" applyBorder="1"/>
    <xf numFmtId="0" fontId="0" fillId="8" borderId="3" xfId="0" applyFill="1" applyBorder="1" applyAlignment="1">
      <alignment horizontal="center" vertical="center"/>
    </xf>
    <xf numFmtId="0" fontId="20" fillId="15" borderId="3" xfId="0" applyFont="1" applyFill="1" applyBorder="1" applyAlignment="1">
      <alignment vertical="center" wrapText="1"/>
    </xf>
    <xf numFmtId="14" fontId="8" fillId="12" borderId="3" xfId="0" applyNumberFormat="1" applyFont="1" applyFill="1" applyBorder="1" applyAlignment="1">
      <alignment horizontal="right"/>
    </xf>
    <xf numFmtId="14" fontId="8" fillId="12" borderId="3" xfId="0" applyNumberFormat="1" applyFont="1" applyFill="1" applyBorder="1" applyAlignment="1">
      <alignment horizontal="right" vertical="top" wrapText="1"/>
    </xf>
    <xf numFmtId="0" fontId="8" fillId="16" borderId="3" xfId="0" applyFont="1" applyFill="1" applyBorder="1" applyAlignment="1">
      <alignment horizontal="center" wrapText="1"/>
    </xf>
    <xf numFmtId="0" fontId="8" fillId="16" borderId="3" xfId="0" applyFont="1" applyFill="1" applyBorder="1" applyAlignment="1">
      <alignment horizontal="left" vertical="top" wrapText="1"/>
    </xf>
    <xf numFmtId="0" fontId="8" fillId="16" borderId="3" xfId="0" applyFont="1" applyFill="1" applyBorder="1" applyAlignment="1">
      <alignment vertical="center" wrapText="1"/>
    </xf>
    <xf numFmtId="0" fontId="24" fillId="16" borderId="3" xfId="0" applyFont="1" applyFill="1" applyBorder="1" applyAlignment="1">
      <alignment horizontal="center" vertical="center" wrapText="1"/>
    </xf>
    <xf numFmtId="0" fontId="20" fillId="15" borderId="3" xfId="0" applyFont="1" applyFill="1" applyBorder="1" applyAlignment="1">
      <alignment horizontal="left" vertical="top" wrapText="1"/>
    </xf>
    <xf numFmtId="0" fontId="24" fillId="16" borderId="3" xfId="0" applyFont="1" applyFill="1" applyBorder="1" applyAlignment="1">
      <alignment vertical="center" wrapText="1"/>
    </xf>
    <xf numFmtId="169" fontId="20" fillId="15" borderId="3" xfId="62" applyNumberFormat="1" applyFont="1" applyFill="1" applyBorder="1" applyAlignment="1">
      <alignment horizontal="center" vertical="center" wrapText="1"/>
    </xf>
    <xf numFmtId="172" fontId="20" fillId="15" borderId="3" xfId="57" applyNumberFormat="1" applyFont="1" applyFill="1" applyBorder="1" applyAlignment="1">
      <alignment horizontal="center" vertical="center" wrapText="1"/>
    </xf>
    <xf numFmtId="6" fontId="8" fillId="15" borderId="3" xfId="0" applyNumberFormat="1" applyFont="1" applyFill="1" applyBorder="1" applyAlignment="1">
      <alignment horizontal="center" vertical="center" wrapText="1"/>
    </xf>
    <xf numFmtId="0" fontId="8" fillId="16" borderId="19" xfId="0" applyFont="1" applyFill="1" applyBorder="1" applyAlignment="1">
      <alignment horizontal="center" vertical="center" wrapText="1"/>
    </xf>
    <xf numFmtId="172" fontId="20" fillId="15" borderId="13" xfId="57" applyNumberFormat="1" applyFont="1" applyFill="1" applyBorder="1" applyAlignment="1">
      <alignment horizontal="center" vertical="center" wrapText="1"/>
    </xf>
    <xf numFmtId="0" fontId="24" fillId="16" borderId="12" xfId="0" applyFont="1" applyFill="1" applyBorder="1" applyAlignment="1">
      <alignment horizontal="center" vertical="center" wrapText="1"/>
    </xf>
    <xf numFmtId="0" fontId="20" fillId="15" borderId="16" xfId="0" applyFont="1" applyFill="1" applyBorder="1" applyAlignment="1">
      <alignment horizontal="center" vertical="center" wrapText="1"/>
    </xf>
    <xf numFmtId="14" fontId="8" fillId="12" borderId="9" xfId="0" applyNumberFormat="1" applyFont="1" applyFill="1" applyBorder="1" applyAlignment="1">
      <alignment horizontal="right"/>
    </xf>
    <xf numFmtId="0" fontId="20" fillId="12" borderId="12" xfId="0" applyFont="1" applyFill="1" applyBorder="1" applyAlignment="1">
      <alignment vertical="top" wrapText="1"/>
    </xf>
    <xf numFmtId="3" fontId="8" fillId="16" borderId="12" xfId="0" applyNumberFormat="1" applyFont="1" applyFill="1" applyBorder="1" applyAlignment="1">
      <alignment horizontal="center" vertical="top"/>
    </xf>
    <xf numFmtId="14" fontId="20" fillId="15" borderId="12" xfId="0" applyNumberFormat="1" applyFont="1" applyFill="1" applyBorder="1" applyAlignment="1">
      <alignment horizontal="center" vertical="top"/>
    </xf>
    <xf numFmtId="0" fontId="8" fillId="16" borderId="12" xfId="0" applyFont="1" applyFill="1" applyBorder="1" applyAlignment="1">
      <alignment horizontal="center" vertical="top" wrapText="1"/>
    </xf>
    <xf numFmtId="0" fontId="8" fillId="16" borderId="12" xfId="0" applyFont="1" applyFill="1" applyBorder="1" applyAlignment="1">
      <alignment vertical="top" wrapText="1"/>
    </xf>
    <xf numFmtId="169" fontId="20" fillId="12" borderId="3" xfId="0" applyNumberFormat="1" applyFont="1" applyFill="1" applyBorder="1" applyAlignment="1">
      <alignment horizontal="center" vertical="center" wrapText="1"/>
    </xf>
    <xf numFmtId="6" fontId="20" fillId="12" borderId="3" xfId="0" applyNumberFormat="1" applyFont="1" applyFill="1" applyBorder="1" applyAlignment="1">
      <alignment horizontal="left" vertical="top" wrapText="1"/>
    </xf>
    <xf numFmtId="169" fontId="20" fillId="12" borderId="3" xfId="0" applyNumberFormat="1" applyFont="1" applyFill="1" applyBorder="1" applyAlignment="1">
      <alignment horizontal="left" vertical="top" wrapText="1"/>
    </xf>
    <xf numFmtId="8" fontId="20" fillId="12" borderId="3" xfId="0" applyNumberFormat="1" applyFont="1" applyFill="1" applyBorder="1" applyAlignment="1">
      <alignment horizontal="center" vertical="center" wrapText="1"/>
    </xf>
    <xf numFmtId="173" fontId="20" fillId="12" borderId="3" xfId="0" applyNumberFormat="1" applyFont="1" applyFill="1" applyBorder="1" applyAlignment="1">
      <alignment horizontal="left" vertical="top" wrapText="1"/>
    </xf>
    <xf numFmtId="0" fontId="20" fillId="12" borderId="12" xfId="0" applyFont="1" applyFill="1" applyBorder="1" applyAlignment="1">
      <alignment horizontal="left" vertical="top" wrapText="1"/>
    </xf>
    <xf numFmtId="0" fontId="20" fillId="12" borderId="12" xfId="0" applyFont="1" applyFill="1" applyBorder="1" applyAlignment="1">
      <alignment horizontal="center" vertical="center" wrapText="1"/>
    </xf>
    <xf numFmtId="14" fontId="20" fillId="5" borderId="12" xfId="0" applyNumberFormat="1" applyFont="1" applyBorder="1" applyAlignment="1">
      <alignment horizontal="left" vertical="top" wrapText="1"/>
    </xf>
    <xf numFmtId="3" fontId="8" fillId="16" borderId="12" xfId="0" applyNumberFormat="1" applyFont="1" applyFill="1" applyBorder="1" applyAlignment="1">
      <alignment horizontal="center" vertical="center"/>
    </xf>
    <xf numFmtId="14" fontId="20" fillId="15" borderId="12" xfId="0" applyNumberFormat="1" applyFont="1" applyFill="1" applyBorder="1" applyAlignment="1">
      <alignment horizontal="center" vertical="center"/>
    </xf>
    <xf numFmtId="0" fontId="8" fillId="16" borderId="12" xfId="0" applyFont="1" applyFill="1" applyBorder="1" applyAlignment="1">
      <alignment horizontal="center" vertical="center" wrapText="1"/>
    </xf>
    <xf numFmtId="6" fontId="20" fillId="12" borderId="3" xfId="0" applyNumberFormat="1" applyFont="1" applyFill="1" applyBorder="1" applyAlignment="1">
      <alignment horizontal="center" vertical="center" wrapText="1"/>
    </xf>
    <xf numFmtId="6" fontId="20" fillId="12" borderId="3" xfId="0" applyNumberFormat="1" applyFont="1" applyFill="1" applyBorder="1" applyAlignment="1">
      <alignment horizontal="left" vertical="center" wrapText="1"/>
    </xf>
    <xf numFmtId="8" fontId="20" fillId="12" borderId="3" xfId="0" applyNumberFormat="1" applyFont="1" applyFill="1" applyBorder="1" applyAlignment="1">
      <alignment horizontal="left" vertical="top" wrapText="1"/>
    </xf>
    <xf numFmtId="14" fontId="20" fillId="4" borderId="12" xfId="0" applyNumberFormat="1" applyFont="1" applyFill="1" applyBorder="1" applyAlignment="1">
      <alignment horizontal="left" vertical="top" wrapText="1"/>
    </xf>
    <xf numFmtId="0" fontId="20" fillId="12" borderId="12" xfId="0" applyFont="1" applyFill="1" applyBorder="1" applyAlignment="1">
      <alignment horizontal="left" vertical="center" wrapText="1"/>
    </xf>
    <xf numFmtId="3" fontId="8" fillId="12" borderId="12" xfId="0" applyNumberFormat="1" applyFont="1" applyFill="1" applyBorder="1" applyAlignment="1">
      <alignment horizontal="center" vertical="center"/>
    </xf>
    <xf numFmtId="0" fontId="8" fillId="12" borderId="12" xfId="0" applyFont="1" applyFill="1" applyBorder="1" applyAlignment="1">
      <alignment horizontal="center" vertical="center" wrapText="1"/>
    </xf>
    <xf numFmtId="173" fontId="20" fillId="12" borderId="3" xfId="0" applyNumberFormat="1" applyFont="1" applyFill="1" applyBorder="1" applyAlignment="1">
      <alignment horizontal="center" vertical="center" wrapText="1"/>
    </xf>
    <xf numFmtId="0" fontId="8" fillId="12" borderId="12" xfId="0" applyFont="1" applyFill="1" applyBorder="1" applyAlignment="1">
      <alignment horizontal="center" vertical="center"/>
    </xf>
    <xf numFmtId="0" fontId="20" fillId="12" borderId="12" xfId="0" applyFont="1" applyFill="1" applyBorder="1" applyAlignment="1">
      <alignment horizontal="left" wrapText="1"/>
    </xf>
    <xf numFmtId="3" fontId="8" fillId="16" borderId="12" xfId="0" applyNumberFormat="1" applyFont="1" applyFill="1" applyBorder="1" applyAlignment="1">
      <alignment horizontal="center"/>
    </xf>
    <xf numFmtId="14" fontId="20" fillId="15" borderId="12" xfId="0" applyNumberFormat="1" applyFont="1" applyFill="1" applyBorder="1" applyAlignment="1">
      <alignment horizontal="center"/>
    </xf>
    <xf numFmtId="0" fontId="8" fillId="16" borderId="12" xfId="0" applyFont="1" applyFill="1" applyBorder="1" applyAlignment="1">
      <alignment horizontal="center" wrapText="1"/>
    </xf>
    <xf numFmtId="169" fontId="20" fillId="12" borderId="3" xfId="0" applyNumberFormat="1" applyFont="1" applyFill="1" applyBorder="1" applyAlignment="1">
      <alignment horizontal="center" wrapText="1"/>
    </xf>
    <xf numFmtId="6" fontId="20" fillId="12" borderId="3" xfId="0" applyNumberFormat="1" applyFont="1" applyFill="1" applyBorder="1" applyAlignment="1">
      <alignment horizontal="center" wrapText="1"/>
    </xf>
    <xf numFmtId="8" fontId="20" fillId="12" borderId="3" xfId="0" applyNumberFormat="1" applyFont="1" applyFill="1" applyBorder="1" applyAlignment="1">
      <alignment horizontal="center" wrapText="1"/>
    </xf>
    <xf numFmtId="173" fontId="20" fillId="12" borderId="3" xfId="0" applyNumberFormat="1" applyFont="1" applyFill="1" applyBorder="1" applyAlignment="1">
      <alignment horizontal="center" wrapText="1"/>
    </xf>
    <xf numFmtId="0" fontId="21" fillId="12" borderId="3" xfId="0" applyFont="1" applyFill="1" applyBorder="1" applyAlignment="1">
      <alignment horizontal="center"/>
    </xf>
    <xf numFmtId="0" fontId="8" fillId="16" borderId="12" xfId="0" applyFont="1" applyFill="1" applyBorder="1" applyAlignment="1">
      <alignment horizontal="center"/>
    </xf>
    <xf numFmtId="0" fontId="20" fillId="12" borderId="12" xfId="0" applyFont="1" applyFill="1" applyBorder="1" applyAlignment="1">
      <alignment horizontal="center" wrapText="1"/>
    </xf>
    <xf numFmtId="0" fontId="20" fillId="12" borderId="3" xfId="0" applyFont="1" applyFill="1" applyBorder="1" applyAlignment="1">
      <alignment horizontal="left" wrapText="1"/>
    </xf>
    <xf numFmtId="3" fontId="8" fillId="16" borderId="3" xfId="0" applyNumberFormat="1" applyFont="1" applyFill="1" applyBorder="1" applyAlignment="1">
      <alignment horizontal="center"/>
    </xf>
    <xf numFmtId="14" fontId="20" fillId="15" borderId="3" xfId="0" applyNumberFormat="1" applyFont="1" applyFill="1" applyBorder="1" applyAlignment="1">
      <alignment horizontal="center"/>
    </xf>
    <xf numFmtId="14" fontId="0" fillId="5" borderId="3" xfId="0" applyNumberFormat="1" applyBorder="1"/>
    <xf numFmtId="0" fontId="8" fillId="12" borderId="12" xfId="0" applyFont="1" applyFill="1" applyBorder="1" applyAlignment="1">
      <alignment horizontal="left" wrapText="1"/>
    </xf>
    <xf numFmtId="0" fontId="8" fillId="12" borderId="12" xfId="0" applyFont="1" applyFill="1" applyBorder="1" applyAlignment="1">
      <alignment horizontal="center"/>
    </xf>
    <xf numFmtId="14" fontId="8" fillId="12" borderId="12" xfId="0" applyNumberFormat="1" applyFont="1" applyFill="1" applyBorder="1" applyAlignment="1">
      <alignment horizontal="center"/>
    </xf>
    <xf numFmtId="0" fontId="8" fillId="12" borderId="12" xfId="0" applyFont="1" applyFill="1" applyBorder="1" applyAlignment="1">
      <alignment horizontal="center" wrapText="1"/>
    </xf>
    <xf numFmtId="6" fontId="8" fillId="12" borderId="3" xfId="0" applyNumberFormat="1" applyFont="1" applyFill="1" applyBorder="1" applyAlignment="1">
      <alignment horizontal="center"/>
    </xf>
    <xf numFmtId="8" fontId="8" fillId="12" borderId="3" xfId="0" applyNumberFormat="1" applyFont="1" applyFill="1" applyBorder="1" applyAlignment="1">
      <alignment horizontal="center"/>
    </xf>
    <xf numFmtId="14" fontId="0" fillId="5" borderId="18" xfId="0" applyNumberFormat="1" applyBorder="1"/>
    <xf numFmtId="14" fontId="0" fillId="5" borderId="34" xfId="0" applyNumberFormat="1" applyBorder="1"/>
    <xf numFmtId="14" fontId="0" fillId="5" borderId="35" xfId="0" applyNumberFormat="1" applyBorder="1"/>
    <xf numFmtId="14" fontId="0" fillId="5" borderId="0" xfId="0" applyNumberFormat="1"/>
    <xf numFmtId="0" fontId="0" fillId="8" borderId="0" xfId="0" applyFill="1" applyAlignment="1">
      <alignment horizontal="center" vertical="center"/>
    </xf>
    <xf numFmtId="0" fontId="0" fillId="8" borderId="20" xfId="0" applyFill="1" applyBorder="1" applyAlignment="1">
      <alignment horizontal="center" vertical="center"/>
    </xf>
    <xf numFmtId="0" fontId="8" fillId="15" borderId="12" xfId="0" applyFont="1" applyFill="1" applyBorder="1" applyAlignment="1">
      <alignment horizontal="center" vertical="center" wrapText="1"/>
    </xf>
    <xf numFmtId="14" fontId="8" fillId="15" borderId="12" xfId="0" applyNumberFormat="1" applyFont="1" applyFill="1" applyBorder="1" applyAlignment="1">
      <alignment horizontal="center" vertical="center"/>
    </xf>
    <xf numFmtId="0" fontId="23" fillId="15" borderId="18" xfId="0" applyFont="1" applyFill="1" applyBorder="1" applyAlignment="1">
      <alignment vertical="center" wrapText="1"/>
    </xf>
    <xf numFmtId="8" fontId="8" fillId="15" borderId="3" xfId="0" applyNumberFormat="1" applyFont="1" applyFill="1" applyBorder="1" applyAlignment="1">
      <alignment horizontal="center" vertical="center" wrapText="1"/>
    </xf>
    <xf numFmtId="0" fontId="8" fillId="15" borderId="3" xfId="0" applyFont="1" applyFill="1" applyBorder="1" applyAlignment="1">
      <alignment horizontal="center" vertical="center"/>
    </xf>
    <xf numFmtId="0" fontId="8" fillId="15" borderId="12" xfId="0" applyFont="1" applyFill="1" applyBorder="1" applyAlignment="1">
      <alignment horizontal="center" vertical="center"/>
    </xf>
    <xf numFmtId="0" fontId="8" fillId="15" borderId="3" xfId="0" applyFont="1" applyFill="1" applyBorder="1" applyAlignment="1">
      <alignment horizontal="left" vertical="center" wrapText="1"/>
    </xf>
    <xf numFmtId="0" fontId="8" fillId="15" borderId="36" xfId="0" applyFont="1" applyFill="1" applyBorder="1" applyAlignment="1">
      <alignment horizontal="center" vertical="center" wrapText="1"/>
    </xf>
    <xf numFmtId="14" fontId="0" fillId="12" borderId="5" xfId="0" applyNumberFormat="1" applyFill="1" applyBorder="1"/>
    <xf numFmtId="0" fontId="23" fillId="12" borderId="18" xfId="0" applyFont="1" applyFill="1" applyBorder="1" applyAlignment="1">
      <alignment vertical="center" wrapText="1"/>
    </xf>
    <xf numFmtId="0" fontId="20" fillId="12" borderId="3" xfId="0" applyFont="1" applyFill="1" applyBorder="1" applyAlignment="1">
      <alignment horizontal="left" vertical="center" wrapText="1"/>
    </xf>
    <xf numFmtId="0" fontId="20" fillId="12" borderId="36" xfId="0" applyFont="1" applyFill="1" applyBorder="1" applyAlignment="1">
      <alignment horizontal="center" vertical="center" wrapText="1"/>
    </xf>
    <xf numFmtId="14" fontId="0" fillId="12" borderId="3" xfId="0" applyNumberFormat="1" applyFill="1" applyBorder="1" applyAlignment="1">
      <alignment vertical="center"/>
    </xf>
    <xf numFmtId="0" fontId="20" fillId="12" borderId="36" xfId="0" applyFont="1" applyFill="1" applyBorder="1" applyAlignment="1">
      <alignment horizontal="center" wrapText="1"/>
    </xf>
    <xf numFmtId="0" fontId="20" fillId="12" borderId="3" xfId="0" applyFont="1" applyFill="1" applyBorder="1" applyAlignment="1">
      <alignment horizontal="left" vertical="top" wrapText="1"/>
    </xf>
    <xf numFmtId="174" fontId="20" fillId="12" borderId="3" xfId="0" applyNumberFormat="1" applyFont="1" applyFill="1" applyBorder="1" applyAlignment="1">
      <alignment horizontal="center" wrapText="1"/>
    </xf>
    <xf numFmtId="0" fontId="8" fillId="15" borderId="8" xfId="0" applyFont="1" applyFill="1" applyBorder="1" applyAlignment="1">
      <alignment horizontal="center" vertical="center" wrapText="1"/>
    </xf>
    <xf numFmtId="0" fontId="0" fillId="12" borderId="3" xfId="0" applyFill="1" applyBorder="1"/>
    <xf numFmtId="0" fontId="8" fillId="15" borderId="11" xfId="0" applyFont="1" applyFill="1" applyBorder="1" applyAlignment="1">
      <alignment horizontal="center" vertical="center" wrapText="1"/>
    </xf>
    <xf numFmtId="0" fontId="0" fillId="16" borderId="7" xfId="0" applyFill="1" applyBorder="1" applyAlignment="1">
      <alignment horizontal="center" vertical="center"/>
    </xf>
    <xf numFmtId="0" fontId="23" fillId="12" borderId="18" xfId="0" applyFont="1" applyFill="1" applyBorder="1" applyAlignment="1">
      <alignment horizontal="left" vertical="top" wrapText="1"/>
    </xf>
    <xf numFmtId="6" fontId="8" fillId="12" borderId="3" xfId="0" applyNumberFormat="1" applyFont="1" applyFill="1" applyBorder="1" applyAlignment="1">
      <alignment horizontal="center" vertical="center"/>
    </xf>
    <xf numFmtId="3" fontId="8" fillId="12" borderId="3" xfId="0" applyNumberFormat="1" applyFont="1" applyFill="1" applyBorder="1" applyAlignment="1">
      <alignment horizontal="center" vertical="center"/>
    </xf>
    <xf numFmtId="8" fontId="8" fillId="12" borderId="3" xfId="0" applyNumberFormat="1" applyFont="1" applyFill="1" applyBorder="1" applyAlignment="1">
      <alignment horizontal="center" vertical="center"/>
    </xf>
    <xf numFmtId="0" fontId="8" fillId="12" borderId="8" xfId="0" applyFont="1" applyFill="1" applyBorder="1" applyAlignment="1">
      <alignment horizontal="center" vertical="center"/>
    </xf>
    <xf numFmtId="0" fontId="8" fillId="16" borderId="8" xfId="0" applyFont="1" applyFill="1" applyBorder="1" applyAlignment="1">
      <alignment horizontal="center" vertical="center"/>
    </xf>
    <xf numFmtId="3" fontId="8" fillId="12" borderId="3" xfId="0" applyNumberFormat="1" applyFont="1" applyFill="1" applyBorder="1" applyAlignment="1">
      <alignment horizontal="left" vertical="center" wrapText="1"/>
    </xf>
    <xf numFmtId="175" fontId="8" fillId="12" borderId="3" xfId="0" applyNumberFormat="1" applyFont="1" applyFill="1" applyBorder="1" applyAlignment="1">
      <alignment horizontal="left" vertical="center" wrapText="1"/>
    </xf>
    <xf numFmtId="0" fontId="9" fillId="12" borderId="3" xfId="0" applyFont="1" applyFill="1" applyBorder="1" applyAlignment="1">
      <alignment horizontal="left" vertical="center" wrapText="1"/>
    </xf>
    <xf numFmtId="170" fontId="9" fillId="12" borderId="3" xfId="56" applyNumberFormat="1" applyFont="1" applyFill="1" applyBorder="1" applyAlignment="1">
      <alignment horizontal="left" vertical="center" wrapText="1"/>
    </xf>
    <xf numFmtId="6" fontId="9" fillId="12" borderId="3" xfId="0" applyNumberFormat="1" applyFont="1" applyFill="1" applyBorder="1" applyAlignment="1">
      <alignment horizontal="left" vertical="center" wrapText="1"/>
    </xf>
    <xf numFmtId="6" fontId="9" fillId="12" borderId="3" xfId="0" applyNumberFormat="1" applyFont="1" applyFill="1" applyBorder="1" applyAlignment="1">
      <alignment horizontal="center" vertical="center" wrapText="1"/>
    </xf>
    <xf numFmtId="169" fontId="20" fillId="12" borderId="3" xfId="0" applyNumberFormat="1" applyFont="1" applyFill="1" applyBorder="1" applyAlignment="1">
      <alignment horizontal="right" wrapText="1"/>
    </xf>
    <xf numFmtId="169" fontId="30" fillId="12" borderId="3" xfId="0" applyNumberFormat="1" applyFont="1" applyFill="1" applyBorder="1" applyAlignment="1">
      <alignment horizontal="right" wrapText="1"/>
    </xf>
    <xf numFmtId="0" fontId="22" fillId="15" borderId="16" xfId="0" applyFont="1" applyFill="1" applyBorder="1" applyAlignment="1">
      <alignment horizontal="left" vertical="center" wrapText="1"/>
    </xf>
    <xf numFmtId="0" fontId="11" fillId="12" borderId="9" xfId="0" applyFont="1" applyFill="1" applyBorder="1" applyAlignment="1">
      <alignment horizontal="center" vertical="center"/>
    </xf>
    <xf numFmtId="170" fontId="20" fillId="15" borderId="33" xfId="56" applyNumberFormat="1" applyFont="1" applyFill="1" applyBorder="1" applyAlignment="1">
      <alignment horizontal="right" vertical="center" wrapText="1"/>
    </xf>
    <xf numFmtId="14" fontId="22" fillId="15" borderId="13" xfId="0" applyNumberFormat="1" applyFont="1" applyFill="1" applyBorder="1" applyAlignment="1">
      <alignment horizontal="center" vertical="center"/>
    </xf>
    <xf numFmtId="0" fontId="9" fillId="16" borderId="19" xfId="0" applyFont="1" applyFill="1" applyBorder="1" applyAlignment="1">
      <alignment horizontal="center" vertical="center" wrapText="1"/>
    </xf>
    <xf numFmtId="0" fontId="22" fillId="15" borderId="13" xfId="0" applyFont="1" applyFill="1" applyBorder="1" applyAlignment="1">
      <alignment horizontal="left" vertical="center" wrapText="1"/>
    </xf>
    <xf numFmtId="6" fontId="22" fillId="15" borderId="16" xfId="0" applyNumberFormat="1" applyFont="1" applyFill="1" applyBorder="1" applyAlignment="1">
      <alignment horizontal="center" vertical="center" wrapText="1"/>
    </xf>
    <xf numFmtId="0" fontId="8" fillId="12" borderId="3" xfId="0" applyFont="1" applyFill="1" applyBorder="1"/>
    <xf numFmtId="169" fontId="8" fillId="12" borderId="3" xfId="0" applyNumberFormat="1" applyFont="1" applyFill="1" applyBorder="1" applyAlignment="1">
      <alignment horizontal="right" vertical="center"/>
    </xf>
    <xf numFmtId="168" fontId="22" fillId="15" borderId="33" xfId="57" applyNumberFormat="1" applyFont="1" applyFill="1" applyBorder="1" applyAlignment="1">
      <alignment horizontal="center" vertical="center" wrapText="1"/>
    </xf>
    <xf numFmtId="169" fontId="22" fillId="15" borderId="13" xfId="0" applyNumberFormat="1" applyFont="1" applyFill="1" applyBorder="1" applyAlignment="1">
      <alignment horizontal="center" vertical="center" wrapText="1"/>
    </xf>
    <xf numFmtId="168" fontId="22" fillId="15" borderId="13" xfId="0" applyNumberFormat="1" applyFont="1" applyFill="1" applyBorder="1" applyAlignment="1">
      <alignment horizontal="center" vertical="center" wrapText="1"/>
    </xf>
    <xf numFmtId="0" fontId="27" fillId="16" borderId="12" xfId="0" applyFont="1" applyFill="1" applyBorder="1" applyAlignment="1">
      <alignment horizontal="center" vertical="center" wrapText="1"/>
    </xf>
    <xf numFmtId="0" fontId="22" fillId="15" borderId="13" xfId="0" applyFont="1" applyFill="1" applyBorder="1" applyAlignment="1">
      <alignment horizontal="center" vertical="center"/>
    </xf>
    <xf numFmtId="0" fontId="22" fillId="15" borderId="3" xfId="0" applyFont="1" applyFill="1" applyBorder="1" applyAlignment="1">
      <alignment horizontal="center" vertical="center"/>
    </xf>
    <xf numFmtId="0" fontId="22" fillId="15" borderId="3" xfId="0" applyFont="1" applyFill="1" applyBorder="1" applyAlignment="1">
      <alignment horizontal="center" vertical="center" wrapText="1"/>
    </xf>
    <xf numFmtId="3" fontId="21" fillId="12" borderId="12" xfId="0" applyNumberFormat="1" applyFont="1" applyFill="1" applyBorder="1" applyAlignment="1">
      <alignment horizontal="center" vertical="center"/>
    </xf>
    <xf numFmtId="3" fontId="21" fillId="12" borderId="12" xfId="0" applyNumberFormat="1" applyFont="1" applyFill="1" applyBorder="1" applyAlignment="1">
      <alignment horizontal="center" vertical="center" wrapText="1"/>
    </xf>
    <xf numFmtId="0" fontId="0" fillId="5" borderId="0" xfId="0" applyAlignment="1">
      <alignment wrapText="1"/>
    </xf>
    <xf numFmtId="0" fontId="0" fillId="8" borderId="3" xfId="0" applyFill="1" applyBorder="1" applyAlignment="1">
      <alignment horizontal="center" vertical="center" wrapText="1"/>
    </xf>
    <xf numFmtId="0" fontId="0" fillId="8" borderId="0" xfId="0" applyFill="1" applyAlignment="1">
      <alignment horizontal="center" vertical="center" wrapText="1"/>
    </xf>
    <xf numFmtId="0" fontId="8" fillId="12" borderId="3" xfId="56" applyNumberFormat="1" applyFont="1" applyFill="1" applyBorder="1" applyAlignment="1">
      <alignment horizontal="center" vertical="center" wrapText="1"/>
    </xf>
    <xf numFmtId="0" fontId="8" fillId="15" borderId="3" xfId="0" applyFont="1" applyFill="1" applyBorder="1" applyAlignment="1">
      <alignment horizontal="center" vertical="center" wrapText="1"/>
    </xf>
    <xf numFmtId="170" fontId="8" fillId="12" borderId="3" xfId="56" applyNumberFormat="1" applyFont="1" applyFill="1" applyBorder="1" applyAlignment="1">
      <alignment horizontal="center" vertical="center" wrapText="1"/>
    </xf>
    <xf numFmtId="14" fontId="8" fillId="15" borderId="3" xfId="0" applyNumberFormat="1" applyFont="1" applyFill="1" applyBorder="1" applyAlignment="1">
      <alignment horizontal="center" vertical="center"/>
    </xf>
    <xf numFmtId="0" fontId="23" fillId="15" borderId="3" xfId="0" applyFont="1" applyFill="1" applyBorder="1" applyAlignment="1">
      <alignment vertical="center" wrapText="1"/>
    </xf>
    <xf numFmtId="6" fontId="8" fillId="15" borderId="3" xfId="0" applyNumberFormat="1" applyFont="1" applyFill="1" applyBorder="1" applyAlignment="1">
      <alignment vertical="center" wrapText="1"/>
    </xf>
    <xf numFmtId="168" fontId="8" fillId="15" borderId="3" xfId="0" applyNumberFormat="1" applyFont="1" applyFill="1" applyBorder="1" applyAlignment="1">
      <alignment vertical="center" wrapText="1"/>
    </xf>
    <xf numFmtId="0" fontId="0" fillId="16" borderId="3" xfId="0" applyFill="1" applyBorder="1"/>
    <xf numFmtId="0" fontId="22" fillId="15" borderId="3" xfId="0" applyFont="1" applyFill="1" applyBorder="1" applyAlignment="1">
      <alignment horizontal="left" vertical="center" wrapText="1"/>
    </xf>
    <xf numFmtId="14" fontId="22" fillId="15" borderId="3" xfId="0" applyNumberFormat="1" applyFont="1" applyFill="1" applyBorder="1" applyAlignment="1">
      <alignment horizontal="center" vertical="center"/>
    </xf>
    <xf numFmtId="0" fontId="9" fillId="16" borderId="3" xfId="0" applyFont="1" applyFill="1" applyBorder="1" applyAlignment="1">
      <alignment horizontal="center" vertical="center" wrapText="1"/>
    </xf>
    <xf numFmtId="6" fontId="22" fillId="15" borderId="3" xfId="0" applyNumberFormat="1" applyFont="1" applyFill="1" applyBorder="1" applyAlignment="1">
      <alignment vertical="center" wrapText="1"/>
    </xf>
    <xf numFmtId="169" fontId="22" fillId="15" borderId="3" xfId="0" applyNumberFormat="1" applyFont="1" applyFill="1" applyBorder="1" applyAlignment="1">
      <alignment vertical="center" wrapText="1"/>
    </xf>
    <xf numFmtId="168" fontId="22" fillId="15" borderId="3" xfId="0" applyNumberFormat="1" applyFont="1" applyFill="1" applyBorder="1" applyAlignment="1">
      <alignment vertical="center" wrapText="1"/>
    </xf>
    <xf numFmtId="0" fontId="27" fillId="16" borderId="3" xfId="0" applyFont="1" applyFill="1" applyBorder="1" applyAlignment="1">
      <alignment horizontal="center" vertical="center" wrapText="1"/>
    </xf>
    <xf numFmtId="0" fontId="22" fillId="15" borderId="3" xfId="0" applyFont="1" applyFill="1" applyBorder="1" applyAlignment="1">
      <alignment horizontal="left" vertical="top" wrapText="1"/>
    </xf>
    <xf numFmtId="0" fontId="9" fillId="16" borderId="3" xfId="0" applyFont="1" applyFill="1" applyBorder="1" applyAlignment="1">
      <alignment horizontal="center" vertical="center"/>
    </xf>
    <xf numFmtId="170" fontId="22" fillId="15" borderId="3" xfId="56" applyNumberFormat="1" applyFont="1" applyFill="1" applyBorder="1" applyAlignment="1">
      <alignment horizontal="center" vertical="center" wrapText="1"/>
    </xf>
    <xf numFmtId="169" fontId="9" fillId="16" borderId="3" xfId="0" applyNumberFormat="1" applyFont="1" applyFill="1" applyBorder="1" applyAlignment="1">
      <alignment vertical="center"/>
    </xf>
    <xf numFmtId="169" fontId="22" fillId="12" borderId="3" xfId="0" applyNumberFormat="1" applyFont="1" applyFill="1" applyBorder="1" applyAlignment="1">
      <alignment vertical="center" wrapText="1"/>
    </xf>
    <xf numFmtId="8" fontId="22" fillId="12" borderId="3" xfId="0" applyNumberFormat="1" applyFont="1" applyFill="1" applyBorder="1" applyAlignment="1">
      <alignment vertical="center" wrapText="1"/>
    </xf>
    <xf numFmtId="14" fontId="0" fillId="16" borderId="3" xfId="0" applyNumberFormat="1" applyFill="1" applyBorder="1"/>
    <xf numFmtId="0" fontId="32" fillId="5" borderId="3" xfId="0" applyFont="1" applyBorder="1"/>
    <xf numFmtId="0" fontId="32" fillId="9" borderId="0" xfId="0" applyFont="1" applyFill="1"/>
    <xf numFmtId="0" fontId="32" fillId="5" borderId="0" xfId="0" applyFont="1"/>
    <xf numFmtId="0" fontId="32" fillId="5" borderId="0" xfId="0" applyFont="1" applyAlignment="1">
      <alignment horizontal="center"/>
    </xf>
    <xf numFmtId="0" fontId="32" fillId="5" borderId="14" xfId="0" applyFont="1" applyBorder="1" applyAlignment="1">
      <alignment vertical="top"/>
    </xf>
    <xf numFmtId="0" fontId="32" fillId="5" borderId="13" xfId="0" applyFont="1" applyBorder="1" applyAlignment="1">
      <alignment vertical="top"/>
    </xf>
    <xf numFmtId="0" fontId="32" fillId="5" borderId="26" xfId="0" applyFont="1" applyBorder="1" applyAlignment="1">
      <alignment horizontal="center"/>
    </xf>
    <xf numFmtId="0" fontId="32" fillId="5" borderId="15" xfId="0" applyFont="1" applyBorder="1" applyAlignment="1">
      <alignment vertical="top"/>
    </xf>
    <xf numFmtId="0" fontId="32" fillId="5" borderId="17" xfId="0" applyFont="1" applyBorder="1" applyAlignment="1">
      <alignment horizontal="center"/>
    </xf>
    <xf numFmtId="0" fontId="34" fillId="5" borderId="0" xfId="0" applyFont="1"/>
    <xf numFmtId="0" fontId="34" fillId="5" borderId="0" xfId="0" applyFont="1" applyAlignment="1">
      <alignment horizontal="center"/>
    </xf>
    <xf numFmtId="0" fontId="35" fillId="13" borderId="3" xfId="0" applyFont="1" applyFill="1" applyBorder="1"/>
    <xf numFmtId="0" fontId="35" fillId="13" borderId="3" xfId="0" applyFont="1" applyFill="1" applyBorder="1" applyAlignment="1">
      <alignment wrapText="1"/>
    </xf>
    <xf numFmtId="0" fontId="35" fillId="13" borderId="3" xfId="0" applyFont="1" applyFill="1" applyBorder="1" applyAlignment="1">
      <alignment horizontal="center"/>
    </xf>
    <xf numFmtId="0" fontId="35" fillId="14" borderId="3" xfId="0" applyFont="1" applyFill="1" applyBorder="1"/>
    <xf numFmtId="0" fontId="35" fillId="14" borderId="3" xfId="0" applyFont="1" applyFill="1" applyBorder="1" applyAlignment="1">
      <alignment wrapText="1"/>
    </xf>
    <xf numFmtId="0" fontId="35" fillId="14" borderId="3" xfId="0" applyFont="1" applyFill="1" applyBorder="1" applyAlignment="1">
      <alignment horizontal="center"/>
    </xf>
    <xf numFmtId="0" fontId="36" fillId="4" borderId="0" xfId="0" applyFont="1" applyFill="1" applyAlignment="1">
      <alignment horizontal="center" vertical="center"/>
    </xf>
    <xf numFmtId="0" fontId="36" fillId="4" borderId="0" xfId="0" applyFont="1" applyFill="1" applyAlignment="1">
      <alignment horizontal="center"/>
    </xf>
    <xf numFmtId="0" fontId="36" fillId="3" borderId="3" xfId="0" applyFont="1" applyFill="1" applyBorder="1"/>
    <xf numFmtId="0" fontId="33" fillId="3" borderId="3" xfId="0" applyFont="1" applyFill="1" applyBorder="1"/>
    <xf numFmtId="0" fontId="33" fillId="3" borderId="3" xfId="0" applyFont="1" applyFill="1" applyBorder="1" applyAlignment="1">
      <alignment horizontal="center"/>
    </xf>
    <xf numFmtId="0" fontId="33" fillId="4" borderId="32" xfId="0" applyFont="1" applyFill="1" applyBorder="1" applyAlignment="1">
      <alignment horizontal="center" vertical="center"/>
    </xf>
    <xf numFmtId="0" fontId="33" fillId="4" borderId="3" xfId="0" applyFont="1" applyFill="1" applyBorder="1" applyAlignment="1">
      <alignment horizontal="center"/>
    </xf>
    <xf numFmtId="0" fontId="9" fillId="12" borderId="3" xfId="0" applyFont="1" applyFill="1" applyBorder="1" applyAlignment="1">
      <alignment horizontal="center" vertical="center" wrapText="1"/>
    </xf>
    <xf numFmtId="0" fontId="22" fillId="12" borderId="3" xfId="0" applyFont="1" applyFill="1" applyBorder="1" applyAlignment="1">
      <alignment horizontal="center" vertical="center" wrapText="1"/>
    </xf>
    <xf numFmtId="170" fontId="9" fillId="12" borderId="3" xfId="56" applyNumberFormat="1" applyFont="1" applyFill="1" applyBorder="1" applyAlignment="1">
      <alignment horizontal="center" vertical="center" wrapText="1"/>
    </xf>
    <xf numFmtId="14" fontId="9" fillId="12" borderId="3" xfId="0" applyNumberFormat="1" applyFont="1" applyFill="1" applyBorder="1" applyAlignment="1">
      <alignment horizontal="center" vertical="center"/>
    </xf>
    <xf numFmtId="0" fontId="9" fillId="12" borderId="3" xfId="0" applyFont="1" applyFill="1" applyBorder="1" applyAlignment="1">
      <alignment horizontal="center" vertical="center"/>
    </xf>
    <xf numFmtId="0" fontId="9" fillId="12" borderId="3" xfId="0" applyFont="1" applyFill="1" applyBorder="1" applyAlignment="1">
      <alignment horizontal="left" vertical="center"/>
    </xf>
    <xf numFmtId="6" fontId="9" fillId="12" borderId="3" xfId="0" applyNumberFormat="1" applyFont="1" applyFill="1" applyBorder="1" applyAlignment="1">
      <alignment vertical="center"/>
    </xf>
    <xf numFmtId="3" fontId="9" fillId="12" borderId="3" xfId="0" applyNumberFormat="1" applyFont="1" applyFill="1" applyBorder="1" applyAlignment="1">
      <alignment vertical="center"/>
    </xf>
    <xf numFmtId="168" fontId="9" fillId="12" borderId="3" xfId="0" applyNumberFormat="1" applyFont="1" applyFill="1" applyBorder="1" applyAlignment="1">
      <alignment vertical="center"/>
    </xf>
    <xf numFmtId="0" fontId="9" fillId="12" borderId="3" xfId="0" applyFont="1" applyFill="1" applyBorder="1" applyAlignment="1">
      <alignment vertical="center" wrapText="1"/>
    </xf>
    <xf numFmtId="0" fontId="35" fillId="14" borderId="13" xfId="0" applyFont="1" applyFill="1" applyBorder="1"/>
    <xf numFmtId="0" fontId="35" fillId="14" borderId="13" xfId="0" applyFont="1" applyFill="1" applyBorder="1" applyAlignment="1">
      <alignment wrapText="1"/>
    </xf>
    <xf numFmtId="0" fontId="35" fillId="13" borderId="13" xfId="0" applyFont="1" applyFill="1" applyBorder="1" applyAlignment="1">
      <alignment wrapText="1"/>
    </xf>
    <xf numFmtId="0" fontId="35" fillId="14" borderId="3" xfId="0" applyFont="1" applyFill="1" applyBorder="1" applyAlignment="1">
      <alignment horizontal="left" vertical="top"/>
    </xf>
    <xf numFmtId="0" fontId="35" fillId="14" borderId="40" xfId="0" applyFont="1" applyFill="1" applyBorder="1"/>
    <xf numFmtId="0" fontId="35" fillId="13" borderId="41" xfId="0" applyFont="1" applyFill="1" applyBorder="1"/>
    <xf numFmtId="0" fontId="9" fillId="16" borderId="3" xfId="0" applyFont="1" applyFill="1" applyBorder="1" applyAlignment="1">
      <alignment horizontal="left" vertical="center" wrapText="1"/>
    </xf>
    <xf numFmtId="170" fontId="9" fillId="16" borderId="3" xfId="56" applyNumberFormat="1" applyFont="1" applyFill="1" applyBorder="1" applyAlignment="1">
      <alignment horizontal="center" vertical="center" wrapText="1"/>
    </xf>
    <xf numFmtId="14" fontId="9" fillId="16" borderId="3" xfId="0" applyNumberFormat="1" applyFont="1" applyFill="1" applyBorder="1" applyAlignment="1">
      <alignment horizontal="center" vertical="center"/>
    </xf>
    <xf numFmtId="0" fontId="14" fillId="16" borderId="3" xfId="0" applyFont="1" applyFill="1" applyBorder="1" applyAlignment="1">
      <alignment horizontal="center" vertical="center" wrapText="1"/>
    </xf>
    <xf numFmtId="6" fontId="9" fillId="15" borderId="3" xfId="0" applyNumberFormat="1" applyFont="1" applyFill="1" applyBorder="1" applyAlignment="1">
      <alignment vertical="center" wrapText="1"/>
    </xf>
    <xf numFmtId="167" fontId="9" fillId="15" borderId="3" xfId="57" applyNumberFormat="1" applyFont="1" applyFill="1" applyBorder="1" applyAlignment="1">
      <alignment vertical="center" wrapText="1"/>
    </xf>
    <xf numFmtId="168" fontId="9" fillId="15" borderId="3" xfId="0" applyNumberFormat="1" applyFont="1" applyFill="1" applyBorder="1" applyAlignment="1">
      <alignment vertical="center" wrapText="1"/>
    </xf>
    <xf numFmtId="0" fontId="9" fillId="15" borderId="3" xfId="0" applyFont="1" applyFill="1" applyBorder="1" applyAlignment="1">
      <alignment horizontal="center" vertical="center"/>
    </xf>
    <xf numFmtId="0" fontId="9" fillId="16" borderId="3" xfId="0" applyFont="1" applyFill="1" applyBorder="1" applyAlignment="1">
      <alignment vertical="center" wrapText="1"/>
    </xf>
    <xf numFmtId="0" fontId="9" fillId="15" borderId="3" xfId="0" applyFont="1" applyFill="1" applyBorder="1" applyAlignment="1">
      <alignment horizontal="center" vertical="center" wrapText="1"/>
    </xf>
    <xf numFmtId="0" fontId="22" fillId="15" borderId="13" xfId="0" applyFont="1" applyFill="1" applyBorder="1" applyAlignment="1">
      <alignment horizontal="center" vertical="center" wrapText="1"/>
    </xf>
    <xf numFmtId="3" fontId="9" fillId="16" borderId="19" xfId="0" applyNumberFormat="1" applyFont="1" applyFill="1" applyBorder="1" applyAlignment="1">
      <alignment horizontal="right" vertical="center" wrapText="1"/>
    </xf>
    <xf numFmtId="14" fontId="22" fillId="15" borderId="13" xfId="0" applyNumberFormat="1" applyFont="1" applyFill="1" applyBorder="1" applyAlignment="1">
      <alignment horizontal="center" vertical="center" wrapText="1"/>
    </xf>
    <xf numFmtId="6" fontId="22" fillId="15" borderId="13" xfId="0" applyNumberFormat="1" applyFont="1" applyFill="1" applyBorder="1" applyAlignment="1">
      <alignment horizontal="center" vertical="center" wrapText="1"/>
    </xf>
    <xf numFmtId="172" fontId="22" fillId="15" borderId="13" xfId="57" applyNumberFormat="1" applyFont="1" applyFill="1" applyBorder="1" applyAlignment="1">
      <alignment horizontal="center" vertical="center" wrapText="1"/>
    </xf>
    <xf numFmtId="169" fontId="22" fillId="15" borderId="13" xfId="0" applyNumberFormat="1" applyFont="1" applyFill="1" applyBorder="1" applyAlignment="1">
      <alignment horizontal="right" vertical="center" wrapText="1"/>
    </xf>
    <xf numFmtId="6" fontId="22" fillId="15" borderId="14" xfId="0" applyNumberFormat="1" applyFont="1" applyFill="1" applyBorder="1" applyAlignment="1">
      <alignment horizontal="right" vertical="center" wrapText="1"/>
    </xf>
    <xf numFmtId="6" fontId="22" fillId="15" borderId="3" xfId="0" applyNumberFormat="1" applyFont="1" applyFill="1" applyBorder="1" applyAlignment="1">
      <alignment horizontal="right" vertical="center"/>
    </xf>
    <xf numFmtId="6" fontId="22" fillId="15" borderId="13" xfId="0" applyNumberFormat="1" applyFont="1" applyFill="1" applyBorder="1" applyAlignment="1">
      <alignment horizontal="right" vertical="top" wrapText="1"/>
    </xf>
    <xf numFmtId="0" fontId="22" fillId="15" borderId="16" xfId="0" applyFont="1" applyFill="1" applyBorder="1" applyAlignment="1">
      <alignment horizontal="center" vertical="center" wrapText="1"/>
    </xf>
    <xf numFmtId="0" fontId="9" fillId="17" borderId="3" xfId="0" applyFont="1" applyFill="1" applyBorder="1" applyAlignment="1">
      <alignment horizontal="center" vertical="center"/>
    </xf>
    <xf numFmtId="0" fontId="37" fillId="13" borderId="13" xfId="0" applyFont="1" applyFill="1" applyBorder="1"/>
    <xf numFmtId="0" fontId="37" fillId="13" borderId="3" xfId="0" applyFont="1" applyFill="1" applyBorder="1"/>
    <xf numFmtId="0" fontId="37" fillId="13" borderId="3" xfId="0" applyFont="1" applyFill="1" applyBorder="1" applyAlignment="1">
      <alignment wrapText="1"/>
    </xf>
    <xf numFmtId="0" fontId="37" fillId="14" borderId="3" xfId="0" applyFont="1" applyFill="1" applyBorder="1" applyAlignment="1">
      <alignment wrapText="1"/>
    </xf>
    <xf numFmtId="0" fontId="37" fillId="13" borderId="3" xfId="0" applyFont="1" applyFill="1" applyBorder="1" applyAlignment="1">
      <alignment horizontal="center"/>
    </xf>
    <xf numFmtId="0" fontId="37" fillId="14" borderId="13" xfId="0" applyFont="1" applyFill="1" applyBorder="1"/>
    <xf numFmtId="0" fontId="37" fillId="14" borderId="3" xfId="0" applyFont="1" applyFill="1" applyBorder="1"/>
    <xf numFmtId="0" fontId="37" fillId="14" borderId="3" xfId="0" applyFont="1" applyFill="1" applyBorder="1" applyAlignment="1">
      <alignment horizontal="center"/>
    </xf>
    <xf numFmtId="0" fontId="37" fillId="14" borderId="13" xfId="0" applyFont="1" applyFill="1" applyBorder="1" applyAlignment="1">
      <alignment wrapText="1"/>
    </xf>
    <xf numFmtId="0" fontId="37" fillId="13" borderId="13" xfId="0" applyFont="1" applyFill="1" applyBorder="1" applyAlignment="1">
      <alignment wrapText="1"/>
    </xf>
    <xf numFmtId="0" fontId="37" fillId="14" borderId="3" xfId="0" applyFont="1" applyFill="1" applyBorder="1" applyAlignment="1">
      <alignment horizontal="left" vertical="top"/>
    </xf>
    <xf numFmtId="0" fontId="37" fillId="14" borderId="40" xfId="0" applyFont="1" applyFill="1" applyBorder="1"/>
    <xf numFmtId="0" fontId="37" fillId="13" borderId="41" xfId="0" applyFont="1" applyFill="1" applyBorder="1"/>
    <xf numFmtId="0" fontId="37" fillId="4" borderId="3" xfId="0" applyFont="1" applyFill="1" applyBorder="1" applyAlignment="1">
      <alignment horizontal="left" vertical="center"/>
    </xf>
    <xf numFmtId="0" fontId="37" fillId="4" borderId="3" xfId="0" applyFont="1" applyFill="1" applyBorder="1" applyAlignment="1">
      <alignment horizontal="center"/>
    </xf>
    <xf numFmtId="0" fontId="37" fillId="4" borderId="3" xfId="0" applyFont="1" applyFill="1" applyBorder="1" applyAlignment="1">
      <alignment horizontal="left"/>
    </xf>
    <xf numFmtId="0" fontId="37" fillId="10" borderId="3" xfId="0" applyFont="1" applyFill="1" applyBorder="1" applyAlignment="1">
      <alignment vertical="top"/>
    </xf>
    <xf numFmtId="0" fontId="37" fillId="4" borderId="3" xfId="0" applyFont="1" applyFill="1" applyBorder="1" applyAlignment="1">
      <alignment horizontal="left" vertical="center" wrapText="1"/>
    </xf>
    <xf numFmtId="0" fontId="37" fillId="4" borderId="3" xfId="0" applyFont="1" applyFill="1" applyBorder="1"/>
    <xf numFmtId="0" fontId="37" fillId="11" borderId="13" xfId="0" applyFont="1" applyFill="1" applyBorder="1" applyAlignment="1">
      <alignment vertical="top"/>
    </xf>
    <xf numFmtId="0" fontId="37" fillId="4" borderId="3" xfId="0" applyFont="1" applyFill="1" applyBorder="1" applyAlignment="1">
      <alignment vertical="center"/>
    </xf>
    <xf numFmtId="0" fontId="37" fillId="4" borderId="24" xfId="0" applyFont="1" applyFill="1" applyBorder="1" applyAlignment="1">
      <alignment horizontal="left" vertical="center"/>
    </xf>
    <xf numFmtId="0" fontId="37" fillId="4" borderId="24" xfId="0" applyFont="1" applyFill="1" applyBorder="1" applyAlignment="1">
      <alignment horizontal="center"/>
    </xf>
    <xf numFmtId="0" fontId="37" fillId="13" borderId="27" xfId="0" applyFont="1" applyFill="1" applyBorder="1" applyAlignment="1">
      <alignment vertical="top"/>
    </xf>
    <xf numFmtId="0" fontId="37" fillId="13" borderId="29" xfId="0" applyFont="1" applyFill="1" applyBorder="1" applyAlignment="1">
      <alignment horizontal="center"/>
    </xf>
    <xf numFmtId="0" fontId="37" fillId="14" borderId="13" xfId="0" applyFont="1" applyFill="1" applyBorder="1" applyAlignment="1">
      <alignment vertical="top"/>
    </xf>
    <xf numFmtId="0" fontId="37" fillId="14" borderId="31" xfId="0" applyFont="1" applyFill="1" applyBorder="1" applyAlignment="1">
      <alignment horizontal="center"/>
    </xf>
    <xf numFmtId="0" fontId="37" fillId="13" borderId="13" xfId="0" applyFont="1" applyFill="1" applyBorder="1" applyAlignment="1">
      <alignment vertical="top"/>
    </xf>
    <xf numFmtId="0" fontId="37" fillId="13" borderId="31" xfId="0" applyFont="1" applyFill="1" applyBorder="1" applyAlignment="1">
      <alignment horizontal="center"/>
    </xf>
    <xf numFmtId="0" fontId="37" fillId="13" borderId="19" xfId="0" applyFont="1" applyFill="1" applyBorder="1"/>
    <xf numFmtId="0" fontId="37" fillId="13" borderId="37" xfId="0" applyFont="1" applyFill="1" applyBorder="1" applyAlignment="1">
      <alignment horizontal="center"/>
    </xf>
    <xf numFmtId="0" fontId="37" fillId="14" borderId="38" xfId="0" applyFont="1" applyFill="1" applyBorder="1"/>
    <xf numFmtId="0" fontId="37" fillId="14" borderId="37" xfId="0" applyFont="1" applyFill="1" applyBorder="1" applyAlignment="1">
      <alignment horizontal="center"/>
    </xf>
    <xf numFmtId="0" fontId="37" fillId="14" borderId="27" xfId="0" applyFont="1" applyFill="1" applyBorder="1" applyAlignment="1">
      <alignment horizontal="left"/>
    </xf>
    <xf numFmtId="0" fontId="37" fillId="14" borderId="19" xfId="0" applyFont="1" applyFill="1" applyBorder="1"/>
    <xf numFmtId="0" fontId="37" fillId="14" borderId="19" xfId="0" applyFont="1" applyFill="1" applyBorder="1" applyAlignment="1">
      <alignment wrapText="1"/>
    </xf>
    <xf numFmtId="0" fontId="37" fillId="14" borderId="39" xfId="0" applyFont="1" applyFill="1" applyBorder="1" applyAlignment="1">
      <alignment horizontal="center"/>
    </xf>
    <xf numFmtId="0" fontId="37" fillId="13" borderId="39" xfId="0" applyFont="1" applyFill="1" applyBorder="1" applyAlignment="1">
      <alignment horizontal="center"/>
    </xf>
    <xf numFmtId="3" fontId="9" fillId="16" borderId="19" xfId="0" applyNumberFormat="1" applyFont="1" applyFill="1" applyBorder="1" applyAlignment="1">
      <alignment vertical="center" wrapText="1"/>
    </xf>
    <xf numFmtId="6" fontId="22" fillId="15" borderId="14" xfId="0" applyNumberFormat="1" applyFont="1" applyFill="1" applyBorder="1" applyAlignment="1">
      <alignment vertical="center" wrapText="1"/>
    </xf>
    <xf numFmtId="6" fontId="27" fillId="16" borderId="35" xfId="0" applyNumberFormat="1" applyFont="1" applyFill="1" applyBorder="1" applyAlignment="1">
      <alignment vertical="center" wrapText="1"/>
    </xf>
    <xf numFmtId="6" fontId="22" fillId="15" borderId="3" xfId="0" applyNumberFormat="1" applyFont="1" applyFill="1" applyBorder="1" applyAlignment="1">
      <alignment vertical="center"/>
    </xf>
    <xf numFmtId="6" fontId="22" fillId="15" borderId="13" xfId="0" applyNumberFormat="1" applyFont="1" applyFill="1" applyBorder="1" applyAlignment="1">
      <alignment vertical="center" wrapText="1"/>
    </xf>
    <xf numFmtId="0" fontId="9" fillId="15" borderId="0" xfId="0" applyFont="1" applyFill="1" applyAlignment="1">
      <alignment horizontal="center" vertical="center"/>
    </xf>
    <xf numFmtId="169" fontId="22" fillId="15" borderId="3" xfId="57" applyNumberFormat="1" applyFont="1" applyFill="1" applyBorder="1" applyAlignment="1">
      <alignment vertical="center" wrapText="1"/>
    </xf>
    <xf numFmtId="168" fontId="9" fillId="16" borderId="3" xfId="0" applyNumberFormat="1" applyFont="1" applyFill="1" applyBorder="1" applyAlignment="1">
      <alignment vertical="center"/>
    </xf>
    <xf numFmtId="0" fontId="32" fillId="5" borderId="14" xfId="0" applyFont="1" applyBorder="1" applyAlignment="1">
      <alignment horizontal="left"/>
    </xf>
    <xf numFmtId="0" fontId="32" fillId="5" borderId="0" xfId="0" applyFont="1" applyAlignment="1">
      <alignment horizontal="left"/>
    </xf>
    <xf numFmtId="0" fontId="33" fillId="3" borderId="3" xfId="0" applyFont="1" applyFill="1" applyBorder="1" applyAlignment="1">
      <alignment horizontal="left"/>
    </xf>
    <xf numFmtId="0" fontId="32" fillId="5" borderId="13" xfId="0" applyFont="1" applyBorder="1" applyAlignment="1">
      <alignment horizontal="left"/>
    </xf>
    <xf numFmtId="0" fontId="32" fillId="5" borderId="15" xfId="0" applyFont="1" applyBorder="1" applyAlignment="1">
      <alignment horizontal="left"/>
    </xf>
    <xf numFmtId="0" fontId="34" fillId="5" borderId="0" xfId="0" applyFont="1" applyAlignment="1">
      <alignment horizontal="left"/>
    </xf>
    <xf numFmtId="0" fontId="37" fillId="13" borderId="27" xfId="0" applyFont="1" applyFill="1" applyBorder="1" applyAlignment="1">
      <alignment horizontal="left"/>
    </xf>
    <xf numFmtId="0" fontId="37" fillId="14" borderId="13" xfId="0" applyFont="1" applyFill="1" applyBorder="1" applyAlignment="1">
      <alignment horizontal="left"/>
    </xf>
    <xf numFmtId="0" fontId="37" fillId="13" borderId="13" xfId="0" applyFont="1" applyFill="1" applyBorder="1" applyAlignment="1">
      <alignment horizontal="left"/>
    </xf>
    <xf numFmtId="0" fontId="37" fillId="14" borderId="13" xfId="0" applyFont="1" applyFill="1" applyBorder="1" applyAlignment="1">
      <alignment horizontal="left" vertical="top"/>
    </xf>
    <xf numFmtId="0" fontId="37" fillId="13" borderId="13" xfId="0" applyFont="1" applyFill="1" applyBorder="1" applyAlignment="1">
      <alignment horizontal="left" vertical="top"/>
    </xf>
    <xf numFmtId="0" fontId="37" fillId="13" borderId="3" xfId="0" applyFont="1" applyFill="1" applyBorder="1" applyAlignment="1">
      <alignment horizontal="left"/>
    </xf>
    <xf numFmtId="0" fontId="37" fillId="14" borderId="3" xfId="0" applyFont="1" applyFill="1" applyBorder="1" applyAlignment="1">
      <alignment horizontal="left"/>
    </xf>
    <xf numFmtId="0" fontId="37" fillId="13" borderId="3" xfId="0" applyFont="1" applyFill="1" applyBorder="1" applyAlignment="1">
      <alignment horizontal="left" wrapText="1"/>
    </xf>
    <xf numFmtId="0" fontId="37" fillId="14" borderId="3" xfId="0" applyFont="1" applyFill="1" applyBorder="1" applyAlignment="1">
      <alignment horizontal="left" wrapText="1"/>
    </xf>
    <xf numFmtId="0" fontId="35" fillId="14" borderId="3" xfId="0" applyFont="1" applyFill="1" applyBorder="1" applyAlignment="1">
      <alignment horizontal="left" wrapText="1"/>
    </xf>
    <xf numFmtId="0" fontId="35" fillId="13" borderId="3" xfId="0" applyFont="1" applyFill="1" applyBorder="1" applyAlignment="1">
      <alignment horizontal="left" wrapText="1"/>
    </xf>
    <xf numFmtId="0" fontId="35" fillId="14" borderId="3" xfId="0" applyFont="1" applyFill="1" applyBorder="1" applyAlignment="1">
      <alignment horizontal="left"/>
    </xf>
    <xf numFmtId="0" fontId="35" fillId="13" borderId="3" xfId="0" applyFont="1" applyFill="1" applyBorder="1" applyAlignment="1">
      <alignment horizontal="left"/>
    </xf>
    <xf numFmtId="171" fontId="32" fillId="5" borderId="0" xfId="0" applyNumberFormat="1" applyFont="1" applyAlignment="1">
      <alignment horizontal="left"/>
    </xf>
    <xf numFmtId="0" fontId="32" fillId="5" borderId="25" xfId="0" applyFont="1" applyBorder="1" applyAlignment="1">
      <alignment horizontal="left" vertical="top"/>
    </xf>
    <xf numFmtId="0" fontId="32" fillId="5" borderId="16" xfId="0" applyFont="1" applyBorder="1" applyAlignment="1">
      <alignment horizontal="left" vertical="top"/>
    </xf>
    <xf numFmtId="0" fontId="32" fillId="5" borderId="15" xfId="0" applyFont="1" applyBorder="1" applyAlignment="1">
      <alignment horizontal="left" vertical="top"/>
    </xf>
    <xf numFmtId="0" fontId="37" fillId="13" borderId="28" xfId="0" applyFont="1" applyFill="1" applyBorder="1" applyAlignment="1">
      <alignment horizontal="left" vertical="top"/>
    </xf>
    <xf numFmtId="0" fontId="37" fillId="14" borderId="30" xfId="0" applyFont="1" applyFill="1" applyBorder="1" applyAlignment="1">
      <alignment horizontal="left" vertical="top"/>
    </xf>
    <xf numFmtId="0" fontId="37" fillId="13" borderId="30" xfId="0" applyFont="1" applyFill="1" applyBorder="1" applyAlignment="1">
      <alignment horizontal="left" vertical="top"/>
    </xf>
    <xf numFmtId="0" fontId="37" fillId="14" borderId="30" xfId="0" applyFont="1" applyFill="1" applyBorder="1" applyAlignment="1">
      <alignment horizontal="left" vertical="top" wrapText="1"/>
    </xf>
    <xf numFmtId="0" fontId="37" fillId="13" borderId="27" xfId="0" applyFont="1" applyFill="1" applyBorder="1" applyAlignment="1">
      <alignment horizontal="left" vertical="top"/>
    </xf>
    <xf numFmtId="0" fontId="37" fillId="14" borderId="27" xfId="0" applyFont="1" applyFill="1" applyBorder="1" applyAlignment="1">
      <alignment horizontal="left" vertical="top"/>
    </xf>
    <xf numFmtId="0" fontId="36" fillId="4" borderId="0" xfId="0" applyFont="1" applyFill="1" applyAlignment="1">
      <alignment horizontal="left" vertical="center"/>
    </xf>
    <xf numFmtId="0" fontId="39" fillId="14" borderId="13" xfId="0" applyFont="1" applyFill="1" applyBorder="1"/>
    <xf numFmtId="0" fontId="39" fillId="13" borderId="3" xfId="0" applyFont="1" applyFill="1" applyBorder="1"/>
    <xf numFmtId="0" fontId="39" fillId="13" borderId="3" xfId="0" applyFont="1" applyFill="1" applyBorder="1" applyAlignment="1">
      <alignment horizontal="left"/>
    </xf>
    <xf numFmtId="0" fontId="39" fillId="13" borderId="3" xfId="0" applyFont="1" applyFill="1" applyBorder="1" applyAlignment="1">
      <alignment horizontal="left" wrapText="1"/>
    </xf>
    <xf numFmtId="0" fontId="39" fillId="14" borderId="13" xfId="0" applyFont="1" applyFill="1" applyBorder="1" applyAlignment="1">
      <alignment wrapText="1"/>
    </xf>
    <xf numFmtId="0" fontId="39" fillId="13" borderId="3" xfId="0" applyFont="1" applyFill="1" applyBorder="1" applyAlignment="1">
      <alignment horizontal="center"/>
    </xf>
    <xf numFmtId="0" fontId="39" fillId="14" borderId="3" xfId="0" applyFont="1" applyFill="1" applyBorder="1"/>
    <xf numFmtId="0" fontId="39" fillId="14" borderId="3" xfId="0" applyFont="1" applyFill="1" applyBorder="1" applyAlignment="1">
      <alignment horizontal="left"/>
    </xf>
    <xf numFmtId="0" fontId="39" fillId="14" borderId="3" xfId="0" applyFont="1" applyFill="1" applyBorder="1" applyAlignment="1">
      <alignment horizontal="left" wrapText="1"/>
    </xf>
    <xf numFmtId="0" fontId="39" fillId="14" borderId="3" xfId="0" applyFont="1" applyFill="1" applyBorder="1" applyAlignment="1">
      <alignment horizontal="center"/>
    </xf>
    <xf numFmtId="0" fontId="39" fillId="13" borderId="13" xfId="0" applyFont="1" applyFill="1" applyBorder="1"/>
    <xf numFmtId="0" fontId="39" fillId="14" borderId="13" xfId="0" applyFont="1" applyFill="1" applyBorder="1" applyAlignment="1">
      <alignment horizontal="left"/>
    </xf>
    <xf numFmtId="0" fontId="39" fillId="13" borderId="3" xfId="0" applyFont="1" applyFill="1" applyBorder="1" applyAlignment="1">
      <alignment vertical="top"/>
    </xf>
    <xf numFmtId="0" fontId="39" fillId="13" borderId="3" xfId="0" applyFont="1" applyFill="1" applyBorder="1" applyAlignment="1">
      <alignment horizontal="left" vertical="top"/>
    </xf>
    <xf numFmtId="0" fontId="39" fillId="14" borderId="3" xfId="0" applyFont="1" applyFill="1" applyBorder="1" applyAlignment="1">
      <alignment vertical="top"/>
    </xf>
    <xf numFmtId="0" fontId="39" fillId="14" borderId="3" xfId="0" applyFont="1" applyFill="1" applyBorder="1" applyAlignment="1">
      <alignment horizontal="left" vertical="top"/>
    </xf>
    <xf numFmtId="0" fontId="39" fillId="14" borderId="3" xfId="0" applyFont="1" applyFill="1" applyBorder="1" applyAlignment="1">
      <alignment wrapText="1"/>
    </xf>
    <xf numFmtId="0" fontId="39" fillId="13" borderId="13" xfId="0" applyFont="1" applyFill="1" applyBorder="1" applyAlignment="1">
      <alignment vertical="top"/>
    </xf>
    <xf numFmtId="0" fontId="39" fillId="14" borderId="27" xfId="0" applyFont="1" applyFill="1" applyBorder="1" applyAlignment="1">
      <alignment vertical="top"/>
    </xf>
    <xf numFmtId="0" fontId="39" fillId="14" borderId="27" xfId="0" applyFont="1" applyFill="1" applyBorder="1" applyAlignment="1">
      <alignment horizontal="left"/>
    </xf>
    <xf numFmtId="0" fontId="39" fillId="14" borderId="28" xfId="0" applyFont="1" applyFill="1" applyBorder="1" applyAlignment="1">
      <alignment horizontal="left" vertical="top"/>
    </xf>
    <xf numFmtId="0" fontId="39" fillId="14" borderId="42" xfId="0" applyFont="1" applyFill="1" applyBorder="1" applyAlignment="1">
      <alignment horizontal="left"/>
    </xf>
    <xf numFmtId="0" fontId="39" fillId="14" borderId="29" xfId="0" applyFont="1" applyFill="1" applyBorder="1" applyAlignment="1">
      <alignment horizontal="center"/>
    </xf>
    <xf numFmtId="14" fontId="39" fillId="13" borderId="13" xfId="0" applyNumberFormat="1" applyFont="1" applyFill="1" applyBorder="1" applyAlignment="1">
      <alignment horizontal="left"/>
    </xf>
    <xf numFmtId="0" fontId="39" fillId="13" borderId="13" xfId="0" applyFont="1" applyFill="1" applyBorder="1" applyAlignment="1">
      <alignment horizontal="left"/>
    </xf>
    <xf numFmtId="0" fontId="39" fillId="13" borderId="30" xfId="0" applyFont="1" applyFill="1" applyBorder="1" applyAlignment="1">
      <alignment horizontal="left" vertical="top"/>
    </xf>
    <xf numFmtId="0" fontId="39" fillId="13" borderId="31" xfId="0" applyFont="1" applyFill="1" applyBorder="1" applyAlignment="1">
      <alignment horizontal="center"/>
    </xf>
    <xf numFmtId="0" fontId="39" fillId="14" borderId="13" xfId="0" applyFont="1" applyFill="1" applyBorder="1" applyAlignment="1">
      <alignment vertical="top"/>
    </xf>
    <xf numFmtId="0" fontId="39" fillId="14" borderId="30" xfId="0" applyFont="1" applyFill="1" applyBorder="1" applyAlignment="1">
      <alignment horizontal="left" vertical="top"/>
    </xf>
    <xf numFmtId="0" fontId="39" fillId="14" borderId="31" xfId="0" applyFont="1" applyFill="1" applyBorder="1" applyAlignment="1">
      <alignment horizontal="center"/>
    </xf>
    <xf numFmtId="0" fontId="39" fillId="13" borderId="30" xfId="0" applyFont="1" applyFill="1" applyBorder="1" applyAlignment="1">
      <alignment horizontal="left" wrapText="1"/>
    </xf>
    <xf numFmtId="0" fontId="39" fillId="13" borderId="3" xfId="0" applyFont="1" applyFill="1" applyBorder="1" applyAlignment="1">
      <alignment wrapText="1"/>
    </xf>
    <xf numFmtId="0" fontId="39" fillId="14" borderId="30" xfId="0" applyFont="1" applyFill="1" applyBorder="1" applyAlignment="1">
      <alignment horizontal="left" wrapText="1"/>
    </xf>
    <xf numFmtId="0" fontId="22" fillId="15" borderId="43" xfId="0" applyFont="1" applyFill="1" applyBorder="1" applyAlignment="1">
      <alignment horizontal="left" vertical="center" wrapText="1"/>
    </xf>
    <xf numFmtId="0" fontId="22" fillId="15" borderId="14" xfId="0" applyFont="1" applyFill="1" applyBorder="1" applyAlignment="1">
      <alignment horizontal="center" vertical="center" wrapText="1"/>
    </xf>
    <xf numFmtId="14" fontId="22" fillId="15" borderId="14" xfId="0" applyNumberFormat="1" applyFont="1" applyFill="1" applyBorder="1" applyAlignment="1">
      <alignment horizontal="center" vertical="center"/>
    </xf>
    <xf numFmtId="3" fontId="9" fillId="16" borderId="44" xfId="0" applyNumberFormat="1" applyFont="1" applyFill="1" applyBorder="1" applyAlignment="1">
      <alignment vertical="center" wrapText="1"/>
    </xf>
    <xf numFmtId="14" fontId="22" fillId="15" borderId="14" xfId="0" applyNumberFormat="1" applyFont="1" applyFill="1" applyBorder="1" applyAlignment="1">
      <alignment horizontal="center" vertical="center" wrapText="1"/>
    </xf>
    <xf numFmtId="6" fontId="22" fillId="15" borderId="14" xfId="0" applyNumberFormat="1" applyFont="1" applyFill="1" applyBorder="1" applyAlignment="1">
      <alignment horizontal="center" vertical="center" wrapText="1"/>
    </xf>
    <xf numFmtId="172" fontId="22" fillId="15" borderId="14" xfId="57" applyNumberFormat="1" applyFont="1" applyFill="1" applyBorder="1" applyAlignment="1">
      <alignment vertical="center" wrapText="1"/>
    </xf>
    <xf numFmtId="169" fontId="22" fillId="15" borderId="14" xfId="0" applyNumberFormat="1" applyFont="1" applyFill="1" applyBorder="1" applyAlignment="1">
      <alignment horizontal="right" vertical="center" wrapText="1"/>
    </xf>
    <xf numFmtId="8" fontId="22" fillId="12" borderId="5" xfId="0" applyNumberFormat="1" applyFont="1" applyFill="1" applyBorder="1" applyAlignment="1">
      <alignment vertical="center" wrapText="1"/>
    </xf>
    <xf numFmtId="8" fontId="22" fillId="15" borderId="3" xfId="0" applyNumberFormat="1" applyFont="1" applyFill="1" applyBorder="1" applyAlignment="1">
      <alignment vertical="center" wrapText="1"/>
    </xf>
    <xf numFmtId="0" fontId="40" fillId="14" borderId="13" xfId="0" applyFont="1" applyFill="1" applyBorder="1"/>
    <xf numFmtId="0" fontId="40" fillId="13" borderId="3" xfId="0" applyFont="1" applyFill="1" applyBorder="1"/>
    <xf numFmtId="0" fontId="40" fillId="13" borderId="3" xfId="0" applyFont="1" applyFill="1" applyBorder="1" applyAlignment="1">
      <alignment horizontal="left"/>
    </xf>
    <xf numFmtId="0" fontId="40" fillId="13" borderId="3" xfId="0" applyFont="1" applyFill="1" applyBorder="1" applyAlignment="1">
      <alignment horizontal="left" wrapText="1"/>
    </xf>
    <xf numFmtId="0" fontId="40" fillId="14" borderId="13" xfId="0" applyFont="1" applyFill="1" applyBorder="1" applyAlignment="1">
      <alignment wrapText="1"/>
    </xf>
    <xf numFmtId="0" fontId="40" fillId="13" borderId="3" xfId="0" applyFont="1" applyFill="1" applyBorder="1" applyAlignment="1">
      <alignment horizontal="center"/>
    </xf>
    <xf numFmtId="0" fontId="40" fillId="14" borderId="3" xfId="0" applyFont="1" applyFill="1" applyBorder="1"/>
    <xf numFmtId="0" fontId="40" fillId="14" borderId="3" xfId="0" applyFont="1" applyFill="1" applyBorder="1" applyAlignment="1">
      <alignment horizontal="left"/>
    </xf>
    <xf numFmtId="0" fontId="40" fillId="14" borderId="3" xfId="0" applyFont="1" applyFill="1" applyBorder="1" applyAlignment="1">
      <alignment horizontal="left" wrapText="1"/>
    </xf>
    <xf numFmtId="0" fontId="40" fillId="14" borderId="3" xfId="0" applyFont="1" applyFill="1" applyBorder="1" applyAlignment="1">
      <alignment horizontal="center" wrapText="1"/>
    </xf>
    <xf numFmtId="0" fontId="40" fillId="14" borderId="3" xfId="0" applyFont="1" applyFill="1" applyBorder="1" applyAlignment="1">
      <alignment horizontal="center"/>
    </xf>
    <xf numFmtId="6" fontId="40" fillId="14" borderId="3" xfId="0" applyNumberFormat="1" applyFont="1" applyFill="1" applyBorder="1" applyAlignment="1">
      <alignment horizontal="left" wrapText="1"/>
    </xf>
    <xf numFmtId="0" fontId="40" fillId="13" borderId="13" xfId="0" applyFont="1" applyFill="1" applyBorder="1" applyAlignment="1">
      <alignment horizontal="left"/>
    </xf>
    <xf numFmtId="0" fontId="40" fillId="13" borderId="13" xfId="0" applyFont="1" applyFill="1" applyBorder="1" applyAlignment="1">
      <alignment wrapText="1"/>
    </xf>
    <xf numFmtId="0" fontId="40" fillId="14" borderId="13" xfId="0" applyFont="1" applyFill="1" applyBorder="1" applyAlignment="1">
      <alignment vertical="top"/>
    </xf>
    <xf numFmtId="0" fontId="40" fillId="14" borderId="3" xfId="0" applyFont="1" applyFill="1" applyBorder="1" applyAlignment="1">
      <alignment vertical="top"/>
    </xf>
    <xf numFmtId="0" fontId="40" fillId="14" borderId="3" xfId="0" applyFont="1" applyFill="1" applyBorder="1" applyAlignment="1">
      <alignment horizontal="left" vertical="top"/>
    </xf>
    <xf numFmtId="0" fontId="40" fillId="14" borderId="3" xfId="0" applyFont="1" applyFill="1" applyBorder="1" applyAlignment="1">
      <alignment wrapText="1"/>
    </xf>
    <xf numFmtId="172" fontId="22" fillId="15" borderId="13" xfId="57" applyNumberFormat="1" applyFont="1" applyFill="1" applyBorder="1" applyAlignment="1">
      <alignment vertical="center" wrapText="1"/>
    </xf>
    <xf numFmtId="0" fontId="9" fillId="15" borderId="3" xfId="0" applyFont="1" applyFill="1" applyBorder="1" applyAlignment="1">
      <alignment vertical="center"/>
    </xf>
    <xf numFmtId="1" fontId="13" fillId="7" borderId="3" xfId="0" applyNumberFormat="1" applyFont="1" applyFill="1" applyBorder="1" applyAlignment="1">
      <alignment horizontal="center"/>
    </xf>
    <xf numFmtId="0" fontId="32" fillId="5" borderId="13" xfId="0" applyFont="1" applyBorder="1" applyAlignment="1">
      <alignment horizontal="left" vertical="top"/>
    </xf>
    <xf numFmtId="0" fontId="32" fillId="5" borderId="14" xfId="0" applyFont="1" applyBorder="1" applyAlignment="1">
      <alignment horizontal="left" vertical="top"/>
    </xf>
    <xf numFmtId="0" fontId="14" fillId="12" borderId="3" xfId="0" applyFont="1" applyFill="1" applyBorder="1" applyAlignment="1">
      <alignment horizontal="center" vertical="center"/>
    </xf>
    <xf numFmtId="0" fontId="32" fillId="5" borderId="16" xfId="0" applyFont="1" applyBorder="1" applyAlignment="1">
      <alignment vertical="top"/>
    </xf>
    <xf numFmtId="0" fontId="9" fillId="4" borderId="0" xfId="0" applyFont="1" applyFill="1" applyAlignment="1">
      <alignment horizontal="left" vertical="top"/>
    </xf>
    <xf numFmtId="0" fontId="41" fillId="13" borderId="13" xfId="0" applyFont="1" applyFill="1" applyBorder="1" applyAlignment="1">
      <alignment horizontal="left"/>
    </xf>
    <xf numFmtId="0" fontId="41" fillId="13" borderId="3" xfId="0" applyFont="1" applyFill="1" applyBorder="1"/>
    <xf numFmtId="0" fontId="41" fillId="13" borderId="3" xfId="0" applyFont="1" applyFill="1" applyBorder="1" applyAlignment="1">
      <alignment horizontal="left"/>
    </xf>
    <xf numFmtId="0" fontId="41" fillId="13" borderId="3" xfId="0" applyFont="1" applyFill="1" applyBorder="1" applyAlignment="1">
      <alignment horizontal="left" wrapText="1"/>
    </xf>
    <xf numFmtId="0" fontId="41" fillId="13" borderId="13" xfId="0" applyFont="1" applyFill="1" applyBorder="1" applyAlignment="1">
      <alignment wrapText="1"/>
    </xf>
    <xf numFmtId="0" fontId="41" fillId="13" borderId="3" xfId="0" applyFont="1" applyFill="1" applyBorder="1" applyAlignment="1">
      <alignment horizontal="center"/>
    </xf>
    <xf numFmtId="0" fontId="41" fillId="14" borderId="13" xfId="0" applyFont="1" applyFill="1" applyBorder="1"/>
    <xf numFmtId="0" fontId="41" fillId="14" borderId="3" xfId="0" applyFont="1" applyFill="1" applyBorder="1"/>
    <xf numFmtId="0" fontId="41" fillId="14" borderId="3" xfId="0" applyFont="1" applyFill="1" applyBorder="1" applyAlignment="1">
      <alignment horizontal="left"/>
    </xf>
    <xf numFmtId="0" fontId="41" fillId="14" borderId="3" xfId="0" applyFont="1" applyFill="1" applyBorder="1" applyAlignment="1">
      <alignment horizontal="left" wrapText="1"/>
    </xf>
    <xf numFmtId="0" fontId="41" fillId="14" borderId="13" xfId="0" applyFont="1" applyFill="1" applyBorder="1" applyAlignment="1">
      <alignment wrapText="1"/>
    </xf>
    <xf numFmtId="0" fontId="41" fillId="14" borderId="3" xfId="0" applyFont="1" applyFill="1" applyBorder="1" applyAlignment="1">
      <alignment horizontal="center"/>
    </xf>
    <xf numFmtId="0" fontId="41" fillId="13" borderId="13" xfId="0" applyFont="1" applyFill="1" applyBorder="1"/>
    <xf numFmtId="6" fontId="41" fillId="13" borderId="3" xfId="0" applyNumberFormat="1" applyFont="1" applyFill="1" applyBorder="1" applyAlignment="1">
      <alignment horizontal="left" wrapText="1"/>
    </xf>
    <xf numFmtId="0" fontId="41" fillId="14" borderId="13" xfId="0" applyFont="1" applyFill="1" applyBorder="1" applyAlignment="1">
      <alignment vertical="top"/>
    </xf>
    <xf numFmtId="0" fontId="41" fillId="14" borderId="3" xfId="0" applyFont="1" applyFill="1" applyBorder="1" applyAlignment="1">
      <alignment vertical="top"/>
    </xf>
    <xf numFmtId="0" fontId="41" fillId="14" borderId="3" xfId="0" applyFont="1" applyFill="1" applyBorder="1" applyAlignment="1">
      <alignment horizontal="left" vertical="top"/>
    </xf>
    <xf numFmtId="0" fontId="41" fillId="13" borderId="3" xfId="0" applyFont="1" applyFill="1" applyBorder="1" applyAlignment="1">
      <alignment horizontal="left" vertical="top"/>
    </xf>
    <xf numFmtId="0" fontId="41" fillId="14" borderId="3" xfId="0" applyFont="1" applyFill="1" applyBorder="1" applyAlignment="1">
      <alignment wrapText="1"/>
    </xf>
    <xf numFmtId="0" fontId="41" fillId="13" borderId="13" xfId="0" applyFont="1" applyFill="1" applyBorder="1" applyAlignment="1">
      <alignment vertical="top"/>
    </xf>
    <xf numFmtId="0" fontId="41" fillId="13" borderId="3" xfId="0" applyFont="1" applyFill="1" applyBorder="1" applyAlignment="1">
      <alignment vertical="top"/>
    </xf>
    <xf numFmtId="0" fontId="41" fillId="13" borderId="27" xfId="0" applyFont="1" applyFill="1" applyBorder="1" applyAlignment="1">
      <alignment vertical="top"/>
    </xf>
    <xf numFmtId="0" fontId="41" fillId="13" borderId="40" xfId="0" applyFont="1" applyFill="1" applyBorder="1" applyAlignment="1">
      <alignment vertical="top"/>
    </xf>
    <xf numFmtId="0" fontId="41" fillId="13" borderId="27" xfId="0" applyFont="1" applyFill="1" applyBorder="1" applyAlignment="1">
      <alignment horizontal="left"/>
    </xf>
    <xf numFmtId="0" fontId="41" fillId="13" borderId="27" xfId="0" applyFont="1" applyFill="1" applyBorder="1" applyAlignment="1">
      <alignment horizontal="left" vertical="top"/>
    </xf>
    <xf numFmtId="0" fontId="41" fillId="14" borderId="30" xfId="0" applyFont="1" applyFill="1" applyBorder="1" applyAlignment="1">
      <alignment vertical="top"/>
    </xf>
    <xf numFmtId="0" fontId="41" fillId="14" borderId="45" xfId="0" applyFont="1" applyFill="1" applyBorder="1" applyAlignment="1">
      <alignment vertical="top"/>
    </xf>
    <xf numFmtId="0" fontId="41" fillId="14" borderId="13" xfId="0" applyFont="1" applyFill="1" applyBorder="1" applyAlignment="1">
      <alignment horizontal="left" vertical="top"/>
    </xf>
    <xf numFmtId="0" fontId="41" fillId="13" borderId="13" xfId="0" applyFont="1" applyFill="1" applyBorder="1" applyAlignment="1">
      <alignment horizontal="left" vertical="top"/>
    </xf>
    <xf numFmtId="0" fontId="41" fillId="14" borderId="13" xfId="0" applyFont="1" applyFill="1" applyBorder="1" applyAlignment="1">
      <alignment horizontal="left"/>
    </xf>
    <xf numFmtId="0" fontId="41" fillId="14" borderId="13" xfId="0" applyFont="1" applyFill="1" applyBorder="1" applyAlignment="1">
      <alignment horizontal="left" vertical="top" wrapText="1"/>
    </xf>
    <xf numFmtId="0" fontId="41" fillId="14" borderId="27" xfId="0" applyFont="1" applyFill="1" applyBorder="1" applyAlignment="1">
      <alignment vertical="top"/>
    </xf>
    <xf numFmtId="0" fontId="41" fillId="14" borderId="27" xfId="0" applyFont="1" applyFill="1" applyBorder="1" applyAlignment="1">
      <alignment horizontal="left"/>
    </xf>
    <xf numFmtId="0" fontId="41" fillId="14" borderId="28" xfId="0" applyFont="1" applyFill="1" applyBorder="1" applyAlignment="1">
      <alignment horizontal="left" vertical="top"/>
    </xf>
    <xf numFmtId="0" fontId="32" fillId="5" borderId="3" xfId="0" applyFont="1" applyBorder="1" applyAlignment="1">
      <alignment horizontal="left"/>
    </xf>
    <xf numFmtId="0" fontId="32" fillId="5" borderId="33" xfId="0" applyFont="1" applyBorder="1" applyAlignment="1">
      <alignment horizontal="left"/>
    </xf>
    <xf numFmtId="0" fontId="32" fillId="5" borderId="3" xfId="0" applyFont="1" applyBorder="1" applyAlignment="1">
      <alignment horizontal="left" vertical="top"/>
    </xf>
    <xf numFmtId="0" fontId="32" fillId="5" borderId="14" xfId="0" applyFont="1" applyBorder="1"/>
    <xf numFmtId="0" fontId="32" fillId="5" borderId="14" xfId="0" applyFont="1" applyBorder="1" applyAlignment="1">
      <alignment horizontal="center"/>
    </xf>
    <xf numFmtId="14" fontId="42" fillId="13" borderId="13" xfId="0" applyNumberFormat="1" applyFont="1" applyFill="1" applyBorder="1" applyAlignment="1">
      <alignment horizontal="left"/>
    </xf>
    <xf numFmtId="0" fontId="42" fillId="13" borderId="13" xfId="0" applyFont="1" applyFill="1" applyBorder="1" applyAlignment="1">
      <alignment vertical="top"/>
    </xf>
    <xf numFmtId="0" fontId="42" fillId="13" borderId="13" xfId="0" applyFont="1" applyFill="1" applyBorder="1" applyAlignment="1">
      <alignment horizontal="left"/>
    </xf>
    <xf numFmtId="0" fontId="42" fillId="13" borderId="30" xfId="0" applyFont="1" applyFill="1" applyBorder="1" applyAlignment="1">
      <alignment horizontal="left" vertical="top"/>
    </xf>
    <xf numFmtId="0" fontId="42" fillId="13" borderId="3" xfId="0" applyFont="1" applyFill="1" applyBorder="1"/>
    <xf numFmtId="0" fontId="42" fillId="13" borderId="31" xfId="0" applyFont="1" applyFill="1" applyBorder="1" applyAlignment="1">
      <alignment horizontal="center"/>
    </xf>
    <xf numFmtId="0" fontId="42" fillId="14" borderId="13" xfId="0" applyFont="1" applyFill="1" applyBorder="1" applyAlignment="1">
      <alignment vertical="top"/>
    </xf>
    <xf numFmtId="0" fontId="42" fillId="14" borderId="13" xfId="0" applyFont="1" applyFill="1" applyBorder="1" applyAlignment="1">
      <alignment horizontal="left"/>
    </xf>
    <xf numFmtId="0" fontId="42" fillId="14" borderId="30" xfId="0" applyFont="1" applyFill="1" applyBorder="1" applyAlignment="1">
      <alignment horizontal="left" vertical="top"/>
    </xf>
    <xf numFmtId="0" fontId="42" fillId="14" borderId="3" xfId="0" applyFont="1" applyFill="1" applyBorder="1"/>
    <xf numFmtId="0" fontId="42" fillId="14" borderId="31" xfId="0" applyFont="1" applyFill="1" applyBorder="1" applyAlignment="1">
      <alignment horizontal="center"/>
    </xf>
    <xf numFmtId="0" fontId="42" fillId="13" borderId="13" xfId="0" applyFont="1" applyFill="1" applyBorder="1"/>
    <xf numFmtId="0" fontId="42" fillId="13" borderId="30" xfId="0" applyFont="1" applyFill="1" applyBorder="1" applyAlignment="1">
      <alignment horizontal="left" wrapText="1"/>
    </xf>
    <xf numFmtId="0" fontId="42" fillId="14" borderId="13" xfId="0" applyFont="1" applyFill="1" applyBorder="1"/>
    <xf numFmtId="0" fontId="42" fillId="14" borderId="30" xfId="0" applyFont="1" applyFill="1" applyBorder="1" applyAlignment="1">
      <alignment horizontal="left" wrapText="1"/>
    </xf>
    <xf numFmtId="0" fontId="42" fillId="14" borderId="27" xfId="0" applyFont="1" applyFill="1" applyBorder="1" applyAlignment="1">
      <alignment vertical="top"/>
    </xf>
    <xf numFmtId="0" fontId="42" fillId="14" borderId="40" xfId="0" applyFont="1" applyFill="1" applyBorder="1" applyAlignment="1">
      <alignment horizontal="left"/>
    </xf>
    <xf numFmtId="0" fontId="42" fillId="14" borderId="27" xfId="0" applyFont="1" applyFill="1" applyBorder="1" applyAlignment="1">
      <alignment horizontal="left"/>
    </xf>
    <xf numFmtId="0" fontId="42" fillId="14" borderId="27" xfId="0" applyFont="1" applyFill="1" applyBorder="1" applyAlignment="1">
      <alignment horizontal="left" vertical="top"/>
    </xf>
    <xf numFmtId="0" fontId="42" fillId="14" borderId="27" xfId="0" applyFont="1" applyFill="1" applyBorder="1"/>
    <xf numFmtId="0" fontId="42" fillId="13" borderId="3" xfId="0" applyFont="1" applyFill="1" applyBorder="1" applyAlignment="1">
      <alignment horizontal="left" vertical="top"/>
    </xf>
    <xf numFmtId="0" fontId="42" fillId="14" borderId="3" xfId="0" applyFont="1" applyFill="1" applyBorder="1" applyAlignment="1">
      <alignment horizontal="left" vertical="top"/>
    </xf>
    <xf numFmtId="0" fontId="42" fillId="13" borderId="45" xfId="0" applyFont="1" applyFill="1" applyBorder="1" applyAlignment="1">
      <alignment horizontal="left"/>
    </xf>
    <xf numFmtId="0" fontId="42" fillId="13" borderId="13" xfId="0" applyFont="1" applyFill="1" applyBorder="1" applyAlignment="1">
      <alignment horizontal="left" vertical="top"/>
    </xf>
    <xf numFmtId="0" fontId="42" fillId="14" borderId="3" xfId="0" applyFont="1" applyFill="1" applyBorder="1" applyAlignment="1">
      <alignment horizontal="left"/>
    </xf>
    <xf numFmtId="0" fontId="42" fillId="14" borderId="13" xfId="0" applyFont="1" applyFill="1" applyBorder="1" applyAlignment="1">
      <alignment horizontal="left" vertical="top"/>
    </xf>
    <xf numFmtId="0" fontId="42" fillId="13" borderId="30" xfId="0" applyFont="1" applyFill="1" applyBorder="1" applyAlignment="1">
      <alignment vertical="top"/>
    </xf>
    <xf numFmtId="0" fontId="42" fillId="13" borderId="37" xfId="0" applyFont="1" applyFill="1" applyBorder="1" applyAlignment="1">
      <alignment horizontal="center"/>
    </xf>
    <xf numFmtId="0" fontId="42" fillId="14" borderId="37" xfId="0" applyFont="1" applyFill="1" applyBorder="1" applyAlignment="1">
      <alignment horizontal="center"/>
    </xf>
    <xf numFmtId="14" fontId="32" fillId="13" borderId="13" xfId="0" applyNumberFormat="1" applyFont="1" applyFill="1" applyBorder="1" applyAlignment="1">
      <alignment vertical="top"/>
    </xf>
    <xf numFmtId="0" fontId="32" fillId="5" borderId="16" xfId="0" applyFont="1" applyBorder="1" applyAlignment="1">
      <alignment horizontal="center"/>
    </xf>
    <xf numFmtId="0" fontId="41" fillId="13" borderId="28" xfId="0" applyFont="1" applyFill="1" applyBorder="1" applyAlignment="1">
      <alignment horizontal="left" vertical="top"/>
    </xf>
    <xf numFmtId="0" fontId="41" fillId="13" borderId="29" xfId="0" applyFont="1" applyFill="1" applyBorder="1" applyAlignment="1">
      <alignment horizontal="center"/>
    </xf>
    <xf numFmtId="0" fontId="41" fillId="14" borderId="31" xfId="0" applyFont="1" applyFill="1" applyBorder="1" applyAlignment="1">
      <alignment horizontal="center"/>
    </xf>
    <xf numFmtId="0" fontId="41" fillId="13" borderId="30" xfId="0" applyFont="1" applyFill="1" applyBorder="1" applyAlignment="1">
      <alignment horizontal="left" vertical="top"/>
    </xf>
    <xf numFmtId="0" fontId="41" fillId="13" borderId="31" xfId="0" applyFont="1" applyFill="1" applyBorder="1" applyAlignment="1">
      <alignment horizontal="center"/>
    </xf>
    <xf numFmtId="0" fontId="41" fillId="14" borderId="30" xfId="0" applyFont="1" applyFill="1" applyBorder="1" applyAlignment="1">
      <alignment horizontal="left" vertical="top"/>
    </xf>
    <xf numFmtId="0" fontId="41" fillId="13" borderId="39" xfId="0" applyFont="1" applyFill="1" applyBorder="1" applyAlignment="1">
      <alignment horizontal="center"/>
    </xf>
    <xf numFmtId="0" fontId="41" fillId="14" borderId="39" xfId="0" applyFont="1" applyFill="1" applyBorder="1" applyAlignment="1">
      <alignment horizontal="center"/>
    </xf>
    <xf numFmtId="14" fontId="41" fillId="13" borderId="13" xfId="0" applyNumberFormat="1" applyFont="1" applyFill="1" applyBorder="1" applyAlignment="1">
      <alignment vertical="top"/>
    </xf>
    <xf numFmtId="0" fontId="41" fillId="13" borderId="3" xfId="0" applyFont="1" applyFill="1" applyBorder="1" applyAlignment="1">
      <alignment wrapText="1"/>
    </xf>
    <xf numFmtId="14" fontId="32" fillId="14" borderId="13" xfId="0" applyNumberFormat="1" applyFont="1" applyFill="1" applyBorder="1" applyAlignment="1">
      <alignment horizontal="left"/>
    </xf>
    <xf numFmtId="14" fontId="32" fillId="13" borderId="13" xfId="0" applyNumberFormat="1" applyFont="1" applyFill="1" applyBorder="1" applyAlignment="1">
      <alignment horizontal="left" vertical="top"/>
    </xf>
    <xf numFmtId="14" fontId="32" fillId="13" borderId="13" xfId="0" applyNumberFormat="1" applyFont="1" applyFill="1" applyBorder="1" applyAlignment="1">
      <alignment horizontal="left"/>
    </xf>
    <xf numFmtId="172" fontId="22" fillId="15" borderId="13" xfId="57" applyNumberFormat="1" applyFont="1" applyFill="1" applyBorder="1" applyAlignment="1">
      <alignment horizontal="left" vertical="center" wrapText="1"/>
    </xf>
    <xf numFmtId="14" fontId="32" fillId="14" borderId="14" xfId="0" applyNumberFormat="1" applyFont="1" applyFill="1" applyBorder="1" applyAlignment="1">
      <alignment horizontal="left"/>
    </xf>
    <xf numFmtId="0" fontId="32" fillId="9" borderId="0" xfId="0" applyFont="1" applyFill="1" applyAlignment="1">
      <alignment horizontal="left"/>
    </xf>
    <xf numFmtId="14" fontId="32" fillId="14" borderId="13" xfId="0" applyNumberFormat="1" applyFont="1" applyFill="1" applyBorder="1" applyAlignment="1">
      <alignment horizontal="left" vertical="top"/>
    </xf>
    <xf numFmtId="0" fontId="37" fillId="5" borderId="0" xfId="0" applyFont="1" applyAlignment="1">
      <alignment horizontal="left"/>
    </xf>
    <xf numFmtId="14" fontId="37" fillId="13" borderId="3" xfId="0" applyNumberFormat="1" applyFont="1" applyFill="1" applyBorder="1" applyAlignment="1">
      <alignment horizontal="left"/>
    </xf>
    <xf numFmtId="14" fontId="37" fillId="14" borderId="3" xfId="0" applyNumberFormat="1" applyFont="1" applyFill="1" applyBorder="1" applyAlignment="1">
      <alignment horizontal="left"/>
    </xf>
    <xf numFmtId="14" fontId="35" fillId="14" borderId="3" xfId="0" applyNumberFormat="1" applyFont="1" applyFill="1" applyBorder="1" applyAlignment="1">
      <alignment horizontal="left"/>
    </xf>
    <xf numFmtId="14" fontId="35" fillId="13" borderId="3" xfId="0" applyNumberFormat="1" applyFont="1" applyFill="1" applyBorder="1" applyAlignment="1">
      <alignment horizontal="left"/>
    </xf>
    <xf numFmtId="14" fontId="39" fillId="13" borderId="3" xfId="0" applyNumberFormat="1" applyFont="1" applyFill="1" applyBorder="1" applyAlignment="1">
      <alignment horizontal="left"/>
    </xf>
    <xf numFmtId="14" fontId="39" fillId="14" borderId="3" xfId="0" applyNumberFormat="1" applyFont="1" applyFill="1" applyBorder="1" applyAlignment="1">
      <alignment horizontal="left"/>
    </xf>
    <xf numFmtId="14" fontId="39" fillId="14" borderId="27" xfId="0" applyNumberFormat="1" applyFont="1" applyFill="1" applyBorder="1" applyAlignment="1">
      <alignment horizontal="left"/>
    </xf>
    <xf numFmtId="14" fontId="39" fillId="14" borderId="13" xfId="0" applyNumberFormat="1" applyFont="1" applyFill="1" applyBorder="1" applyAlignment="1">
      <alignment horizontal="left"/>
    </xf>
    <xf numFmtId="14" fontId="40" fillId="13" borderId="3" xfId="0" applyNumberFormat="1" applyFont="1" applyFill="1" applyBorder="1" applyAlignment="1">
      <alignment horizontal="left"/>
    </xf>
    <xf numFmtId="14" fontId="40" fillId="14" borderId="3" xfId="0" applyNumberFormat="1" applyFont="1" applyFill="1" applyBorder="1" applyAlignment="1">
      <alignment horizontal="left"/>
    </xf>
    <xf numFmtId="14" fontId="41" fillId="14" borderId="3" xfId="0" applyNumberFormat="1" applyFont="1" applyFill="1" applyBorder="1" applyAlignment="1">
      <alignment horizontal="left"/>
    </xf>
    <xf numFmtId="14" fontId="41" fillId="13" borderId="3" xfId="0" applyNumberFormat="1" applyFont="1" applyFill="1" applyBorder="1" applyAlignment="1">
      <alignment horizontal="left"/>
    </xf>
    <xf numFmtId="14" fontId="41" fillId="13" borderId="27" xfId="0" applyNumberFormat="1" applyFont="1" applyFill="1" applyBorder="1" applyAlignment="1">
      <alignment horizontal="left"/>
    </xf>
    <xf numFmtId="14" fontId="41" fillId="13" borderId="13" xfId="0" applyNumberFormat="1" applyFont="1" applyFill="1" applyBorder="1" applyAlignment="1">
      <alignment horizontal="left"/>
    </xf>
    <xf numFmtId="14" fontId="41" fillId="13" borderId="13" xfId="0" applyNumberFormat="1" applyFont="1" applyFill="1" applyBorder="1" applyAlignment="1">
      <alignment horizontal="left" vertical="top"/>
    </xf>
    <xf numFmtId="14" fontId="41" fillId="14" borderId="27" xfId="0" applyNumberFormat="1" applyFont="1" applyFill="1" applyBorder="1" applyAlignment="1">
      <alignment horizontal="left"/>
    </xf>
    <xf numFmtId="14" fontId="42" fillId="14" borderId="13" xfId="0" applyNumberFormat="1" applyFont="1" applyFill="1" applyBorder="1" applyAlignment="1">
      <alignment horizontal="left"/>
    </xf>
    <xf numFmtId="14" fontId="42" fillId="14" borderId="27" xfId="0" applyNumberFormat="1" applyFont="1" applyFill="1" applyBorder="1" applyAlignment="1">
      <alignment horizontal="left"/>
    </xf>
    <xf numFmtId="14" fontId="41" fillId="14" borderId="13" xfId="0" applyNumberFormat="1" applyFont="1" applyFill="1" applyBorder="1" applyAlignment="1">
      <alignment horizontal="left"/>
    </xf>
    <xf numFmtId="14" fontId="41" fillId="14" borderId="13" xfId="0" applyNumberFormat="1" applyFont="1" applyFill="1" applyBorder="1" applyAlignment="1">
      <alignment horizontal="left" vertical="top"/>
    </xf>
    <xf numFmtId="0" fontId="32" fillId="5" borderId="13" xfId="0" applyFont="1" applyBorder="1" applyAlignment="1">
      <alignment horizontal="center"/>
    </xf>
    <xf numFmtId="0" fontId="41" fillId="13" borderId="37" xfId="0" applyFont="1" applyFill="1" applyBorder="1" applyAlignment="1">
      <alignment horizontal="center" vertical="top"/>
    </xf>
    <xf numFmtId="0" fontId="41" fillId="14" borderId="37" xfId="0" applyFont="1" applyFill="1" applyBorder="1" applyAlignment="1">
      <alignment horizontal="center" vertical="top"/>
    </xf>
    <xf numFmtId="0" fontId="41" fillId="13" borderId="39" xfId="0" applyFont="1" applyFill="1" applyBorder="1" applyAlignment="1">
      <alignment horizontal="center" vertical="top"/>
    </xf>
    <xf numFmtId="0" fontId="41" fillId="14" borderId="39" xfId="0" applyFont="1" applyFill="1" applyBorder="1" applyAlignment="1">
      <alignment horizontal="center" vertical="top"/>
    </xf>
    <xf numFmtId="14" fontId="32" fillId="13" borderId="14" xfId="0" applyNumberFormat="1" applyFont="1" applyFill="1" applyBorder="1" applyAlignment="1">
      <alignment horizontal="left"/>
    </xf>
    <xf numFmtId="0" fontId="32" fillId="5" borderId="3" xfId="0" applyFont="1" applyBorder="1" applyAlignment="1">
      <alignment vertical="top"/>
    </xf>
    <xf numFmtId="0" fontId="32" fillId="5" borderId="13" xfId="0" applyFont="1" applyBorder="1"/>
    <xf numFmtId="0" fontId="9" fillId="5" borderId="0" xfId="0" applyFont="1" applyProtection="1">
      <protection locked="0"/>
    </xf>
    <xf numFmtId="0" fontId="9" fillId="5" borderId="0" xfId="0" applyFont="1" applyAlignment="1" applyProtection="1">
      <alignment horizontal="center"/>
      <protection locked="0"/>
    </xf>
    <xf numFmtId="170" fontId="9" fillId="5" borderId="0" xfId="56" applyNumberFormat="1" applyFont="1" applyFill="1" applyAlignment="1" applyProtection="1">
      <alignment horizontal="center" vertical="center" wrapText="1"/>
      <protection locked="0"/>
    </xf>
    <xf numFmtId="0" fontId="10" fillId="5" borderId="0" xfId="0" applyFont="1" applyAlignment="1" applyProtection="1">
      <alignment horizontal="center"/>
      <protection locked="0"/>
    </xf>
    <xf numFmtId="0" fontId="5" fillId="5" borderId="0" xfId="0" applyFont="1" applyProtection="1">
      <protection locked="0"/>
    </xf>
    <xf numFmtId="0" fontId="9" fillId="3" borderId="3" xfId="0" applyFont="1" applyFill="1" applyBorder="1" applyAlignment="1" applyProtection="1">
      <alignment horizontal="center" vertical="top"/>
      <protection locked="0"/>
    </xf>
    <xf numFmtId="0" fontId="9" fillId="2" borderId="3" xfId="0" applyFont="1" applyFill="1" applyBorder="1" applyAlignment="1" applyProtection="1">
      <alignment horizontal="center" vertical="top" wrapText="1"/>
      <protection locked="0"/>
    </xf>
    <xf numFmtId="170" fontId="9" fillId="2" borderId="3" xfId="56" applyNumberFormat="1" applyFont="1" applyFill="1" applyBorder="1" applyAlignment="1" applyProtection="1">
      <alignment horizontal="center" vertical="center" wrapText="1"/>
      <protection locked="0"/>
    </xf>
    <xf numFmtId="0" fontId="9" fillId="2" borderId="3" xfId="0" applyFont="1" applyFill="1" applyBorder="1" applyAlignment="1" applyProtection="1">
      <alignment horizontal="center" vertical="center" wrapText="1"/>
      <protection locked="0"/>
    </xf>
    <xf numFmtId="0" fontId="14" fillId="4" borderId="3" xfId="0" applyFont="1" applyFill="1" applyBorder="1" applyAlignment="1" applyProtection="1">
      <alignment horizontal="center" vertical="center"/>
      <protection locked="0"/>
    </xf>
    <xf numFmtId="0" fontId="9" fillId="5" borderId="3" xfId="0" applyFont="1" applyBorder="1" applyAlignment="1" applyProtection="1">
      <alignment horizontal="left" vertical="center" wrapText="1"/>
      <protection locked="0"/>
    </xf>
    <xf numFmtId="0" fontId="9" fillId="5" borderId="3" xfId="0" applyFont="1" applyBorder="1" applyAlignment="1" applyProtection="1">
      <alignment horizontal="center" vertical="center" wrapText="1"/>
      <protection locked="0"/>
    </xf>
    <xf numFmtId="0" fontId="22" fillId="0" borderId="3" xfId="0" applyFont="1" applyFill="1" applyBorder="1" applyAlignment="1" applyProtection="1">
      <alignment horizontal="center" vertical="center" wrapText="1"/>
      <protection locked="0"/>
    </xf>
    <xf numFmtId="170" fontId="9" fillId="5" borderId="3" xfId="56" applyNumberFormat="1" applyFont="1" applyFill="1" applyBorder="1" applyAlignment="1" applyProtection="1">
      <alignment horizontal="center" vertical="center" wrapText="1"/>
      <protection locked="0"/>
    </xf>
    <xf numFmtId="14" fontId="9" fillId="5" borderId="3" xfId="0" applyNumberFormat="1" applyFont="1" applyBorder="1" applyAlignment="1" applyProtection="1">
      <alignment horizontal="center" vertical="center"/>
      <protection locked="0"/>
    </xf>
    <xf numFmtId="0" fontId="14" fillId="5" borderId="3" xfId="0" applyFont="1" applyBorder="1" applyAlignment="1" applyProtection="1">
      <alignment horizontal="center" vertical="center" wrapText="1"/>
      <protection locked="0"/>
    </xf>
    <xf numFmtId="0" fontId="23" fillId="6" borderId="3" xfId="0" applyFont="1" applyFill="1" applyBorder="1" applyAlignment="1" applyProtection="1">
      <alignment vertical="center" wrapText="1"/>
      <protection locked="0"/>
    </xf>
    <xf numFmtId="6" fontId="9" fillId="6" borderId="3" xfId="0" applyNumberFormat="1" applyFont="1" applyFill="1" applyBorder="1" applyAlignment="1" applyProtection="1">
      <alignment vertical="center" wrapText="1"/>
      <protection locked="0"/>
    </xf>
    <xf numFmtId="167" fontId="9" fillId="6" borderId="3" xfId="57" applyNumberFormat="1" applyFont="1" applyFill="1" applyBorder="1" applyAlignment="1" applyProtection="1">
      <alignment vertical="center" wrapText="1"/>
      <protection locked="0"/>
    </xf>
    <xf numFmtId="0" fontId="9" fillId="6" borderId="3" xfId="0" applyFont="1" applyFill="1" applyBorder="1" applyAlignment="1" applyProtection="1">
      <alignment horizontal="center" vertical="center"/>
      <protection locked="0"/>
    </xf>
    <xf numFmtId="0" fontId="9" fillId="5" borderId="3" xfId="0" applyFont="1" applyBorder="1" applyAlignment="1" applyProtection="1">
      <alignment vertical="center" wrapText="1"/>
      <protection locked="0"/>
    </xf>
    <xf numFmtId="0" fontId="22" fillId="0" borderId="3" xfId="0" applyFont="1" applyFill="1" applyBorder="1" applyAlignment="1" applyProtection="1">
      <alignment horizontal="center" wrapText="1"/>
      <protection locked="0"/>
    </xf>
    <xf numFmtId="0" fontId="22" fillId="4" borderId="3" xfId="0" applyFont="1" applyFill="1" applyBorder="1" applyAlignment="1" applyProtection="1">
      <alignment horizontal="center" wrapText="1"/>
      <protection locked="0"/>
    </xf>
    <xf numFmtId="0" fontId="9" fillId="6" borderId="3" xfId="0" applyFont="1" applyFill="1" applyBorder="1" applyAlignment="1" applyProtection="1">
      <alignment horizontal="center" vertical="center" wrapText="1"/>
      <protection locked="0"/>
    </xf>
    <xf numFmtId="0" fontId="9" fillId="5" borderId="0" xfId="0" applyFont="1" applyAlignment="1" applyProtection="1">
      <alignment vertical="center"/>
      <protection locked="0"/>
    </xf>
    <xf numFmtId="0" fontId="22" fillId="6" borderId="3" xfId="0" applyFont="1" applyFill="1" applyBorder="1" applyAlignment="1" applyProtection="1">
      <alignment horizontal="left" vertical="center" wrapText="1"/>
      <protection locked="0"/>
    </xf>
    <xf numFmtId="0" fontId="22" fillId="6" borderId="3" xfId="0" applyFont="1" applyFill="1" applyBorder="1" applyAlignment="1" applyProtection="1">
      <alignment horizontal="center" vertical="center" wrapText="1"/>
      <protection locked="0"/>
    </xf>
    <xf numFmtId="0" fontId="9" fillId="5" borderId="3" xfId="0" applyFont="1" applyBorder="1" applyAlignment="1" applyProtection="1">
      <alignment horizontal="center" vertical="center"/>
      <protection locked="0"/>
    </xf>
    <xf numFmtId="170" fontId="22" fillId="6" borderId="3" xfId="56" applyNumberFormat="1" applyFont="1" applyFill="1" applyBorder="1" applyAlignment="1" applyProtection="1">
      <alignment horizontal="center" vertical="center" wrapText="1"/>
      <protection locked="0"/>
    </xf>
    <xf numFmtId="14" fontId="22" fillId="6" borderId="3" xfId="0" applyNumberFormat="1" applyFont="1" applyFill="1" applyBorder="1" applyAlignment="1" applyProtection="1">
      <alignment horizontal="center" vertical="center"/>
      <protection locked="0"/>
    </xf>
    <xf numFmtId="6" fontId="22" fillId="6" borderId="3" xfId="0" applyNumberFormat="1" applyFont="1" applyFill="1" applyBorder="1" applyAlignment="1" applyProtection="1">
      <alignment vertical="center" wrapText="1"/>
      <protection locked="0"/>
    </xf>
    <xf numFmtId="169" fontId="9" fillId="5" borderId="3" xfId="0" applyNumberFormat="1" applyFont="1" applyBorder="1" applyAlignment="1" applyProtection="1">
      <alignment vertical="center"/>
      <protection locked="0"/>
    </xf>
    <xf numFmtId="0" fontId="27" fillId="5" borderId="3" xfId="0" applyFont="1" applyBorder="1" applyAlignment="1" applyProtection="1">
      <alignment horizontal="center" vertical="center" wrapText="1"/>
      <protection locked="0"/>
    </xf>
    <xf numFmtId="0" fontId="22" fillId="6" borderId="3" xfId="0" applyFont="1" applyFill="1" applyBorder="1" applyAlignment="1" applyProtection="1">
      <alignment horizontal="center" vertical="center"/>
      <protection locked="0"/>
    </xf>
    <xf numFmtId="0" fontId="22" fillId="6" borderId="3" xfId="0" applyFont="1" applyFill="1" applyBorder="1" applyAlignment="1" applyProtection="1">
      <alignment horizontal="left" vertical="top" wrapText="1"/>
      <protection locked="0"/>
    </xf>
    <xf numFmtId="169" fontId="22" fillId="6" borderId="3" xfId="0" applyNumberFormat="1" applyFont="1" applyFill="1" applyBorder="1" applyAlignment="1" applyProtection="1">
      <alignment vertical="center" wrapText="1"/>
      <protection locked="0"/>
    </xf>
    <xf numFmtId="0" fontId="14" fillId="4" borderId="32" xfId="0" applyFont="1" applyFill="1" applyBorder="1" applyAlignment="1" applyProtection="1">
      <alignment horizontal="center" vertical="center"/>
      <protection locked="0"/>
    </xf>
    <xf numFmtId="0" fontId="22" fillId="6" borderId="13" xfId="0" applyFont="1" applyFill="1" applyBorder="1" applyAlignment="1" applyProtection="1">
      <alignment horizontal="left" vertical="center" wrapText="1"/>
      <protection locked="0"/>
    </xf>
    <xf numFmtId="0" fontId="22" fillId="6" borderId="13" xfId="0" applyFont="1" applyFill="1" applyBorder="1" applyAlignment="1" applyProtection="1">
      <alignment horizontal="center" vertical="center" wrapText="1"/>
      <protection locked="0"/>
    </xf>
    <xf numFmtId="14" fontId="22" fillId="6" borderId="13" xfId="0" applyNumberFormat="1" applyFont="1" applyFill="1" applyBorder="1" applyAlignment="1" applyProtection="1">
      <alignment horizontal="center" vertical="center"/>
      <protection locked="0"/>
    </xf>
    <xf numFmtId="3" fontId="9" fillId="5" borderId="19" xfId="0" applyNumberFormat="1" applyFont="1" applyBorder="1" applyAlignment="1" applyProtection="1">
      <alignment horizontal="right" vertical="center" wrapText="1"/>
      <protection locked="0"/>
    </xf>
    <xf numFmtId="14" fontId="22" fillId="6" borderId="13" xfId="0" applyNumberFormat="1" applyFont="1" applyFill="1" applyBorder="1" applyAlignment="1" applyProtection="1">
      <alignment horizontal="center" vertical="center" wrapText="1"/>
      <protection locked="0"/>
    </xf>
    <xf numFmtId="6" fontId="22" fillId="6" borderId="13" xfId="0" applyNumberFormat="1" applyFont="1" applyFill="1" applyBorder="1" applyAlignment="1" applyProtection="1">
      <alignment horizontal="center" vertical="center" wrapText="1"/>
      <protection locked="0"/>
    </xf>
    <xf numFmtId="172" fontId="22" fillId="6" borderId="13" xfId="57" applyNumberFormat="1" applyFont="1" applyFill="1" applyBorder="1" applyAlignment="1" applyProtection="1">
      <alignment horizontal="left" vertical="center" wrapText="1"/>
      <protection locked="0"/>
    </xf>
    <xf numFmtId="169" fontId="22" fillId="6" borderId="13" xfId="0" applyNumberFormat="1" applyFont="1" applyFill="1" applyBorder="1" applyAlignment="1" applyProtection="1">
      <alignment horizontal="right" vertical="center" wrapText="1"/>
      <protection locked="0"/>
    </xf>
    <xf numFmtId="6" fontId="22" fillId="6" borderId="14" xfId="0" applyNumberFormat="1" applyFont="1" applyFill="1" applyBorder="1" applyAlignment="1" applyProtection="1">
      <alignment horizontal="right" vertical="center" wrapText="1"/>
      <protection locked="0"/>
    </xf>
    <xf numFmtId="0" fontId="22" fillId="6" borderId="16" xfId="0" applyFont="1" applyFill="1" applyBorder="1" applyAlignment="1" applyProtection="1">
      <alignment horizontal="center" vertical="center" wrapText="1"/>
      <protection locked="0"/>
    </xf>
    <xf numFmtId="169" fontId="22" fillId="6" borderId="3" xfId="57" applyNumberFormat="1" applyFont="1" applyFill="1" applyBorder="1" applyAlignment="1" applyProtection="1">
      <alignment vertical="center" wrapText="1"/>
      <protection locked="0"/>
    </xf>
    <xf numFmtId="0" fontId="9" fillId="5" borderId="3" xfId="0" applyFont="1" applyBorder="1" applyProtection="1">
      <protection locked="0"/>
    </xf>
    <xf numFmtId="0" fontId="9" fillId="5" borderId="3" xfId="0" applyFont="1" applyBorder="1" applyAlignment="1" applyProtection="1">
      <alignment horizontal="center"/>
      <protection locked="0"/>
    </xf>
    <xf numFmtId="14" fontId="9" fillId="5" borderId="3" xfId="0" applyNumberFormat="1" applyFont="1" applyBorder="1" applyAlignment="1" applyProtection="1">
      <alignment horizontal="center"/>
      <protection locked="0"/>
    </xf>
    <xf numFmtId="0" fontId="9" fillId="5" borderId="3" xfId="0" applyFont="1" applyBorder="1" applyAlignment="1" applyProtection="1">
      <alignment vertical="center"/>
      <protection locked="0"/>
    </xf>
    <xf numFmtId="169" fontId="9" fillId="5" borderId="3" xfId="0" applyNumberFormat="1" applyFont="1" applyBorder="1" applyAlignment="1" applyProtection="1">
      <alignment horizontal="right" vertical="center"/>
      <protection locked="0"/>
    </xf>
    <xf numFmtId="0" fontId="9" fillId="5" borderId="3" xfId="0" applyFont="1" applyBorder="1" applyAlignment="1" applyProtection="1">
      <alignment wrapText="1"/>
      <protection locked="0"/>
    </xf>
    <xf numFmtId="169" fontId="9" fillId="5" borderId="0" xfId="0" applyNumberFormat="1" applyFont="1" applyAlignment="1" applyProtection="1">
      <alignment horizontal="center"/>
      <protection locked="0"/>
    </xf>
    <xf numFmtId="168" fontId="9" fillId="5" borderId="0" xfId="0" applyNumberFormat="1" applyFont="1" applyAlignment="1" applyProtection="1">
      <alignment horizontal="center"/>
      <protection locked="0"/>
    </xf>
    <xf numFmtId="169" fontId="22" fillId="0" borderId="3" xfId="0" applyNumberFormat="1" applyFont="1" applyFill="1" applyBorder="1" applyAlignment="1">
      <alignment vertical="center" wrapText="1"/>
    </xf>
    <xf numFmtId="8" fontId="22" fillId="0" borderId="3" xfId="0" applyNumberFormat="1" applyFont="1" applyFill="1" applyBorder="1" applyAlignment="1">
      <alignment vertical="center" wrapText="1"/>
    </xf>
    <xf numFmtId="168" fontId="9" fillId="6" borderId="3" xfId="0" applyNumberFormat="1" applyFont="1" applyFill="1" applyBorder="1" applyAlignment="1">
      <alignment vertical="center" wrapText="1"/>
    </xf>
    <xf numFmtId="169" fontId="22" fillId="0" borderId="3" xfId="0" applyNumberFormat="1" applyFont="1" applyFill="1" applyBorder="1" applyAlignment="1">
      <alignment horizontal="right" vertical="center" wrapText="1"/>
    </xf>
    <xf numFmtId="8" fontId="22" fillId="0" borderId="3" xfId="0" applyNumberFormat="1" applyFont="1" applyFill="1" applyBorder="1" applyAlignment="1">
      <alignment horizontal="right" vertical="center" wrapText="1"/>
    </xf>
    <xf numFmtId="14" fontId="42" fillId="0" borderId="13" xfId="0" applyNumberFormat="1" applyFont="1" applyFill="1" applyBorder="1" applyAlignment="1">
      <alignment horizontal="left"/>
    </xf>
    <xf numFmtId="14" fontId="42" fillId="0" borderId="13" xfId="0" applyNumberFormat="1" applyFont="1" applyFill="1" applyBorder="1" applyAlignment="1">
      <alignment horizontal="left" vertical="top"/>
    </xf>
    <xf numFmtId="0" fontId="42" fillId="0" borderId="13" xfId="0" applyFont="1" applyFill="1" applyBorder="1" applyAlignment="1">
      <alignment horizontal="left" vertical="top"/>
    </xf>
    <xf numFmtId="0" fontId="42" fillId="0" borderId="13" xfId="0" applyFont="1" applyFill="1" applyBorder="1" applyAlignment="1">
      <alignment horizontal="left"/>
    </xf>
    <xf numFmtId="0" fontId="42" fillId="0" borderId="39" xfId="0" applyFont="1" applyFill="1" applyBorder="1" applyAlignment="1">
      <alignment horizontal="center"/>
    </xf>
    <xf numFmtId="14" fontId="42" fillId="0" borderId="3" xfId="0" applyNumberFormat="1" applyFont="1" applyFill="1" applyBorder="1" applyAlignment="1">
      <alignment horizontal="left"/>
    </xf>
    <xf numFmtId="0" fontId="42" fillId="0" borderId="3" xfId="0" applyFont="1" applyFill="1" applyBorder="1" applyAlignment="1">
      <alignment horizontal="left"/>
    </xf>
    <xf numFmtId="0" fontId="42" fillId="0" borderId="3" xfId="0" applyFont="1" applyFill="1" applyBorder="1" applyAlignment="1">
      <alignment horizontal="left" vertical="top"/>
    </xf>
    <xf numFmtId="0" fontId="42" fillId="0" borderId="13" xfId="0" applyFont="1" applyFill="1" applyBorder="1" applyAlignment="1">
      <alignment vertical="top"/>
    </xf>
    <xf numFmtId="14" fontId="42" fillId="0" borderId="46" xfId="0" applyNumberFormat="1" applyFont="1" applyFill="1" applyBorder="1" applyAlignment="1">
      <alignment horizontal="left" vertical="top"/>
    </xf>
    <xf numFmtId="0" fontId="42" fillId="0" borderId="46" xfId="0" applyFont="1" applyFill="1" applyBorder="1" applyAlignment="1">
      <alignment horizontal="left" vertical="top"/>
    </xf>
    <xf numFmtId="0" fontId="42" fillId="0" borderId="3" xfId="0" applyFont="1" applyFill="1" applyBorder="1" applyAlignment="1">
      <alignment vertical="top"/>
    </xf>
    <xf numFmtId="0" fontId="42" fillId="0" borderId="13" xfId="0" applyFont="1" applyFill="1" applyBorder="1"/>
    <xf numFmtId="0" fontId="42" fillId="0" borderId="31" xfId="0" applyFont="1" applyFill="1" applyBorder="1" applyAlignment="1">
      <alignment horizontal="center"/>
    </xf>
    <xf numFmtId="0" fontId="42" fillId="0" borderId="27" xfId="0" applyFont="1" applyFill="1" applyBorder="1" applyAlignment="1">
      <alignment vertical="top"/>
    </xf>
    <xf numFmtId="0" fontId="42" fillId="0" borderId="27" xfId="0" applyFont="1" applyFill="1" applyBorder="1" applyAlignment="1">
      <alignment horizontal="left"/>
    </xf>
    <xf numFmtId="0" fontId="42" fillId="0" borderId="28" xfId="0" applyFont="1" applyFill="1" applyBorder="1" applyAlignment="1">
      <alignment horizontal="left" vertical="top"/>
    </xf>
    <xf numFmtId="0" fontId="42" fillId="0" borderId="42" xfId="0" applyFont="1" applyFill="1" applyBorder="1"/>
    <xf numFmtId="0" fontId="42" fillId="0" borderId="30" xfId="0" applyFont="1" applyFill="1" applyBorder="1" applyAlignment="1">
      <alignment horizontal="left" vertical="top"/>
    </xf>
    <xf numFmtId="0" fontId="42" fillId="0" borderId="3" xfId="0" applyFont="1" applyFill="1" applyBorder="1"/>
    <xf numFmtId="14" fontId="42" fillId="0" borderId="13" xfId="0" applyNumberFormat="1" applyFont="1" applyFill="1" applyBorder="1" applyAlignment="1">
      <alignment vertical="top"/>
    </xf>
    <xf numFmtId="14" fontId="42" fillId="0" borderId="27" xfId="0" applyNumberFormat="1" applyFont="1" applyFill="1" applyBorder="1" applyAlignment="1">
      <alignment horizontal="left"/>
    </xf>
    <xf numFmtId="0" fontId="42" fillId="0" borderId="3" xfId="0" applyFont="1" applyFill="1" applyBorder="1" applyAlignment="1">
      <alignment wrapText="1"/>
    </xf>
    <xf numFmtId="0" fontId="42" fillId="0" borderId="40" xfId="0" applyFont="1" applyFill="1" applyBorder="1" applyAlignment="1">
      <alignment horizontal="left"/>
    </xf>
    <xf numFmtId="0" fontId="42" fillId="0" borderId="27" xfId="0" applyFont="1" applyFill="1" applyBorder="1" applyAlignment="1">
      <alignment horizontal="left" vertical="top"/>
    </xf>
    <xf numFmtId="0" fontId="42" fillId="0" borderId="27" xfId="0" applyFont="1" applyFill="1" applyBorder="1"/>
    <xf numFmtId="171" fontId="9" fillId="5" borderId="0" xfId="0" applyNumberFormat="1" applyFont="1" applyAlignment="1" applyProtection="1">
      <alignment horizontal="left"/>
      <protection locked="0"/>
    </xf>
    <xf numFmtId="171" fontId="9" fillId="5" borderId="0" xfId="0" applyNumberFormat="1" applyFont="1" applyProtection="1">
      <protection locked="0"/>
    </xf>
    <xf numFmtId="167" fontId="9" fillId="4" borderId="3" xfId="0" applyNumberFormat="1" applyFont="1" applyFill="1" applyBorder="1" applyAlignment="1" applyProtection="1">
      <alignment vertical="center"/>
      <protection locked="0"/>
    </xf>
    <xf numFmtId="171" fontId="33" fillId="4" borderId="0" xfId="0" applyNumberFormat="1" applyFont="1" applyFill="1" applyAlignment="1" applyProtection="1">
      <alignment horizontal="left"/>
      <protection locked="0"/>
    </xf>
    <xf numFmtId="170" fontId="9" fillId="5" borderId="3" xfId="56" applyNumberFormat="1" applyFont="1" applyFill="1" applyBorder="1" applyAlignment="1" applyProtection="1">
      <alignment horizontal="center" vertical="center" wrapText="1"/>
    </xf>
    <xf numFmtId="14" fontId="32" fillId="5" borderId="13" xfId="0" applyNumberFormat="1" applyFont="1" applyBorder="1" applyAlignment="1">
      <alignment horizontal="left"/>
    </xf>
    <xf numFmtId="14" fontId="32" fillId="14" borderId="3" xfId="0" applyNumberFormat="1" applyFont="1" applyFill="1" applyBorder="1" applyAlignment="1">
      <alignment horizontal="left"/>
    </xf>
    <xf numFmtId="0" fontId="32" fillId="5" borderId="13" xfId="0" applyFont="1" applyBorder="1" applyAlignment="1">
      <alignment horizontal="left" wrapText="1"/>
    </xf>
    <xf numFmtId="0" fontId="32" fillId="5" borderId="5" xfId="0" applyFont="1" applyBorder="1" applyAlignment="1">
      <alignment horizontal="left" vertical="top"/>
    </xf>
    <xf numFmtId="0" fontId="9" fillId="4" borderId="8" xfId="0" applyFont="1" applyFill="1" applyBorder="1" applyAlignment="1">
      <alignment horizontal="left" vertical="top"/>
    </xf>
    <xf numFmtId="0" fontId="10" fillId="4" borderId="7" xfId="0" applyFont="1" applyFill="1" applyBorder="1" applyAlignment="1">
      <alignment horizontal="left" vertical="top"/>
    </xf>
    <xf numFmtId="0" fontId="10" fillId="4" borderId="9" xfId="0" applyFont="1" applyFill="1" applyBorder="1" applyAlignment="1">
      <alignment horizontal="left" vertical="top"/>
    </xf>
    <xf numFmtId="0" fontId="10" fillId="4" borderId="8" xfId="0" applyFont="1" applyFill="1" applyBorder="1" applyAlignment="1">
      <alignment horizontal="right" vertical="center"/>
    </xf>
    <xf numFmtId="0" fontId="10" fillId="4" borderId="7" xfId="0" applyFont="1" applyFill="1" applyBorder="1" applyAlignment="1">
      <alignment horizontal="right" vertical="center"/>
    </xf>
    <xf numFmtId="0" fontId="10" fillId="4" borderId="9" xfId="0" applyFont="1" applyFill="1" applyBorder="1" applyAlignment="1">
      <alignment horizontal="right" vertical="center"/>
    </xf>
    <xf numFmtId="0" fontId="9" fillId="4" borderId="0" xfId="0" applyFont="1" applyFill="1" applyAlignment="1">
      <alignment horizontal="left" vertical="top" wrapText="1"/>
    </xf>
    <xf numFmtId="0" fontId="9" fillId="4" borderId="7" xfId="0" applyFont="1" applyFill="1" applyBorder="1" applyAlignment="1">
      <alignment horizontal="left" vertical="center"/>
    </xf>
    <xf numFmtId="0" fontId="9" fillId="4" borderId="7" xfId="0" applyFont="1" applyFill="1" applyBorder="1" applyAlignment="1">
      <alignment horizontal="center" vertical="center"/>
    </xf>
    <xf numFmtId="0" fontId="10" fillId="4" borderId="8" xfId="0" applyFont="1" applyFill="1" applyBorder="1" applyAlignment="1">
      <alignment horizontal="left" vertical="center"/>
    </xf>
    <xf numFmtId="0" fontId="10" fillId="4" borderId="7" xfId="0" applyFont="1" applyFill="1" applyBorder="1" applyAlignment="1">
      <alignment horizontal="left" vertical="center"/>
    </xf>
    <xf numFmtId="0" fontId="10" fillId="4" borderId="9" xfId="0" applyFont="1" applyFill="1" applyBorder="1" applyAlignment="1">
      <alignment horizontal="left" vertical="center"/>
    </xf>
    <xf numFmtId="0" fontId="10" fillId="4" borderId="0" xfId="0" applyFont="1" applyFill="1" applyAlignment="1">
      <alignment horizontal="center" vertical="center" wrapText="1"/>
    </xf>
    <xf numFmtId="0" fontId="13" fillId="0" borderId="8" xfId="0" applyFont="1" applyFill="1" applyBorder="1" applyAlignment="1">
      <alignment horizontal="center" vertical="center"/>
    </xf>
    <xf numFmtId="0" fontId="13" fillId="0" borderId="7" xfId="0" applyFont="1" applyFill="1" applyBorder="1" applyAlignment="1">
      <alignment horizontal="center" vertical="center"/>
    </xf>
    <xf numFmtId="0" fontId="13" fillId="0" borderId="9" xfId="0" applyFont="1" applyFill="1" applyBorder="1" applyAlignment="1">
      <alignment horizontal="center" vertical="center"/>
    </xf>
    <xf numFmtId="0" fontId="12" fillId="5" borderId="0" xfId="0" applyFont="1" applyAlignment="1">
      <alignment horizontal="center"/>
    </xf>
    <xf numFmtId="0" fontId="11" fillId="5" borderId="0" xfId="0" applyFont="1" applyAlignment="1">
      <alignment horizontal="center"/>
    </xf>
    <xf numFmtId="0" fontId="4" fillId="5" borderId="2" xfId="0" applyFont="1" applyBorder="1" applyAlignment="1">
      <alignment horizontal="center"/>
    </xf>
    <xf numFmtId="0" fontId="4" fillId="5" borderId="2" xfId="0" applyFont="1" applyBorder="1" applyAlignment="1">
      <alignment horizontal="center" vertical="center"/>
    </xf>
    <xf numFmtId="0" fontId="36" fillId="9" borderId="0" xfId="0" applyFont="1" applyFill="1" applyAlignment="1">
      <alignment horizontal="center" vertical="center"/>
    </xf>
    <xf numFmtId="0" fontId="9" fillId="5" borderId="8" xfId="0" applyFont="1" applyBorder="1" applyAlignment="1">
      <alignment horizontal="center"/>
    </xf>
    <xf numFmtId="0" fontId="9" fillId="5" borderId="7" xfId="0" applyFont="1" applyBorder="1" applyAlignment="1">
      <alignment horizontal="center"/>
    </xf>
    <xf numFmtId="0" fontId="9" fillId="5" borderId="9" xfId="0" applyFont="1" applyBorder="1" applyAlignment="1">
      <alignment horizontal="center"/>
    </xf>
    <xf numFmtId="0" fontId="13" fillId="7" borderId="8" xfId="0" applyFont="1" applyFill="1" applyBorder="1"/>
    <xf numFmtId="0" fontId="13" fillId="7" borderId="7" xfId="0" applyFont="1" applyFill="1" applyBorder="1"/>
    <xf numFmtId="0" fontId="13" fillId="7" borderId="9" xfId="0" applyFont="1" applyFill="1" applyBorder="1"/>
    <xf numFmtId="0" fontId="10" fillId="5" borderId="0" xfId="0" applyFont="1" applyAlignment="1">
      <alignment horizontal="left"/>
    </xf>
    <xf numFmtId="0" fontId="13" fillId="7" borderId="3" xfId="0" applyFont="1" applyFill="1" applyBorder="1"/>
    <xf numFmtId="0" fontId="9" fillId="5" borderId="3" xfId="0" applyFont="1" applyBorder="1" applyAlignment="1">
      <alignment horizontal="center"/>
    </xf>
    <xf numFmtId="0" fontId="32" fillId="5" borderId="0" xfId="0" applyFont="1" applyBorder="1"/>
    <xf numFmtId="0" fontId="14" fillId="12" borderId="3" xfId="0" applyFont="1" applyFill="1" applyBorder="1" applyAlignment="1" applyProtection="1">
      <alignment horizontal="center" vertical="center"/>
      <protection locked="0"/>
    </xf>
    <xf numFmtId="0" fontId="22" fillId="15" borderId="3" xfId="0" applyFont="1" applyFill="1" applyBorder="1" applyAlignment="1" applyProtection="1">
      <alignment horizontal="left" vertical="center" wrapText="1"/>
      <protection locked="0"/>
    </xf>
    <xf numFmtId="0" fontId="22" fillId="15" borderId="3" xfId="0" applyFont="1" applyFill="1" applyBorder="1" applyAlignment="1" applyProtection="1">
      <alignment horizontal="center" vertical="center" wrapText="1"/>
      <protection locked="0"/>
    </xf>
    <xf numFmtId="0" fontId="9" fillId="16" borderId="3" xfId="0" applyFont="1" applyFill="1" applyBorder="1" applyAlignment="1" applyProtection="1">
      <alignment horizontal="center" vertical="center"/>
      <protection locked="0"/>
    </xf>
    <xf numFmtId="170" fontId="22" fillId="15" borderId="3" xfId="56" applyNumberFormat="1" applyFont="1" applyFill="1" applyBorder="1" applyAlignment="1" applyProtection="1">
      <alignment horizontal="center" vertical="center" wrapText="1"/>
      <protection locked="0"/>
    </xf>
    <xf numFmtId="14" fontId="22" fillId="15" borderId="3" xfId="0" applyNumberFormat="1" applyFont="1" applyFill="1" applyBorder="1" applyAlignment="1" applyProtection="1">
      <alignment horizontal="center" vertical="center"/>
      <protection locked="0"/>
    </xf>
    <xf numFmtId="0" fontId="9" fillId="16" borderId="3" xfId="0" applyFont="1" applyFill="1" applyBorder="1" applyAlignment="1" applyProtection="1">
      <alignment horizontal="center" vertical="center" wrapText="1"/>
      <protection locked="0"/>
    </xf>
    <xf numFmtId="6" fontId="22" fillId="15" borderId="3" xfId="0" applyNumberFormat="1" applyFont="1" applyFill="1" applyBorder="1" applyAlignment="1" applyProtection="1">
      <alignment vertical="center" wrapText="1"/>
      <protection locked="0"/>
    </xf>
    <xf numFmtId="169" fontId="9" fillId="16" borderId="3" xfId="0" applyNumberFormat="1" applyFont="1" applyFill="1" applyBorder="1" applyAlignment="1" applyProtection="1">
      <alignment vertical="center"/>
      <protection locked="0"/>
    </xf>
    <xf numFmtId="0" fontId="27" fillId="16" borderId="3" xfId="0" applyFont="1" applyFill="1" applyBorder="1" applyAlignment="1" applyProtection="1">
      <alignment horizontal="center" vertical="center" wrapText="1"/>
      <protection locked="0"/>
    </xf>
    <xf numFmtId="0" fontId="22" fillId="15" borderId="3" xfId="0" applyFont="1" applyFill="1" applyBorder="1" applyAlignment="1" applyProtection="1">
      <alignment horizontal="center" vertical="center"/>
      <protection locked="0"/>
    </xf>
    <xf numFmtId="0" fontId="22" fillId="15" borderId="3" xfId="0" applyFont="1" applyFill="1" applyBorder="1" applyAlignment="1" applyProtection="1">
      <alignment horizontal="left" vertical="top" wrapText="1"/>
      <protection locked="0"/>
    </xf>
    <xf numFmtId="0" fontId="14" fillId="12" borderId="0" xfId="0" applyFont="1" applyFill="1" applyBorder="1" applyAlignment="1">
      <alignment horizontal="center" vertical="center"/>
    </xf>
    <xf numFmtId="0" fontId="22" fillId="15" borderId="0" xfId="0" applyFont="1" applyFill="1" applyBorder="1" applyAlignment="1">
      <alignment horizontal="left" vertical="center" wrapText="1"/>
    </xf>
    <xf numFmtId="0" fontId="22" fillId="15" borderId="0" xfId="0" applyFont="1" applyFill="1" applyBorder="1" applyAlignment="1">
      <alignment horizontal="center" vertical="center" wrapText="1"/>
    </xf>
    <xf numFmtId="0" fontId="9" fillId="16" borderId="0" xfId="0" applyFont="1" applyFill="1" applyBorder="1" applyAlignment="1">
      <alignment horizontal="center" vertical="center"/>
    </xf>
    <xf numFmtId="170" fontId="22" fillId="15" borderId="0" xfId="56" applyNumberFormat="1" applyFont="1" applyFill="1" applyBorder="1" applyAlignment="1">
      <alignment horizontal="center" vertical="center" wrapText="1"/>
    </xf>
    <xf numFmtId="14" fontId="22" fillId="15" borderId="0" xfId="0" applyNumberFormat="1" applyFont="1" applyFill="1" applyBorder="1" applyAlignment="1">
      <alignment horizontal="center" vertical="center"/>
    </xf>
    <xf numFmtId="0" fontId="9" fillId="16" borderId="0" xfId="0" applyFont="1" applyFill="1" applyBorder="1" applyAlignment="1">
      <alignment horizontal="center" vertical="center" wrapText="1"/>
    </xf>
    <xf numFmtId="6" fontId="22" fillId="15" borderId="0" xfId="0" applyNumberFormat="1" applyFont="1" applyFill="1" applyBorder="1" applyAlignment="1">
      <alignment vertical="center" wrapText="1"/>
    </xf>
    <xf numFmtId="169" fontId="9" fillId="16" borderId="0" xfId="0" applyNumberFormat="1" applyFont="1" applyFill="1" applyBorder="1" applyAlignment="1">
      <alignment vertical="center"/>
    </xf>
    <xf numFmtId="169" fontId="22" fillId="12" borderId="0" xfId="0" applyNumberFormat="1" applyFont="1" applyFill="1" applyBorder="1" applyAlignment="1">
      <alignment vertical="center" wrapText="1"/>
    </xf>
    <xf numFmtId="8" fontId="22" fillId="12" borderId="0" xfId="0" applyNumberFormat="1" applyFont="1" applyFill="1" applyBorder="1" applyAlignment="1">
      <alignment vertical="center" wrapText="1"/>
    </xf>
    <xf numFmtId="168" fontId="9" fillId="15" borderId="0" xfId="0" applyNumberFormat="1" applyFont="1" applyFill="1" applyBorder="1" applyAlignment="1">
      <alignment vertical="center" wrapText="1"/>
    </xf>
    <xf numFmtId="0" fontId="27" fillId="16" borderId="0" xfId="0" applyFont="1" applyFill="1" applyBorder="1" applyAlignment="1">
      <alignment horizontal="center" vertical="center" wrapText="1"/>
    </xf>
    <xf numFmtId="0" fontId="22" fillId="15" borderId="0" xfId="0" applyFont="1" applyFill="1" applyBorder="1" applyAlignment="1">
      <alignment horizontal="center" vertical="center"/>
    </xf>
    <xf numFmtId="0" fontId="22" fillId="15" borderId="0" xfId="0" applyFont="1" applyFill="1" applyBorder="1" applyAlignment="1">
      <alignment horizontal="left" vertical="top" wrapText="1"/>
    </xf>
    <xf numFmtId="14" fontId="0" fillId="12" borderId="0" xfId="0" applyNumberFormat="1" applyFill="1" applyBorder="1"/>
  </cellXfs>
  <cellStyles count="63">
    <cellStyle name="Comma" xfId="56" builtinId="3"/>
    <cellStyle name="Comma 2" xfId="58" xr:uid="{665470C2-3536-401A-AD78-16B26FD5D2E3}"/>
    <cellStyle name="Currency" xfId="57" builtinId="4"/>
    <cellStyle name="Currency [0]" xfId="62" builtinId="7"/>
    <cellStyle name="Currency [0] 2" xfId="59" xr:uid="{D259D40D-4FE7-46C0-9FE4-D97D68D6E409}"/>
    <cellStyle name="Currency 2" xfId="60" xr:uid="{9A67E0CB-815C-4FE8-8ED2-18D77348FD07}"/>
    <cellStyle name="Currency 3" xfId="61" xr:uid="{D4D5F0CE-BAA4-4CD1-95CB-42B5A9DE0F11}"/>
    <cellStyle name="Followed Hyperlink" xfId="55" builtinId="9" hidden="1"/>
    <cellStyle name="Followed Hyperlink" xfId="54" builtinId="9" hidden="1"/>
    <cellStyle name="Followed Hyperlink" xfId="2" builtinId="9" hidden="1"/>
    <cellStyle name="Followed Hyperlink" xfId="30" builtinId="9" hidden="1"/>
    <cellStyle name="Followed Hyperlink" xfId="32" builtinId="9" hidden="1"/>
    <cellStyle name="Followed Hyperlink" xfId="38" builtinId="9" hidden="1"/>
    <cellStyle name="Followed Hyperlink" xfId="10" builtinId="9" hidden="1"/>
    <cellStyle name="Followed Hyperlink" xfId="44" builtinId="9" hidden="1"/>
    <cellStyle name="Followed Hyperlink" xfId="8" builtinId="9" hidden="1"/>
    <cellStyle name="Followed Hyperlink" xfId="20" builtinId="9" hidden="1"/>
    <cellStyle name="Followed Hyperlink" xfId="18" builtinId="9" hidden="1"/>
    <cellStyle name="Followed Hyperlink" xfId="24" builtinId="9" hidden="1"/>
    <cellStyle name="Followed Hyperlink" xfId="50" builtinId="9" hidden="1"/>
    <cellStyle name="Followed Hyperlink" xfId="46" builtinId="9" hidden="1"/>
    <cellStyle name="Followed Hyperlink" xfId="36" builtinId="9" hidden="1"/>
    <cellStyle name="Followed Hyperlink" xfId="53" builtinId="9" hidden="1"/>
    <cellStyle name="Followed Hyperlink" xfId="22" builtinId="9" hidden="1"/>
    <cellStyle name="Followed Hyperlink" xfId="16" builtinId="9" hidden="1"/>
    <cellStyle name="Followed Hyperlink" xfId="40" builtinId="9" hidden="1"/>
    <cellStyle name="Followed Hyperlink" xfId="28" builtinId="9" hidden="1"/>
    <cellStyle name="Followed Hyperlink" xfId="14" builtinId="9" hidden="1"/>
    <cellStyle name="Followed Hyperlink" xfId="26" builtinId="9" hidden="1"/>
    <cellStyle name="Followed Hyperlink" xfId="48" builtinId="9" hidden="1"/>
    <cellStyle name="Followed Hyperlink" xfId="42" builtinId="9" hidden="1"/>
    <cellStyle name="Followed Hyperlink" xfId="34" builtinId="9" hidden="1"/>
    <cellStyle name="Followed Hyperlink" xfId="52" builtinId="9" hidden="1"/>
    <cellStyle name="Followed Hyperlink" xfId="12" builtinId="9" hidden="1"/>
    <cellStyle name="Followed Hyperlink" xfId="4" builtinId="9" hidden="1"/>
    <cellStyle name="Followed Hyperlink" xfId="6" builtinId="9" hidden="1"/>
    <cellStyle name="Hyperlink" xfId="51" builtinId="8" hidden="1"/>
    <cellStyle name="Hyperlink" xfId="47" builtinId="8" hidden="1"/>
    <cellStyle name="Hyperlink" xfId="45" builtinId="8" hidden="1"/>
    <cellStyle name="Hyperlink" xfId="49" builtinId="8" hidden="1"/>
    <cellStyle name="Hyperlink" xfId="23" builtinId="8" hidden="1"/>
    <cellStyle name="Hyperlink" xfId="27" builtinId="8" hidden="1"/>
    <cellStyle name="Hyperlink" xfId="13" builtinId="8" hidden="1"/>
    <cellStyle name="Hyperlink" xfId="29" builtinId="8" hidden="1"/>
    <cellStyle name="Hyperlink" xfId="43" builtinId="8" hidden="1"/>
    <cellStyle name="Hyperlink" xfId="9" builtinId="8" hidden="1"/>
    <cellStyle name="Hyperlink" xfId="19" builtinId="8" hidden="1"/>
    <cellStyle name="Hyperlink" xfId="21" builtinId="8" hidden="1"/>
    <cellStyle name="Hyperlink" xfId="15" builtinId="8" hidden="1"/>
    <cellStyle name="Hyperlink" xfId="39" builtinId="8" hidden="1"/>
    <cellStyle name="Hyperlink" xfId="17" builtinId="8" hidden="1"/>
    <cellStyle name="Hyperlink" xfId="11" builtinId="8" hidden="1"/>
    <cellStyle name="Hyperlink" xfId="37" builtinId="8" hidden="1"/>
    <cellStyle name="Hyperlink" xfId="41" builtinId="8" hidden="1"/>
    <cellStyle name="Hyperlink" xfId="25" builtinId="8" hidden="1"/>
    <cellStyle name="Hyperlink" xfId="33" builtinId="8" hidden="1"/>
    <cellStyle name="Hyperlink" xfId="35" builtinId="8" hidden="1"/>
    <cellStyle name="Hyperlink" xfId="31" builtinId="8" hidden="1"/>
    <cellStyle name="Hyperlink" xfId="1" builtinId="8" hidden="1"/>
    <cellStyle name="Hyperlink" xfId="3" builtinId="8" hidden="1"/>
    <cellStyle name="Hyperlink" xfId="7" builtinId="8" hidden="1"/>
    <cellStyle name="Hyperlink" xfId="5" builtinId="8" hidden="1"/>
    <cellStyle name="Normal" xfId="0" builtinId="0" customBuiltin="1"/>
  </cellStyles>
  <dxfs count="65">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ill>
        <patternFill>
          <bgColor rgb="FFFFFF00"/>
        </patternFill>
      </fill>
    </dxf>
    <dxf>
      <font>
        <condense val="0"/>
        <extend val="0"/>
        <color rgb="FF9C6500"/>
      </font>
      <fill>
        <patternFill>
          <bgColor rgb="FFFFFF00"/>
        </patternFill>
      </fill>
    </dxf>
    <dxf>
      <fill>
        <patternFill>
          <bgColor rgb="FFFFFF00"/>
        </patternFill>
      </fill>
    </dxf>
    <dxf>
      <font>
        <condense val="0"/>
        <extend val="0"/>
        <color rgb="FF9C650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ndense val="0"/>
        <extend val="0"/>
        <color rgb="FF9C6500"/>
      </font>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ill>
        <patternFill>
          <bgColor rgb="FFFFFF00"/>
        </patternFill>
      </fill>
    </dxf>
    <dxf>
      <font>
        <condense val="0"/>
        <extend val="0"/>
        <color rgb="FF9C6500"/>
      </font>
      <fill>
        <patternFill>
          <bgColor rgb="FFFFFF00"/>
        </patternFill>
      </fill>
    </dxf>
    <dxf>
      <font>
        <color rgb="FF9C0006"/>
      </font>
      <fill>
        <patternFill>
          <bgColor rgb="FFFFC7CE"/>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condense val="0"/>
        <extend val="0"/>
        <color rgb="FF9C6500"/>
      </font>
      <fill>
        <patternFill>
          <bgColor rgb="FFFFFF00"/>
        </patternFill>
      </fill>
    </dxf>
    <dxf>
      <font>
        <b val="0"/>
        <i val="0"/>
        <strike val="0"/>
        <condense val="0"/>
        <extend val="0"/>
        <outline val="0"/>
        <shadow val="0"/>
        <u val="none"/>
        <vertAlign val="baseline"/>
        <sz val="12"/>
        <color theme="1"/>
        <name val="Ariel"/>
        <scheme val="none"/>
      </font>
      <alignment horizontal="center" vertical="bottom" textRotation="0" wrapText="0" indent="0" justifyLastLine="0" shrinkToFit="0" readingOrder="0"/>
      <border diagonalUp="0" diagonalDown="0" outline="0">
        <left style="thin">
          <color rgb="FF000000"/>
        </left>
        <right/>
        <top style="thin">
          <color rgb="FF000000"/>
        </top>
        <bottom style="thin">
          <color rgb="FF000000"/>
        </bottom>
      </border>
    </dxf>
    <dxf>
      <font>
        <strike val="0"/>
        <outline val="0"/>
        <shadow val="0"/>
        <u val="none"/>
        <sz val="12"/>
        <name val="Ariel"/>
        <scheme val="none"/>
      </font>
    </dxf>
    <dxf>
      <font>
        <b val="0"/>
        <i val="0"/>
        <strike val="0"/>
        <condense val="0"/>
        <extend val="0"/>
        <outline val="0"/>
        <shadow val="0"/>
        <u val="none"/>
        <vertAlign val="baseline"/>
        <sz val="12"/>
        <color theme="1"/>
        <name val="Ariel"/>
        <scheme val="none"/>
      </font>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e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e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el"/>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el"/>
        <scheme val="none"/>
      </font>
      <alignment horizontal="general"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el"/>
        <scheme val="none"/>
      </font>
      <numFmt numFmtId="19" formatCode="dd/mm/yyyy"/>
      <fill>
        <patternFill patternType="solid">
          <fgColor theme="4" tint="0.59999389629810485"/>
          <bgColor theme="4" tint="0.59999389629810485"/>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indexed="64"/>
        </right>
        <top style="thin">
          <color indexed="64"/>
        </top>
        <bottom style="thin">
          <color rgb="FF000000"/>
        </bottom>
      </border>
    </dxf>
    <dxf>
      <font>
        <strike val="0"/>
        <outline val="0"/>
        <shadow val="0"/>
        <u val="none"/>
        <sz val="12"/>
        <name val="Ariel"/>
        <scheme val="none"/>
      </font>
    </dxf>
    <dxf>
      <border outline="0">
        <bottom style="thin">
          <color rgb="FF000000"/>
        </bottom>
      </border>
    </dxf>
    <dxf>
      <font>
        <b val="0"/>
        <i val="0"/>
        <strike val="0"/>
        <condense val="0"/>
        <extend val="0"/>
        <outline val="0"/>
        <shadow val="0"/>
        <u val="none"/>
        <vertAlign val="baseline"/>
        <sz val="12"/>
        <color theme="1"/>
        <name val="Ariel"/>
        <scheme val="none"/>
      </font>
      <fill>
        <patternFill patternType="solid">
          <fgColor indexed="64"/>
          <bgColor theme="0" tint="-0.249977111117893"/>
        </patternFill>
      </fill>
      <border diagonalUp="0" diagonalDown="0" outline="0">
        <left style="thin">
          <color rgb="FF000000"/>
        </left>
        <right style="thin">
          <color rgb="FF000000"/>
        </right>
        <top/>
        <bottom/>
      </border>
    </dxf>
  </dxfs>
  <tableStyles count="0" defaultTableStyle="TableStyleMedium9" defaultPivotStyle="PivotStyleMedium4"/>
  <colors>
    <mruColors>
      <color rgb="FFFFFF00"/>
      <color rgb="FFA73F2C"/>
      <color rgb="FFD65A22"/>
      <color rgb="FFE15F17"/>
      <color rgb="FFF6FA40"/>
      <color rgb="FFAE4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43</xdr:row>
      <xdr:rowOff>20781</xdr:rowOff>
    </xdr:from>
    <xdr:to>
      <xdr:col>7</xdr:col>
      <xdr:colOff>1162050</xdr:colOff>
      <xdr:row>46</xdr:row>
      <xdr:rowOff>190498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10212531"/>
          <a:ext cx="6288232" cy="663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800" b="1">
              <a:solidFill>
                <a:srgbClr val="A73F2C"/>
              </a:solidFill>
              <a:effectLst/>
              <a:latin typeface="Arial" panose="020B0604020202020204" pitchFamily="34" charset="0"/>
              <a:ea typeface="+mn-ea"/>
              <a:cs typeface="Arial" panose="020B0604020202020204" pitchFamily="34" charset="0"/>
            </a:rPr>
            <a:t>Langham Estate Management Limited</a:t>
          </a:r>
        </a:p>
        <a:p>
          <a:pPr algn="ctr"/>
          <a:r>
            <a:rPr lang="en-GB" sz="800">
              <a:solidFill>
                <a:schemeClr val="dk1"/>
              </a:solidFill>
              <a:effectLst/>
              <a:latin typeface="Arial" panose="020B0604020202020204" pitchFamily="34" charset="0"/>
              <a:ea typeface="+mn-ea"/>
              <a:cs typeface="Arial" panose="020B0604020202020204" pitchFamily="34" charset="0"/>
            </a:rPr>
            <a:t>London House, 9a Margaret Street, London W1W 8RJ</a:t>
          </a:r>
        </a:p>
        <a:p>
          <a:pPr algn="ctr"/>
          <a:r>
            <a:rPr lang="en-GB" sz="800">
              <a:solidFill>
                <a:schemeClr val="tx1">
                  <a:lumMod val="65000"/>
                  <a:lumOff val="35000"/>
                </a:schemeClr>
              </a:solidFill>
              <a:effectLst/>
              <a:latin typeface="Arial" panose="020B0604020202020204" pitchFamily="34" charset="0"/>
              <a:ea typeface="+mn-ea"/>
              <a:cs typeface="Arial" panose="020B0604020202020204" pitchFamily="34" charset="0"/>
            </a:rPr>
            <a:t>Clt</a:t>
          </a:r>
          <a:r>
            <a:rPr lang="en-GB" sz="800">
              <a:solidFill>
                <a:schemeClr val="dk1"/>
              </a:solidFill>
              <a:effectLst/>
              <a:latin typeface="Arial" panose="020B0604020202020204" pitchFamily="34" charset="0"/>
              <a:ea typeface="+mn-ea"/>
              <a:cs typeface="Arial" panose="020B0604020202020204" pitchFamily="34" charset="0"/>
            </a:rPr>
            <a:t>. 020 7580 5656  </a:t>
          </a:r>
          <a:r>
            <a:rPr lang="en-GB" sz="800">
              <a:solidFill>
                <a:schemeClr val="tx1">
                  <a:lumMod val="65000"/>
                  <a:lumOff val="35000"/>
                </a:schemeClr>
              </a:solidFill>
              <a:effectLst/>
              <a:latin typeface="Arial" panose="020B0604020202020204" pitchFamily="34" charset="0"/>
              <a:ea typeface="+mn-ea"/>
              <a:cs typeface="Arial" panose="020B0604020202020204" pitchFamily="34" charset="0"/>
            </a:rPr>
            <a:t>f. </a:t>
          </a:r>
          <a:r>
            <a:rPr lang="en-GB" sz="800">
              <a:solidFill>
                <a:schemeClr val="dk1"/>
              </a:solidFill>
              <a:effectLst/>
              <a:latin typeface="Arial" panose="020B0604020202020204" pitchFamily="34" charset="0"/>
              <a:ea typeface="+mn-ea"/>
              <a:cs typeface="Arial" panose="020B0604020202020204" pitchFamily="34" charset="0"/>
            </a:rPr>
            <a:t>020 7636 6760</a:t>
          </a:r>
        </a:p>
        <a:p>
          <a:pPr algn="ctr"/>
          <a:r>
            <a:rPr lang="en-GB" sz="800">
              <a:solidFill>
                <a:schemeClr val="dk1"/>
              </a:solidFill>
              <a:effectLst/>
              <a:latin typeface="Arial" panose="020B0604020202020204" pitchFamily="34" charset="0"/>
              <a:ea typeface="+mn-ea"/>
              <a:cs typeface="Arial" panose="020B0604020202020204" pitchFamily="34" charset="0"/>
            </a:rPr>
            <a:t>e. </a:t>
          </a:r>
          <a:r>
            <a:rPr lang="en-GB" sz="800" u="sng">
              <a:solidFill>
                <a:schemeClr val="tx1">
                  <a:lumMod val="65000"/>
                  <a:lumOff val="35000"/>
                </a:schemeClr>
              </a:solidFill>
              <a:effectLst/>
              <a:latin typeface="Arial" panose="020B0604020202020204" pitchFamily="34" charset="0"/>
              <a:ea typeface="+mn-ea"/>
              <a:cs typeface="Arial" panose="020B0604020202020204" pitchFamily="34" charset="0"/>
            </a:rPr>
            <a:t>e1nq@langhamestate.com</a:t>
          </a:r>
          <a:r>
            <a:rPr lang="en-GB" sz="800" baseline="0">
              <a:solidFill>
                <a:schemeClr val="tx1">
                  <a:lumMod val="65000"/>
                  <a:lumOff val="35000"/>
                </a:schemeClr>
              </a:solidFill>
              <a:effectLst/>
              <a:latin typeface="Arial" panose="020B0604020202020204" pitchFamily="34" charset="0"/>
              <a:ea typeface="+mn-ea"/>
              <a:cs typeface="Arial" panose="020B0604020202020204" pitchFamily="34" charset="0"/>
            </a:rPr>
            <a:t>  </a:t>
          </a:r>
          <a:r>
            <a:rPr lang="en-GB" sz="800" u="sng" baseline="0">
              <a:solidFill>
                <a:schemeClr val="tx1">
                  <a:lumMod val="65000"/>
                  <a:lumOff val="35000"/>
                </a:schemeClr>
              </a:solidFill>
              <a:effectLst/>
              <a:latin typeface="Arial" panose="020B0604020202020204" pitchFamily="34" charset="0"/>
              <a:ea typeface="+mn-ea"/>
              <a:cs typeface="Arial" panose="020B0604020202020204" pitchFamily="34" charset="0"/>
            </a:rPr>
            <a:t>www.langhamestate.com</a:t>
          </a:r>
          <a:endParaRPr lang="en-GB" sz="800" u="sng">
            <a:solidFill>
              <a:schemeClr val="tx1">
                <a:lumMod val="65000"/>
                <a:lumOff val="35000"/>
              </a:schemeClr>
            </a:solidFill>
            <a:effectLst/>
            <a:latin typeface="Arial" panose="020B0604020202020204" pitchFamily="34" charset="0"/>
            <a:ea typeface="+mn-ea"/>
            <a:cs typeface="Arial" panose="020B0604020202020204" pitchFamily="34" charset="0"/>
          </a:endParaRPr>
        </a:p>
        <a:p>
          <a:endParaRPr lang="en-GB" sz="1100"/>
        </a:p>
      </xdr:txBody>
    </xdr:sp>
    <xdr:clientData/>
  </xdr:twoCellAnchor>
  <xdr:twoCellAnchor>
    <xdr:from>
      <xdr:col>0</xdr:col>
      <xdr:colOff>222540</xdr:colOff>
      <xdr:row>32</xdr:row>
      <xdr:rowOff>40356</xdr:rowOff>
    </xdr:from>
    <xdr:to>
      <xdr:col>7</xdr:col>
      <xdr:colOff>1152525</xdr:colOff>
      <xdr:row>39</xdr:row>
      <xdr:rowOff>1295400</xdr:rowOff>
    </xdr:to>
    <xdr:sp macro="" textlink="">
      <xdr:nvSpPr>
        <xdr:cNvPr id="5" name="TextBox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2000000}"/>
            </a:ext>
          </a:extLst>
        </xdr:cNvPr>
        <xdr:cNvSpPr txBox="1"/>
      </xdr:nvSpPr>
      <xdr:spPr>
        <a:xfrm>
          <a:off x="222540" y="6660231"/>
          <a:ext cx="6216360" cy="2140869"/>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endParaRPr lang="en-GB" b="1"/>
        </a:p>
        <a:p>
          <a:pPr>
            <a:buNone/>
          </a:pPr>
          <a:endParaRPr lang="en-GB" b="1"/>
        </a:p>
        <a:p>
          <a:pPr>
            <a:buNone/>
          </a:pPr>
          <a:r>
            <a:rPr lang="en-GB" b="1"/>
            <a:t>Weekly Leasing Update</a:t>
          </a:r>
        </a:p>
        <a:p>
          <a:pPr>
            <a:buNone/>
          </a:pPr>
          <a:endParaRPr lang="en-GB" b="1"/>
        </a:p>
        <a:p>
          <a:r>
            <a:rPr lang="en-GB" sz="1100" b="0" i="0" baseline="0">
              <a:solidFill>
                <a:schemeClr val="dk1"/>
              </a:solidFill>
              <a:effectLst/>
              <a:latin typeface="+mn-lt"/>
              <a:ea typeface="+mn-ea"/>
              <a:cs typeface="+mn-cs"/>
            </a:rPr>
            <a:t>1 New letting  completed:</a:t>
          </a:r>
        </a:p>
        <a:p>
          <a:endParaRPr lang="en-GB" sz="1100" b="0" i="0" u="none" strike="noStrike" baseline="0">
            <a:solidFill>
              <a:schemeClr val="dk1"/>
            </a:solidFill>
            <a:effectLst/>
            <a:latin typeface="+mn-lt"/>
            <a:ea typeface="+mn-ea"/>
            <a:cs typeface="+mn-cs"/>
          </a:endParaRPr>
        </a:p>
        <a:p>
          <a:r>
            <a:rPr lang="en-GB" sz="1100" b="0" i="0" u="none" strike="noStrike" baseline="0">
              <a:solidFill>
                <a:schemeClr val="dk1"/>
              </a:solidFill>
              <a:latin typeface="+mn-lt"/>
              <a:ea typeface="+mn-ea"/>
              <a:cs typeface="+mn-cs"/>
            </a:rPr>
            <a:t>Circus House 2nd &amp; 3rd Floors (4,653 sq ft) to New Era Cap Company</a:t>
          </a:r>
        </a:p>
      </xdr:txBody>
    </xdr:sp>
    <xdr:clientData/>
  </xdr:twoCellAnchor>
  <xdr:twoCellAnchor editAs="oneCell">
    <xdr:from>
      <xdr:col>1</xdr:col>
      <xdr:colOff>16101</xdr:colOff>
      <xdr:row>39</xdr:row>
      <xdr:rowOff>1400175</xdr:rowOff>
    </xdr:from>
    <xdr:to>
      <xdr:col>2</xdr:col>
      <xdr:colOff>137040</xdr:colOff>
      <xdr:row>40</xdr:row>
      <xdr:rowOff>111609</xdr:rowOff>
    </xdr:to>
    <xdr:pic>
      <xdr:nvPicPr>
        <xdr:cNvPr id="9" name="Picture 8">
          <a:extLst>
            <a:ext uri="{FF2B5EF4-FFF2-40B4-BE49-F238E27FC236}">
              <a16:creationId xmlns:a16="http://schemas.microsoft.com/office/drawing/2014/main" id="{F2EF80DB-3B5E-4A93-BDE2-3E3AB9142FAE}"/>
            </a:ext>
            <a:ext uri="{147F2762-F138-4A5C-976F-8EAC2B608ADB}">
              <a16:predDERef xmlns:a16="http://schemas.microsoft.com/office/drawing/2014/main" pred="{FF1240F2-8DF8-44EC-A1A6-E4A39ABD133C}"/>
            </a:ext>
          </a:extLst>
        </xdr:cNvPr>
        <xdr:cNvPicPr>
          <a:picLocks noChangeAspect="1"/>
        </xdr:cNvPicPr>
      </xdr:nvPicPr>
      <xdr:blipFill rotWithShape="1">
        <a:blip xmlns:r="http://schemas.openxmlformats.org/officeDocument/2006/relationships" r:embed="rId1"/>
        <a:srcRect l="5535" t="11365" r="5125" b="16948"/>
        <a:stretch/>
      </xdr:blipFill>
      <xdr:spPr>
        <a:xfrm>
          <a:off x="320901" y="8905875"/>
          <a:ext cx="711489" cy="235434"/>
        </a:xfrm>
        <a:prstGeom prst="rect">
          <a:avLst/>
        </a:prstGeom>
      </xdr:spPr>
    </xdr:pic>
    <xdr:clientData/>
  </xdr:twoCellAnchor>
  <xdr:twoCellAnchor editAs="oneCell">
    <xdr:from>
      <xdr:col>4</xdr:col>
      <xdr:colOff>209550</xdr:colOff>
      <xdr:row>0</xdr:row>
      <xdr:rowOff>28576</xdr:rowOff>
    </xdr:from>
    <xdr:to>
      <xdr:col>5</xdr:col>
      <xdr:colOff>38100</xdr:colOff>
      <xdr:row>3</xdr:row>
      <xdr:rowOff>319623</xdr:rowOff>
    </xdr:to>
    <xdr:pic>
      <xdr:nvPicPr>
        <xdr:cNvPr id="10" name="Picture 9">
          <a:extLst>
            <a:ext uri="{FF2B5EF4-FFF2-40B4-BE49-F238E27FC236}">
              <a16:creationId xmlns:a16="http://schemas.microsoft.com/office/drawing/2014/main" id="{5DF90FD0-61E1-0C54-F79F-BBB5443651FA}"/>
            </a:ext>
          </a:extLst>
        </xdr:cNvPr>
        <xdr:cNvPicPr>
          <a:picLocks noChangeAspect="1"/>
        </xdr:cNvPicPr>
      </xdr:nvPicPr>
      <xdr:blipFill>
        <a:blip xmlns:r="http://schemas.openxmlformats.org/officeDocument/2006/relationships" r:embed="rId2"/>
        <a:stretch>
          <a:fillRect/>
        </a:stretch>
      </xdr:blipFill>
      <xdr:spPr>
        <a:xfrm>
          <a:off x="2771775" y="28576"/>
          <a:ext cx="809625" cy="8085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F49713-B02E-4DF4-8CB4-AB64E83CC3B1}" name="Table1" displayName="Table1" ref="B4:I70" totalsRowShown="0" headerRowDxfId="64" dataDxfId="62" headerRowBorderDxfId="63" tableBorderDxfId="61">
  <autoFilter ref="B4:I70" xr:uid="{D1F49713-B02E-4DF4-8CB4-AB64E83CC3B1}"/>
  <sortState xmlns:xlrd2="http://schemas.microsoft.com/office/spreadsheetml/2017/richdata2" ref="B5:I70">
    <sortCondition ref="B4:B70"/>
  </sortState>
  <tableColumns count="8">
    <tableColumn id="3" xr3:uid="{1EF48098-71C7-4A30-A296-23DD0579F410}" name="Date" dataDxfId="60"/>
    <tableColumn id="1" xr3:uid="{642B79C2-D673-4166-AC83-DC32ABD32EC3}" name="Address " dataDxfId="59"/>
    <tableColumn id="2" xr3:uid="{213CF40E-274F-448F-A4A0-E6F170AD786A}" name="Floor/Suite" dataDxfId="58"/>
    <tableColumn id="4" xr3:uid="{7EB0DFA6-C7D5-40AD-9BE6-002387F4D475}" name="Potential Tenant" dataDxfId="57"/>
    <tableColumn id="5" xr3:uid="{55BFFAF3-AF20-4C33-8035-96D574C37774}" name="Agent/Broker" dataDxfId="56"/>
    <tableColumn id="6" xr3:uid="{0CEF369C-8C3F-473B-A525-4B2EE50DFFD6}" name="Proposed Terms" dataDxfId="55"/>
    <tableColumn id="7" xr3:uid="{53148802-F145-4608-83DB-17EC9AE5ED5D}" name="Remarks" dataDxfId="54"/>
    <tableColumn id="8" xr3:uid="{3871C526-FD79-42DF-9D00-CEDBB840DA4F}" name="Agent" dataDxfId="5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wb19.co.uk/" TargetMode="External"/><Relationship Id="rId2" Type="http://schemas.openxmlformats.org/officeDocument/2006/relationships/hyperlink" Target="https://app.termgrid.com/" TargetMode="External"/><Relationship Id="rId1" Type="http://schemas.openxmlformats.org/officeDocument/2006/relationships/hyperlink" Target="https://eckuity.com/about-us/" TargetMode="External"/><Relationship Id="rId6" Type="http://schemas.openxmlformats.org/officeDocument/2006/relationships/table" Target="../tables/table1.xml"/><Relationship Id="rId5" Type="http://schemas.openxmlformats.org/officeDocument/2006/relationships/printerSettings" Target="../printerSettings/printerSettings4.bin"/><Relationship Id="rId4" Type="http://schemas.openxmlformats.org/officeDocument/2006/relationships/hyperlink" Target="https://screenscene.i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Ufficio.legal@aravfashion.it.%20Solicitor%20is%20based%20in%20Ita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L47"/>
  <sheetViews>
    <sheetView showGridLines="0" tabSelected="1" view="pageBreakPreview" topLeftCell="A8" zoomScaleNormal="100" zoomScaleSheetLayoutView="100" workbookViewId="0">
      <selection activeCell="C26" sqref="C26"/>
    </sheetView>
  </sheetViews>
  <sheetFormatPr defaultColWidth="11" defaultRowHeight="12.75"/>
  <cols>
    <col min="1" max="1" width="4" style="9" customWidth="1"/>
    <col min="2" max="2" width="7.75" style="9" customWidth="1"/>
    <col min="3" max="4" width="11" style="9"/>
    <col min="5" max="5" width="12.875" style="9" customWidth="1"/>
    <col min="6" max="6" width="11.75" style="9" customWidth="1"/>
    <col min="7" max="7" width="11" style="9"/>
    <col min="8" max="8" width="15.375" style="9" customWidth="1"/>
    <col min="9" max="9" width="4" style="9" customWidth="1"/>
    <col min="10" max="10" width="18" style="9" customWidth="1"/>
    <col min="11" max="12" width="11" style="9"/>
    <col min="13" max="13" width="11" style="9" customWidth="1"/>
    <col min="14" max="14" width="15.125" style="9" bestFit="1" customWidth="1"/>
    <col min="15" max="15" width="11" style="9"/>
    <col min="16" max="16" width="19.375" style="9" customWidth="1"/>
    <col min="17" max="16384" width="11" style="9"/>
  </cols>
  <sheetData>
    <row r="1" spans="1:12" ht="15.75" customHeight="1">
      <c r="A1" s="7"/>
      <c r="B1" s="7"/>
      <c r="C1" s="7"/>
      <c r="D1" s="8" t="s">
        <v>0</v>
      </c>
      <c r="E1" s="8"/>
      <c r="F1" s="8"/>
      <c r="G1" s="8"/>
      <c r="H1" s="7"/>
      <c r="I1" s="7"/>
    </row>
    <row r="2" spans="1:12">
      <c r="A2" s="7"/>
      <c r="B2" s="7"/>
      <c r="C2" s="7"/>
      <c r="D2" s="8"/>
      <c r="E2" s="8"/>
      <c r="F2" s="8"/>
      <c r="G2" s="8"/>
      <c r="H2" s="7"/>
      <c r="I2" s="78"/>
    </row>
    <row r="3" spans="1:12">
      <c r="A3" s="7"/>
      <c r="B3" s="7"/>
      <c r="C3" s="7"/>
      <c r="D3" s="8"/>
      <c r="E3" s="8"/>
      <c r="F3" s="8"/>
      <c r="G3" s="8"/>
      <c r="H3" s="7"/>
      <c r="I3" s="7"/>
    </row>
    <row r="4" spans="1:12" ht="26.25" customHeight="1">
      <c r="A4" s="7"/>
      <c r="B4" s="7"/>
      <c r="C4" s="7"/>
      <c r="D4" s="8"/>
      <c r="E4" s="76"/>
      <c r="F4" s="76"/>
    </row>
    <row r="5" spans="1:12">
      <c r="A5" s="7"/>
      <c r="B5" s="7"/>
      <c r="C5" s="7"/>
      <c r="D5" s="797"/>
      <c r="E5" s="797"/>
      <c r="F5" s="797"/>
      <c r="G5" s="9" t="s">
        <v>77</v>
      </c>
      <c r="H5" s="777">
        <f ca="1">TODAY()</f>
        <v>45968</v>
      </c>
      <c r="I5" s="7"/>
    </row>
    <row r="6" spans="1:12">
      <c r="A6" s="7"/>
      <c r="B6" s="7"/>
      <c r="C6" s="5"/>
      <c r="D6" s="797"/>
      <c r="E6" s="797"/>
      <c r="F6" s="797"/>
      <c r="G6" s="88"/>
      <c r="H6" s="5"/>
      <c r="I6" s="5"/>
      <c r="J6" s="15"/>
    </row>
    <row r="7" spans="1:12">
      <c r="A7" s="7"/>
      <c r="B7" s="7"/>
      <c r="C7" s="5"/>
      <c r="D7" s="5"/>
      <c r="E7" s="5"/>
      <c r="F7" s="5"/>
      <c r="G7" s="5"/>
      <c r="H7" s="36"/>
      <c r="I7" s="5"/>
      <c r="J7" s="15"/>
    </row>
    <row r="8" spans="1:12" ht="24" customHeight="1">
      <c r="A8" s="7"/>
      <c r="B8" s="35" t="s">
        <v>1</v>
      </c>
      <c r="C8" s="791" t="s">
        <v>240</v>
      </c>
      <c r="D8" s="791"/>
      <c r="E8" s="791"/>
      <c r="F8" s="791"/>
      <c r="G8" s="791"/>
      <c r="H8" s="791"/>
      <c r="I8" s="791"/>
      <c r="J8" s="5"/>
    </row>
    <row r="9" spans="1:12" ht="35.25" customHeight="1">
      <c r="A9" s="7"/>
      <c r="B9" s="35" t="s">
        <v>2</v>
      </c>
      <c r="C9" s="791" t="s">
        <v>790</v>
      </c>
      <c r="D9" s="791"/>
      <c r="E9" s="791"/>
      <c r="F9" s="791"/>
      <c r="G9" s="791"/>
      <c r="H9" s="791"/>
      <c r="I9" s="131"/>
      <c r="J9" s="15"/>
    </row>
    <row r="10" spans="1:12" ht="48" customHeight="1">
      <c r="A10" s="7"/>
      <c r="B10" s="35" t="s">
        <v>3</v>
      </c>
      <c r="C10" s="791" t="s">
        <v>1056</v>
      </c>
      <c r="D10" s="791"/>
      <c r="E10" s="791"/>
      <c r="F10" s="791"/>
      <c r="G10" s="791"/>
      <c r="H10" s="791"/>
      <c r="J10" s="15"/>
    </row>
    <row r="11" spans="1:12" ht="6.75" customHeight="1">
      <c r="A11" s="7"/>
      <c r="B11" s="34"/>
      <c r="C11" s="5"/>
      <c r="D11" s="5"/>
      <c r="E11" s="5"/>
      <c r="F11" s="5"/>
      <c r="G11" s="5"/>
      <c r="H11" s="5"/>
      <c r="I11" s="5"/>
      <c r="J11" s="15"/>
    </row>
    <row r="12" spans="1:12">
      <c r="A12" s="7"/>
      <c r="B12" s="35" t="s">
        <v>4</v>
      </c>
      <c r="C12" s="572" t="s">
        <v>5</v>
      </c>
      <c r="D12" s="5"/>
      <c r="E12" s="5"/>
      <c r="F12" s="5"/>
      <c r="G12" s="5"/>
      <c r="H12" s="5"/>
      <c r="I12" s="5"/>
      <c r="J12" s="15"/>
      <c r="L12" s="9" t="s">
        <v>6</v>
      </c>
    </row>
    <row r="13" spans="1:12" ht="21" customHeight="1">
      <c r="A13" s="7"/>
      <c r="B13" s="7"/>
      <c r="C13" s="5"/>
      <c r="D13" s="5"/>
      <c r="E13" s="5"/>
      <c r="F13" s="5"/>
      <c r="G13" s="5"/>
      <c r="H13" s="5"/>
      <c r="I13" s="5"/>
      <c r="J13" s="15"/>
    </row>
    <row r="14" spans="1:12" ht="25.5">
      <c r="A14" s="7"/>
      <c r="B14" s="68" t="s">
        <v>7</v>
      </c>
      <c r="C14" s="90"/>
      <c r="D14" s="90"/>
      <c r="E14" s="90"/>
      <c r="F14" s="90"/>
      <c r="G14" s="69" t="s">
        <v>8</v>
      </c>
      <c r="H14" s="69" t="s">
        <v>9</v>
      </c>
      <c r="I14" s="91"/>
      <c r="J14" s="15"/>
    </row>
    <row r="15" spans="1:12">
      <c r="A15" s="7"/>
      <c r="B15" s="57"/>
      <c r="C15" s="798"/>
      <c r="D15" s="799"/>
      <c r="E15" s="799"/>
      <c r="F15" s="800"/>
      <c r="G15" s="58"/>
      <c r="H15" s="58"/>
      <c r="I15" s="91"/>
      <c r="J15" s="15"/>
    </row>
    <row r="16" spans="1:12" ht="13.5" customHeight="1">
      <c r="A16" s="7"/>
      <c r="B16" s="11" t="s">
        <v>10</v>
      </c>
      <c r="C16" s="792" t="s">
        <v>11</v>
      </c>
      <c r="D16" s="792"/>
      <c r="E16" s="792"/>
      <c r="F16" s="792"/>
      <c r="G16" s="19">
        <f>COUNTIFS('Letting Progress'!$D5:$D72, "NL", 'Letting Progress'!$Q5:$Q72, "No")</f>
        <v>6</v>
      </c>
      <c r="H16" s="18">
        <f>SUMIFS('Letting Progress'!$I5:$I72, 'Letting Progress'!$Q5:$Q72, "no", 'Letting Progress'!$D5:$D72, "NL")</f>
        <v>385381</v>
      </c>
      <c r="I16" s="91"/>
      <c r="J16" s="15"/>
    </row>
    <row r="17" spans="1:10" ht="13.5" customHeight="1">
      <c r="A17" s="7"/>
      <c r="B17" s="17"/>
      <c r="C17" s="61"/>
      <c r="D17" s="61"/>
      <c r="E17" s="61"/>
      <c r="F17" s="61"/>
      <c r="G17" s="17"/>
      <c r="H17" s="18"/>
      <c r="I17" s="91"/>
      <c r="J17" s="15"/>
    </row>
    <row r="18" spans="1:10" ht="13.5" customHeight="1">
      <c r="A18" s="7"/>
      <c r="B18" s="17"/>
      <c r="C18" s="792" t="s">
        <v>92</v>
      </c>
      <c r="D18" s="792"/>
      <c r="E18" s="792"/>
      <c r="F18" s="792"/>
      <c r="G18" s="19">
        <f>COUNTIFS('Letting Progress'!$D5:$D72, "TL", 'Letting Progress'!$Q5:$Q72, "No")</f>
        <v>0</v>
      </c>
      <c r="H18" s="18">
        <f>SUMIFS('Letting Progress'!$I5:$I72, 'Letting Progress'!$Q5:$Q72, "no", 'Letting Progress'!$D5:$D72, "TL")</f>
        <v>0</v>
      </c>
      <c r="I18" s="91"/>
      <c r="J18" s="15"/>
    </row>
    <row r="19" spans="1:10" ht="13.5" customHeight="1">
      <c r="A19" s="7"/>
      <c r="B19" s="17"/>
      <c r="C19" s="61"/>
      <c r="D19" s="61"/>
      <c r="E19" s="61"/>
      <c r="F19" s="61"/>
      <c r="G19" s="17"/>
      <c r="H19" s="18"/>
      <c r="I19" s="91"/>
      <c r="J19" s="15"/>
    </row>
    <row r="20" spans="1:10" ht="13.5" customHeight="1">
      <c r="A20" s="7"/>
      <c r="B20" s="17"/>
      <c r="C20" s="792" t="s">
        <v>1305</v>
      </c>
      <c r="D20" s="792"/>
      <c r="E20" s="793"/>
      <c r="F20" s="792"/>
      <c r="G20" s="19">
        <f>COUNTIFS('Letting Progress'!$D5:$D72, "LR", 'Letting Progress'!$Q5:$Q72, "No")</f>
        <v>6</v>
      </c>
      <c r="H20" s="18">
        <f>SUMIFS('Letting Progress'!$K5:$K72, 'Letting Progress'!$Q5:$Q72, "no", 'Letting Progress'!$D5:$D72, "LR")</f>
        <v>117492</v>
      </c>
      <c r="I20" s="91"/>
      <c r="J20" s="15"/>
    </row>
    <row r="21" spans="1:10" ht="13.5" customHeight="1">
      <c r="A21" s="7"/>
      <c r="B21" s="17"/>
      <c r="C21" s="788" t="s">
        <v>12</v>
      </c>
      <c r="D21" s="789"/>
      <c r="E21" s="789"/>
      <c r="F21" s="790"/>
      <c r="G21" s="20">
        <f>SUM(G16:G20)</f>
        <v>12</v>
      </c>
      <c r="H21" s="21">
        <f>SUM(H16:H20)</f>
        <v>502873</v>
      </c>
      <c r="I21" s="91"/>
      <c r="J21" s="15"/>
    </row>
    <row r="22" spans="1:10" ht="13.5" customHeight="1">
      <c r="A22" s="7"/>
      <c r="B22" s="17"/>
      <c r="C22" s="59"/>
      <c r="D22" s="60"/>
      <c r="E22" s="60"/>
      <c r="F22" s="79"/>
      <c r="G22" s="20"/>
      <c r="H22" s="21"/>
      <c r="I22" s="91"/>
      <c r="J22" s="15"/>
    </row>
    <row r="23" spans="1:10" ht="13.5" customHeight="1">
      <c r="A23" s="7"/>
      <c r="B23" s="17" t="s">
        <v>13</v>
      </c>
      <c r="C23" s="794" t="s">
        <v>14</v>
      </c>
      <c r="D23" s="795"/>
      <c r="E23" s="795"/>
      <c r="F23" s="796"/>
      <c r="G23" s="23">
        <f>SUM(COUNTIF('Letting Progress'!$Q$5:$Q$14,"Yes"))</f>
        <v>1</v>
      </c>
      <c r="H23" s="24">
        <f>SUM(SUMIF('Letting Progress'!$Q$5:$Q$34,"Yes",'Letting Progress'!$K$5:$K$34))</f>
        <v>335016</v>
      </c>
      <c r="I23" s="7"/>
    </row>
    <row r="24" spans="1:10" ht="13.5" customHeight="1">
      <c r="A24" s="7"/>
      <c r="B24" s="17"/>
      <c r="C24" s="25"/>
      <c r="D24" s="25"/>
      <c r="E24" s="25"/>
      <c r="F24" s="25"/>
      <c r="G24" s="22"/>
      <c r="H24" s="26"/>
    </row>
    <row r="25" spans="1:10" s="13" customFormat="1" ht="13.5" customHeight="1">
      <c r="A25" s="7"/>
      <c r="B25" s="17"/>
      <c r="C25" s="792" t="s">
        <v>15</v>
      </c>
      <c r="D25" s="795"/>
      <c r="E25" s="795"/>
      <c r="F25" s="795"/>
      <c r="G25" s="27"/>
      <c r="H25" s="26"/>
      <c r="I25" s="7"/>
    </row>
    <row r="26" spans="1:10" s="13" customFormat="1" ht="13.5" customHeight="1">
      <c r="A26" s="7"/>
      <c r="B26" s="17"/>
      <c r="C26" s="25"/>
      <c r="D26" s="25"/>
      <c r="E26" s="25"/>
      <c r="F26" s="25"/>
      <c r="G26" s="22"/>
      <c r="H26" s="28"/>
      <c r="I26" s="10"/>
    </row>
    <row r="27" spans="1:10" s="13" customFormat="1" ht="13.5" customHeight="1">
      <c r="A27" s="7"/>
      <c r="B27" s="17"/>
      <c r="C27" s="29"/>
      <c r="D27" s="792" t="s">
        <v>16</v>
      </c>
      <c r="E27" s="792"/>
      <c r="F27" s="792"/>
      <c r="G27" s="142">
        <f>MAX(Income!$5:$5)</f>
        <v>41</v>
      </c>
      <c r="H27" s="778">
        <f>Income!AX14</f>
        <v>5510541</v>
      </c>
      <c r="I27" s="10"/>
    </row>
    <row r="28" spans="1:10" s="13" customFormat="1" ht="13.5" customHeight="1">
      <c r="A28" s="7"/>
      <c r="B28" s="17"/>
      <c r="C28" s="61"/>
      <c r="D28" s="792" t="s">
        <v>17</v>
      </c>
      <c r="E28" s="792"/>
      <c r="F28" s="792"/>
      <c r="G28" s="142">
        <f>MAX(Income!$6:$6)</f>
        <v>3</v>
      </c>
      <c r="H28" s="778">
        <f>Income!AX15</f>
        <v>48300</v>
      </c>
      <c r="I28" s="10"/>
    </row>
    <row r="29" spans="1:10" s="13" customFormat="1" ht="13.5" customHeight="1">
      <c r="A29" s="7"/>
      <c r="B29" s="17"/>
      <c r="C29" s="785" t="s">
        <v>18</v>
      </c>
      <c r="D29" s="786"/>
      <c r="E29" s="786"/>
      <c r="F29" s="787"/>
      <c r="G29" s="142">
        <f>MAX(Income!$7:$7)</f>
        <v>24</v>
      </c>
      <c r="H29" s="778">
        <f>Income!AX16</f>
        <v>487239.5</v>
      </c>
      <c r="I29" s="10"/>
    </row>
    <row r="30" spans="1:10" s="13" customFormat="1" ht="13.5" customHeight="1">
      <c r="A30" s="7"/>
      <c r="B30" s="17"/>
      <c r="F30" s="73" t="s">
        <v>19</v>
      </c>
      <c r="G30" s="30">
        <f>SUM(G27:G29)</f>
        <v>68</v>
      </c>
      <c r="H30" s="21">
        <f>SUM(H27:H29)</f>
        <v>6046080.5</v>
      </c>
      <c r="I30" s="10"/>
    </row>
    <row r="31" spans="1:10" s="13" customFormat="1" ht="13.5" customHeight="1">
      <c r="A31" s="7"/>
      <c r="B31" s="17"/>
      <c r="C31" s="59"/>
      <c r="D31" s="60"/>
      <c r="E31" s="60"/>
      <c r="F31" s="60"/>
      <c r="G31" s="30"/>
      <c r="H31" s="21"/>
      <c r="I31" s="10"/>
    </row>
    <row r="32" spans="1:10" s="13" customFormat="1" ht="13.5" customHeight="1">
      <c r="A32" s="7"/>
      <c r="B32" s="17"/>
      <c r="C32" s="16" t="s">
        <v>20</v>
      </c>
      <c r="D32" s="31"/>
      <c r="E32" s="31"/>
      <c r="F32" s="31"/>
      <c r="G32" s="32">
        <f>'Dead Ducks'!$E7</f>
        <v>0</v>
      </c>
      <c r="H32" s="33">
        <f>SUM('Dead Ducks'!$F10:$F12)</f>
        <v>0</v>
      </c>
      <c r="I32" s="10"/>
    </row>
    <row r="33" spans="1:9" ht="13.5" customHeight="1">
      <c r="A33" s="7"/>
      <c r="B33" s="7"/>
      <c r="C33" s="7"/>
      <c r="D33" s="7"/>
      <c r="E33" s="7"/>
      <c r="F33" s="7"/>
      <c r="G33" s="7"/>
      <c r="H33" s="7"/>
      <c r="I33" s="7"/>
    </row>
    <row r="34" spans="1:9" ht="12.95" customHeight="1">
      <c r="A34" s="7"/>
      <c r="B34" s="7"/>
      <c r="C34" s="7"/>
      <c r="D34" s="7"/>
      <c r="E34" s="7"/>
      <c r="F34" s="7"/>
      <c r="G34" s="7"/>
      <c r="H34" s="7"/>
      <c r="I34" s="7"/>
    </row>
    <row r="35" spans="1:9" ht="3" customHeight="1">
      <c r="A35" s="7"/>
      <c r="B35" s="7"/>
      <c r="C35" s="7"/>
      <c r="D35" s="7"/>
      <c r="E35" s="7"/>
      <c r="F35" s="7"/>
      <c r="G35" s="7"/>
      <c r="H35" s="7"/>
      <c r="I35" s="7"/>
    </row>
    <row r="36" spans="1:9" ht="3" customHeight="1">
      <c r="A36" s="7"/>
      <c r="B36" s="7"/>
      <c r="C36" s="7"/>
      <c r="D36" s="7"/>
      <c r="E36" s="7"/>
      <c r="F36" s="7"/>
      <c r="G36" s="7"/>
      <c r="H36" s="7"/>
      <c r="I36" s="7"/>
    </row>
    <row r="37" spans="1:9">
      <c r="A37" s="7"/>
      <c r="B37" s="7"/>
      <c r="D37" s="7"/>
      <c r="E37" s="7"/>
      <c r="F37" s="7"/>
      <c r="G37" s="7"/>
      <c r="H37" s="7"/>
      <c r="I37" s="7"/>
    </row>
    <row r="38" spans="1:9" ht="12.75" customHeight="1">
      <c r="A38" s="7"/>
      <c r="B38" s="7"/>
      <c r="C38" s="5"/>
      <c r="D38" s="7"/>
      <c r="E38" s="7"/>
      <c r="F38" s="7"/>
      <c r="G38" s="7"/>
      <c r="H38" s="7"/>
      <c r="I38" s="7"/>
    </row>
    <row r="39" spans="1:9" ht="12" customHeight="1">
      <c r="A39" s="7"/>
      <c r="B39" s="7"/>
      <c r="C39" s="5"/>
      <c r="D39" s="7"/>
      <c r="E39" s="7"/>
      <c r="F39" s="7"/>
      <c r="G39" s="7"/>
      <c r="H39" s="7"/>
      <c r="I39" s="7"/>
    </row>
    <row r="40" spans="1:9" ht="120.75" customHeight="1">
      <c r="A40" s="7"/>
      <c r="D40" s="7"/>
      <c r="E40" s="7"/>
      <c r="F40" s="7"/>
      <c r="G40" s="7"/>
      <c r="H40" s="7"/>
      <c r="I40" s="7"/>
    </row>
    <row r="41" spans="1:9" ht="20.25" customHeight="1">
      <c r="A41" s="7" t="s">
        <v>156</v>
      </c>
      <c r="C41" s="7"/>
      <c r="D41" s="14"/>
      <c r="E41" s="15"/>
      <c r="F41" s="7"/>
      <c r="G41" s="7"/>
      <c r="H41" s="7"/>
      <c r="I41" s="7"/>
    </row>
    <row r="42" spans="1:9" ht="32.25" customHeight="1">
      <c r="A42" s="7"/>
      <c r="B42" s="7"/>
      <c r="C42" s="7"/>
      <c r="D42" s="7"/>
      <c r="E42" s="7"/>
      <c r="F42" s="7"/>
      <c r="G42" s="7"/>
      <c r="H42" s="7"/>
      <c r="I42" s="7"/>
    </row>
    <row r="43" spans="1:9">
      <c r="A43" s="7"/>
      <c r="C43" s="7"/>
      <c r="D43" s="7"/>
      <c r="E43" s="7"/>
      <c r="F43" s="7"/>
      <c r="G43" s="7"/>
      <c r="H43" s="7"/>
      <c r="I43" s="7"/>
    </row>
    <row r="44" spans="1:9">
      <c r="A44" s="7"/>
      <c r="B44" s="7"/>
      <c r="C44" s="7"/>
      <c r="D44" s="7"/>
      <c r="E44" s="7"/>
      <c r="F44" s="7"/>
      <c r="G44" s="7"/>
      <c r="H44" s="7"/>
      <c r="I44" s="7" t="s">
        <v>21</v>
      </c>
    </row>
    <row r="45" spans="1:9">
      <c r="A45" s="7"/>
      <c r="B45" s="7"/>
      <c r="C45" s="7"/>
      <c r="D45" s="7"/>
      <c r="E45" s="7"/>
      <c r="F45" s="7"/>
      <c r="G45" s="7"/>
      <c r="H45" s="7"/>
      <c r="I45" s="7"/>
    </row>
    <row r="46" spans="1:9">
      <c r="A46" s="7"/>
      <c r="B46" s="7"/>
      <c r="C46" s="7"/>
      <c r="D46" s="7"/>
      <c r="E46" s="7"/>
      <c r="F46" s="7"/>
      <c r="G46" s="7"/>
      <c r="H46" s="7"/>
      <c r="I46" s="7"/>
    </row>
    <row r="47" spans="1:9" ht="15.75" customHeight="1">
      <c r="A47" s="7"/>
      <c r="I47" s="7"/>
    </row>
  </sheetData>
  <sheetProtection selectLockedCells="1"/>
  <mergeCells count="14">
    <mergeCell ref="D5:F6"/>
    <mergeCell ref="D28:F28"/>
    <mergeCell ref="C15:F15"/>
    <mergeCell ref="C10:H10"/>
    <mergeCell ref="C9:H9"/>
    <mergeCell ref="C29:F29"/>
    <mergeCell ref="C21:F21"/>
    <mergeCell ref="C8:I8"/>
    <mergeCell ref="C16:F16"/>
    <mergeCell ref="C20:F20"/>
    <mergeCell ref="C23:F23"/>
    <mergeCell ref="D27:F27"/>
    <mergeCell ref="C25:F25"/>
    <mergeCell ref="C18:F18"/>
  </mergeCells>
  <phoneticPr fontId="19" type="noConversion"/>
  <conditionalFormatting sqref="H16:H20">
    <cfRule type="cellIs" dxfId="52" priority="1" operator="equal">
      <formula>"Yes"</formula>
    </cfRule>
    <cfRule type="expression" dxfId="51" priority="2">
      <formula>"Completed"</formula>
    </cfRule>
  </conditionalFormatting>
  <conditionalFormatting sqref="H24:H26">
    <cfRule type="cellIs" dxfId="50" priority="31" operator="equal">
      <formula>"Yes"</formula>
    </cfRule>
    <cfRule type="expression" dxfId="49" priority="32">
      <formula>"Completed"</formula>
    </cfRule>
  </conditionalFormatting>
  <printOptions horizontalCentered="1" verticalCentered="1"/>
  <pageMargins left="0.70866141732283472" right="0.70866141732283472" top="0.35433070866141736" bottom="0.74803149606299213" header="0.51181102362204722" footer="0.51181102362204722"/>
  <pageSetup paperSize="9" scale="87" orientation="portrait" r:id="rId1"/>
  <ignoredErrors>
    <ignoredError sqref="H5 H27:H29" unlockedFormula="1"/>
  </ignoredErrors>
  <drawing r:id="rId2"/>
  <extLst>
    <ext xmlns:mx="http://schemas.microsoft.com/office/mac/excel/2008/main" uri="{64002731-A6B0-56B0-2670-7721B7C09600}">
      <mx:PLV Mode="1" OnePage="0" WScale="10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S20"/>
  <sheetViews>
    <sheetView view="pageBreakPreview" zoomScale="75" zoomScaleNormal="80" zoomScaleSheetLayoutView="75" zoomScalePageLayoutView="90" workbookViewId="0">
      <pane xSplit="7" ySplit="4" topLeftCell="I8" activePane="bottomRight" state="frozen"/>
      <selection activeCell="C26" sqref="C26"/>
      <selection pane="topRight" activeCell="C26" sqref="C26"/>
      <selection pane="bottomLeft" activeCell="C26" sqref="C26"/>
      <selection pane="bottomRight" activeCell="C26" sqref="C26"/>
    </sheetView>
  </sheetViews>
  <sheetFormatPr defaultColWidth="9" defaultRowHeight="13.5"/>
  <cols>
    <col min="1" max="1" width="13.625" style="689" customWidth="1"/>
    <col min="2" max="2" width="23.75" style="689" customWidth="1"/>
    <col min="3" max="3" width="19" style="690" customWidth="1"/>
    <col min="4" max="4" width="10.875" style="689" customWidth="1"/>
    <col min="5" max="5" width="14.125" style="691" customWidth="1"/>
    <col min="6" max="6" width="12.125" style="689" customWidth="1"/>
    <col min="7" max="7" width="26.375" style="690" customWidth="1"/>
    <col min="8" max="8" width="35.125" style="689" customWidth="1"/>
    <col min="9" max="9" width="12.125" style="690" customWidth="1"/>
    <col min="10" max="10" width="10.75" style="690" customWidth="1"/>
    <col min="11" max="11" width="12.5" style="690" customWidth="1"/>
    <col min="12" max="12" width="12.75" style="690" customWidth="1"/>
    <col min="13" max="14" width="13.125" style="690" customWidth="1"/>
    <col min="15" max="15" width="28.75" style="689" customWidth="1"/>
    <col min="16" max="16" width="11.125" style="689" customWidth="1"/>
    <col min="17" max="17" width="13.625" style="689" customWidth="1"/>
    <col min="18" max="18" width="48.625" style="689" customWidth="1"/>
    <col min="19" max="19" width="9" style="693"/>
    <col min="20" max="16384" width="9" style="689"/>
  </cols>
  <sheetData>
    <row r="1" spans="1:19" ht="26.25" customHeight="1">
      <c r="G1" s="692"/>
      <c r="J1" s="692" t="s">
        <v>22</v>
      </c>
      <c r="K1" s="692"/>
    </row>
    <row r="2" spans="1:19">
      <c r="N2" s="690" t="s">
        <v>241</v>
      </c>
      <c r="O2" s="776">
        <f ca="1">TODAY()</f>
        <v>45968</v>
      </c>
    </row>
    <row r="3" spans="1:19" ht="15.75" customHeight="1"/>
    <row r="4" spans="1:19" ht="45" customHeight="1">
      <c r="A4" s="694" t="s">
        <v>23</v>
      </c>
      <c r="B4" s="695" t="s">
        <v>24</v>
      </c>
      <c r="C4" s="695" t="s">
        <v>218</v>
      </c>
      <c r="D4" s="695" t="s">
        <v>215</v>
      </c>
      <c r="E4" s="696" t="s">
        <v>25</v>
      </c>
      <c r="F4" s="695" t="s">
        <v>26</v>
      </c>
      <c r="G4" s="695" t="s">
        <v>27</v>
      </c>
      <c r="H4" s="695" t="s">
        <v>28</v>
      </c>
      <c r="I4" s="695" t="s">
        <v>84</v>
      </c>
      <c r="J4" s="695" t="s">
        <v>85</v>
      </c>
      <c r="K4" s="695" t="s">
        <v>86</v>
      </c>
      <c r="L4" s="695" t="s">
        <v>48</v>
      </c>
      <c r="M4" s="695" t="s">
        <v>49</v>
      </c>
      <c r="N4" s="697" t="s">
        <v>78</v>
      </c>
      <c r="O4" s="695" t="s">
        <v>29</v>
      </c>
      <c r="P4" s="695" t="s">
        <v>30</v>
      </c>
      <c r="Q4" s="695" t="s">
        <v>31</v>
      </c>
      <c r="R4" s="695" t="s">
        <v>32</v>
      </c>
      <c r="S4" s="695" t="s">
        <v>33</v>
      </c>
    </row>
    <row r="5" spans="1:19" ht="38.25">
      <c r="A5" s="698" cm="1">
        <f t="array" ref="A5:A18">_xlfn.SEQUENCE(COUNTIF(B:B,"?*"))</f>
        <v>1</v>
      </c>
      <c r="B5" s="699" t="s">
        <v>239</v>
      </c>
      <c r="C5" s="700" t="s">
        <v>219</v>
      </c>
      <c r="D5" s="701" t="s">
        <v>216</v>
      </c>
      <c r="E5" s="702">
        <v>747</v>
      </c>
      <c r="F5" s="703">
        <v>45327</v>
      </c>
      <c r="G5" s="704" t="s">
        <v>51</v>
      </c>
      <c r="H5" s="705" t="s">
        <v>52</v>
      </c>
      <c r="I5" s="706">
        <v>45000</v>
      </c>
      <c r="J5" s="707">
        <v>45000</v>
      </c>
      <c r="K5" s="745">
        <f t="shared" ref="K5:K9" si="0">I5-J5</f>
        <v>0</v>
      </c>
      <c r="L5" s="746">
        <f t="shared" ref="L5:L19" si="1">I5/E5</f>
        <v>60.24096385542169</v>
      </c>
      <c r="M5" s="746">
        <f t="shared" ref="M5:M19" si="2">J5/E5</f>
        <v>60.24096385542169</v>
      </c>
      <c r="N5" s="747">
        <f t="shared" ref="N5:N15" si="3">I5/E5</f>
        <v>60.24096385542169</v>
      </c>
      <c r="O5" s="708" t="s">
        <v>53</v>
      </c>
      <c r="P5" s="708" t="s">
        <v>40</v>
      </c>
      <c r="Q5" s="708" t="s">
        <v>37</v>
      </c>
      <c r="R5" s="709" t="s">
        <v>1117</v>
      </c>
      <c r="S5" s="710" t="s">
        <v>103</v>
      </c>
    </row>
    <row r="6" spans="1:19" ht="63.75">
      <c r="A6" s="698">
        <v>2</v>
      </c>
      <c r="B6" s="699" t="s">
        <v>94</v>
      </c>
      <c r="C6" s="700" t="s">
        <v>263</v>
      </c>
      <c r="D6" s="701" t="s">
        <v>216</v>
      </c>
      <c r="E6" s="702">
        <v>2692</v>
      </c>
      <c r="F6" s="703">
        <v>45665</v>
      </c>
      <c r="G6" s="704" t="s">
        <v>95</v>
      </c>
      <c r="H6" s="705" t="s">
        <v>96</v>
      </c>
      <c r="I6" s="706">
        <v>97996</v>
      </c>
      <c r="J6" s="707">
        <v>104500</v>
      </c>
      <c r="K6" s="745">
        <f t="shared" si="0"/>
        <v>-6504</v>
      </c>
      <c r="L6" s="746">
        <f t="shared" si="1"/>
        <v>36.402674591381874</v>
      </c>
      <c r="M6" s="746">
        <f t="shared" si="2"/>
        <v>38.818722139673106</v>
      </c>
      <c r="N6" s="747">
        <f t="shared" si="3"/>
        <v>36.402674591381874</v>
      </c>
      <c r="O6" s="708" t="s">
        <v>98</v>
      </c>
      <c r="P6" s="708" t="s">
        <v>36</v>
      </c>
      <c r="Q6" s="708" t="s">
        <v>37</v>
      </c>
      <c r="R6" s="709" t="s">
        <v>1253</v>
      </c>
      <c r="S6" s="711" t="s">
        <v>103</v>
      </c>
    </row>
    <row r="7" spans="1:19" ht="92.25" customHeight="1">
      <c r="A7" s="698">
        <v>3</v>
      </c>
      <c r="B7" s="699" t="s">
        <v>238</v>
      </c>
      <c r="C7" s="700" t="s">
        <v>219</v>
      </c>
      <c r="D7" s="701" t="s">
        <v>216</v>
      </c>
      <c r="E7" s="780">
        <v>1172</v>
      </c>
      <c r="F7" s="703">
        <v>45665</v>
      </c>
      <c r="G7" s="704" t="s">
        <v>95</v>
      </c>
      <c r="H7" s="705" t="s">
        <v>96</v>
      </c>
      <c r="I7" s="706">
        <v>43393.5</v>
      </c>
      <c r="J7" s="707">
        <v>41000</v>
      </c>
      <c r="K7" s="745">
        <f t="shared" si="0"/>
        <v>2393.5</v>
      </c>
      <c r="L7" s="746">
        <f t="shared" si="1"/>
        <v>37.025170648464162</v>
      </c>
      <c r="M7" s="746">
        <f t="shared" si="2"/>
        <v>34.982935153583618</v>
      </c>
      <c r="N7" s="747">
        <f t="shared" si="3"/>
        <v>37.025170648464162</v>
      </c>
      <c r="O7" s="708" t="s">
        <v>98</v>
      </c>
      <c r="P7" s="708" t="s">
        <v>36</v>
      </c>
      <c r="Q7" s="708" t="s">
        <v>37</v>
      </c>
      <c r="R7" s="709" t="s">
        <v>1217</v>
      </c>
      <c r="S7" s="711" t="s">
        <v>103</v>
      </c>
    </row>
    <row r="8" spans="1:19" ht="38.25">
      <c r="A8" s="698">
        <v>4</v>
      </c>
      <c r="B8" s="699" t="s">
        <v>237</v>
      </c>
      <c r="C8" s="700" t="s">
        <v>220</v>
      </c>
      <c r="D8" s="701" t="s">
        <v>216</v>
      </c>
      <c r="E8" s="702">
        <v>1159</v>
      </c>
      <c r="F8" s="703">
        <v>45665</v>
      </c>
      <c r="G8" s="704" t="s">
        <v>95</v>
      </c>
      <c r="H8" s="705" t="s">
        <v>97</v>
      </c>
      <c r="I8" s="706">
        <v>58610.5</v>
      </c>
      <c r="J8" s="707">
        <v>61575</v>
      </c>
      <c r="K8" s="745">
        <f t="shared" si="0"/>
        <v>-2964.5</v>
      </c>
      <c r="L8" s="746">
        <f t="shared" si="1"/>
        <v>50.569887834339951</v>
      </c>
      <c r="M8" s="746">
        <f t="shared" si="2"/>
        <v>53.127696289905089</v>
      </c>
      <c r="N8" s="747">
        <f t="shared" si="3"/>
        <v>50.569887834339951</v>
      </c>
      <c r="O8" s="708" t="s">
        <v>98</v>
      </c>
      <c r="P8" s="708" t="s">
        <v>36</v>
      </c>
      <c r="Q8" s="708" t="s">
        <v>37</v>
      </c>
      <c r="R8" s="709" t="s">
        <v>1254</v>
      </c>
      <c r="S8" s="711" t="s">
        <v>103</v>
      </c>
    </row>
    <row r="9" spans="1:19" s="713" customFormat="1" ht="89.25">
      <c r="A9" s="698">
        <v>5</v>
      </c>
      <c r="B9" s="699" t="s">
        <v>236</v>
      </c>
      <c r="C9" s="700" t="s">
        <v>219</v>
      </c>
      <c r="D9" s="701" t="s">
        <v>216</v>
      </c>
      <c r="E9" s="702">
        <v>7079</v>
      </c>
      <c r="F9" s="703">
        <v>45642</v>
      </c>
      <c r="G9" s="704" t="s">
        <v>99</v>
      </c>
      <c r="H9" s="705" t="s">
        <v>1155</v>
      </c>
      <c r="I9" s="706">
        <v>499600</v>
      </c>
      <c r="J9" s="707">
        <v>425033</v>
      </c>
      <c r="K9" s="745">
        <f t="shared" si="0"/>
        <v>74567</v>
      </c>
      <c r="L9" s="746">
        <f t="shared" si="1"/>
        <v>70.574939963271646</v>
      </c>
      <c r="M9" s="746">
        <f t="shared" si="2"/>
        <v>60.041390026839949</v>
      </c>
      <c r="N9" s="747">
        <f t="shared" si="3"/>
        <v>70.574939963271646</v>
      </c>
      <c r="O9" s="708" t="s">
        <v>100</v>
      </c>
      <c r="P9" s="708" t="s">
        <v>93</v>
      </c>
      <c r="Q9" s="708" t="s">
        <v>37</v>
      </c>
      <c r="R9" s="709" t="s">
        <v>1255</v>
      </c>
      <c r="S9" s="712" t="s">
        <v>41</v>
      </c>
    </row>
    <row r="10" spans="1:19" ht="42.75" customHeight="1">
      <c r="A10" s="698">
        <v>6</v>
      </c>
      <c r="B10" s="714" t="s">
        <v>183</v>
      </c>
      <c r="C10" s="715" t="s">
        <v>224</v>
      </c>
      <c r="D10" s="716" t="s">
        <v>217</v>
      </c>
      <c r="E10" s="717">
        <v>1255</v>
      </c>
      <c r="F10" s="718">
        <v>45846</v>
      </c>
      <c r="G10" s="700" t="s">
        <v>184</v>
      </c>
      <c r="H10" s="714" t="s">
        <v>152</v>
      </c>
      <c r="I10" s="719">
        <v>74000</v>
      </c>
      <c r="J10" s="720">
        <v>0</v>
      </c>
      <c r="K10" s="745">
        <f t="shared" ref="K10:K19" si="4">I10-J10</f>
        <v>74000</v>
      </c>
      <c r="L10" s="746">
        <f t="shared" si="1"/>
        <v>58.964143426294818</v>
      </c>
      <c r="M10" s="746">
        <f t="shared" si="2"/>
        <v>0</v>
      </c>
      <c r="N10" s="747">
        <f t="shared" si="3"/>
        <v>58.964143426294818</v>
      </c>
      <c r="O10" s="721" t="s">
        <v>35</v>
      </c>
      <c r="P10" s="722" t="s">
        <v>36</v>
      </c>
      <c r="Q10" s="722" t="s">
        <v>37</v>
      </c>
      <c r="R10" s="723" t="s">
        <v>1256</v>
      </c>
      <c r="S10" s="715" t="s">
        <v>1025</v>
      </c>
    </row>
    <row r="11" spans="1:19" ht="102">
      <c r="A11" s="816">
        <v>7</v>
      </c>
      <c r="B11" s="817" t="s">
        <v>177</v>
      </c>
      <c r="C11" s="818" t="s">
        <v>411</v>
      </c>
      <c r="D11" s="819" t="s">
        <v>217</v>
      </c>
      <c r="E11" s="820">
        <v>4653</v>
      </c>
      <c r="F11" s="821">
        <v>45877</v>
      </c>
      <c r="G11" s="822" t="s">
        <v>412</v>
      </c>
      <c r="H11" s="817" t="s">
        <v>120</v>
      </c>
      <c r="I11" s="823">
        <v>335016</v>
      </c>
      <c r="J11" s="824">
        <v>0</v>
      </c>
      <c r="K11" s="364">
        <f t="shared" si="4"/>
        <v>335016</v>
      </c>
      <c r="L11" s="365">
        <f t="shared" si="1"/>
        <v>72</v>
      </c>
      <c r="M11" s="365">
        <f t="shared" si="2"/>
        <v>0</v>
      </c>
      <c r="N11" s="413">
        <f t="shared" si="3"/>
        <v>72</v>
      </c>
      <c r="O11" s="825" t="s">
        <v>35</v>
      </c>
      <c r="P11" s="826" t="s">
        <v>40</v>
      </c>
      <c r="Q11" s="826" t="s">
        <v>441</v>
      </c>
      <c r="R11" s="827" t="s">
        <v>1257</v>
      </c>
      <c r="S11" s="818" t="s">
        <v>1122</v>
      </c>
    </row>
    <row r="12" spans="1:19" ht="63.75">
      <c r="A12" s="698">
        <v>8</v>
      </c>
      <c r="B12" s="714" t="s">
        <v>363</v>
      </c>
      <c r="C12" s="715" t="s">
        <v>426</v>
      </c>
      <c r="D12" s="716" t="s">
        <v>217</v>
      </c>
      <c r="E12" s="717">
        <v>1946</v>
      </c>
      <c r="F12" s="718">
        <v>45869</v>
      </c>
      <c r="G12" s="700" t="s">
        <v>427</v>
      </c>
      <c r="H12" s="714" t="s">
        <v>428</v>
      </c>
      <c r="I12" s="719">
        <v>118500</v>
      </c>
      <c r="J12" s="724">
        <v>0</v>
      </c>
      <c r="K12" s="745">
        <f t="shared" si="4"/>
        <v>118500</v>
      </c>
      <c r="L12" s="746">
        <f t="shared" si="1"/>
        <v>60.894141829393625</v>
      </c>
      <c r="M12" s="746">
        <f t="shared" si="2"/>
        <v>0</v>
      </c>
      <c r="N12" s="747">
        <f t="shared" si="3"/>
        <v>60.894141829393625</v>
      </c>
      <c r="O12" s="721" t="s">
        <v>429</v>
      </c>
      <c r="P12" s="715" t="s">
        <v>36</v>
      </c>
      <c r="Q12" s="722" t="s">
        <v>37</v>
      </c>
      <c r="R12" s="723" t="s">
        <v>1219</v>
      </c>
      <c r="S12" s="715" t="s">
        <v>1122</v>
      </c>
    </row>
    <row r="13" spans="1:19" ht="35.25" customHeight="1">
      <c r="A13" s="725">
        <v>9</v>
      </c>
      <c r="B13" s="726" t="s">
        <v>906</v>
      </c>
      <c r="C13" s="727" t="s">
        <v>178</v>
      </c>
      <c r="D13" s="728" t="s">
        <v>216</v>
      </c>
      <c r="E13" s="729">
        <v>1690</v>
      </c>
      <c r="F13" s="730">
        <v>45905</v>
      </c>
      <c r="G13" s="731" t="s">
        <v>902</v>
      </c>
      <c r="H13" s="732" t="s">
        <v>903</v>
      </c>
      <c r="I13" s="733">
        <v>550000</v>
      </c>
      <c r="J13" s="734">
        <v>500000</v>
      </c>
      <c r="K13" s="745">
        <f t="shared" si="4"/>
        <v>50000</v>
      </c>
      <c r="L13" s="746">
        <f t="shared" si="1"/>
        <v>325.44378698224853</v>
      </c>
      <c r="M13" s="746">
        <f t="shared" si="2"/>
        <v>295.85798816568047</v>
      </c>
      <c r="N13" s="747">
        <f t="shared" si="3"/>
        <v>325.44378698224853</v>
      </c>
      <c r="O13" s="735" t="s">
        <v>35</v>
      </c>
      <c r="P13" s="715" t="s">
        <v>36</v>
      </c>
      <c r="Q13" s="722" t="s">
        <v>37</v>
      </c>
      <c r="R13" s="723" t="s">
        <v>1057</v>
      </c>
      <c r="S13" s="722" t="s">
        <v>41</v>
      </c>
    </row>
    <row r="14" spans="1:19" ht="52.5" customHeight="1">
      <c r="A14" s="725">
        <v>10</v>
      </c>
      <c r="B14" s="726" t="s">
        <v>409</v>
      </c>
      <c r="C14" s="727" t="s">
        <v>285</v>
      </c>
      <c r="D14" s="728" t="s">
        <v>217</v>
      </c>
      <c r="E14" s="729">
        <v>533</v>
      </c>
      <c r="F14" s="730">
        <v>45904</v>
      </c>
      <c r="G14" s="731" t="s">
        <v>912</v>
      </c>
      <c r="H14" s="732" t="s">
        <v>913</v>
      </c>
      <c r="I14" s="733">
        <v>28889</v>
      </c>
      <c r="J14" s="734">
        <v>0</v>
      </c>
      <c r="K14" s="745">
        <f t="shared" si="4"/>
        <v>28889</v>
      </c>
      <c r="L14" s="746">
        <f t="shared" si="1"/>
        <v>54.20075046904315</v>
      </c>
      <c r="M14" s="746">
        <f t="shared" si="2"/>
        <v>0</v>
      </c>
      <c r="N14" s="747">
        <f t="shared" si="3"/>
        <v>54.20075046904315</v>
      </c>
      <c r="O14" s="735" t="s">
        <v>35</v>
      </c>
      <c r="P14" s="715" t="s">
        <v>36</v>
      </c>
      <c r="Q14" s="722" t="s">
        <v>37</v>
      </c>
      <c r="R14" s="723" t="s">
        <v>1081</v>
      </c>
      <c r="S14" s="722" t="s">
        <v>138</v>
      </c>
    </row>
    <row r="15" spans="1:19" ht="54" customHeight="1">
      <c r="A15" s="725">
        <v>11</v>
      </c>
      <c r="B15" s="699" t="s">
        <v>756</v>
      </c>
      <c r="C15" s="715" t="s">
        <v>998</v>
      </c>
      <c r="D15" s="701" t="s">
        <v>217</v>
      </c>
      <c r="E15" s="717">
        <v>1248</v>
      </c>
      <c r="F15" s="718">
        <v>45918</v>
      </c>
      <c r="G15" s="716" t="s">
        <v>999</v>
      </c>
      <c r="H15" s="714" t="s">
        <v>1000</v>
      </c>
      <c r="I15" s="719">
        <v>68640</v>
      </c>
      <c r="J15" s="736">
        <v>0</v>
      </c>
      <c r="K15" s="745">
        <f>I15-J15</f>
        <v>68640</v>
      </c>
      <c r="L15" s="746">
        <f t="shared" si="1"/>
        <v>55</v>
      </c>
      <c r="M15" s="746">
        <f t="shared" si="2"/>
        <v>0</v>
      </c>
      <c r="N15" s="747">
        <f t="shared" si="3"/>
        <v>55</v>
      </c>
      <c r="O15" s="722" t="s">
        <v>35</v>
      </c>
      <c r="P15" s="715" t="s">
        <v>36</v>
      </c>
      <c r="Q15" s="722" t="s">
        <v>37</v>
      </c>
      <c r="R15" s="723" t="s">
        <v>1220</v>
      </c>
      <c r="S15" s="715" t="s">
        <v>1025</v>
      </c>
    </row>
    <row r="16" spans="1:19" ht="36" customHeight="1">
      <c r="A16" s="725">
        <v>12</v>
      </c>
      <c r="B16" s="737" t="s">
        <v>1026</v>
      </c>
      <c r="C16" s="738" t="s">
        <v>1027</v>
      </c>
      <c r="D16" s="738" t="s">
        <v>217</v>
      </c>
      <c r="E16" s="737">
        <v>60</v>
      </c>
      <c r="F16" s="739">
        <v>45916</v>
      </c>
      <c r="G16" s="740" t="s">
        <v>1028</v>
      </c>
      <c r="H16" s="737" t="s">
        <v>1029</v>
      </c>
      <c r="I16" s="741">
        <v>13500</v>
      </c>
      <c r="J16" s="741">
        <v>0</v>
      </c>
      <c r="K16" s="748">
        <f t="shared" si="4"/>
        <v>13500</v>
      </c>
      <c r="L16" s="749">
        <f t="shared" si="1"/>
        <v>225</v>
      </c>
      <c r="M16" s="746">
        <f t="shared" si="2"/>
        <v>0</v>
      </c>
      <c r="N16" s="747">
        <f>J16/E16</f>
        <v>0</v>
      </c>
      <c r="O16" s="738" t="s">
        <v>1030</v>
      </c>
      <c r="P16" s="738" t="s">
        <v>36</v>
      </c>
      <c r="Q16" s="738" t="s">
        <v>37</v>
      </c>
      <c r="R16" s="742" t="s">
        <v>1121</v>
      </c>
      <c r="S16" s="738" t="s">
        <v>138</v>
      </c>
    </row>
    <row r="17" spans="1:19" ht="36" customHeight="1">
      <c r="A17" s="698">
        <v>13</v>
      </c>
      <c r="B17" s="699" t="s">
        <v>118</v>
      </c>
      <c r="C17" s="715" t="s">
        <v>165</v>
      </c>
      <c r="D17" s="701" t="s">
        <v>217</v>
      </c>
      <c r="E17" s="717">
        <v>1129</v>
      </c>
      <c r="F17" s="718">
        <v>45954</v>
      </c>
      <c r="G17" s="716" t="s">
        <v>1200</v>
      </c>
      <c r="H17" s="714" t="s">
        <v>1201</v>
      </c>
      <c r="I17" s="719">
        <v>81852</v>
      </c>
      <c r="J17" s="736">
        <v>0</v>
      </c>
      <c r="K17" s="745">
        <f t="shared" si="4"/>
        <v>81852</v>
      </c>
      <c r="L17" s="746">
        <f t="shared" si="1"/>
        <v>72.499557130203726</v>
      </c>
      <c r="M17" s="746">
        <f t="shared" si="2"/>
        <v>0</v>
      </c>
      <c r="N17" s="747">
        <v>66.5</v>
      </c>
      <c r="O17" s="722" t="s">
        <v>35</v>
      </c>
      <c r="P17" s="715" t="s">
        <v>36</v>
      </c>
      <c r="Q17" s="722" t="s">
        <v>1202</v>
      </c>
      <c r="R17" s="723" t="s">
        <v>1218</v>
      </c>
      <c r="S17" s="715" t="s">
        <v>138</v>
      </c>
    </row>
    <row r="18" spans="1:19" ht="36" customHeight="1">
      <c r="A18" s="698">
        <v>14</v>
      </c>
      <c r="B18" s="699"/>
      <c r="C18" s="715"/>
      <c r="D18" s="701"/>
      <c r="E18" s="717"/>
      <c r="F18" s="718"/>
      <c r="G18" s="716"/>
      <c r="H18" s="714"/>
      <c r="I18" s="719"/>
      <c r="J18" s="736"/>
      <c r="K18" s="745">
        <f t="shared" si="4"/>
        <v>0</v>
      </c>
      <c r="L18" s="746" t="e">
        <f t="shared" si="1"/>
        <v>#DIV/0!</v>
      </c>
      <c r="M18" s="746" t="e">
        <f t="shared" si="2"/>
        <v>#DIV/0!</v>
      </c>
      <c r="N18" s="747"/>
      <c r="O18" s="722"/>
      <c r="P18" s="715"/>
      <c r="Q18" s="722"/>
      <c r="R18" s="723"/>
      <c r="S18" s="715"/>
    </row>
    <row r="19" spans="1:19" ht="47.25" customHeight="1">
      <c r="A19" s="698"/>
      <c r="B19" s="699"/>
      <c r="C19" s="715"/>
      <c r="D19" s="701"/>
      <c r="E19" s="717"/>
      <c r="F19" s="718"/>
      <c r="G19" s="716"/>
      <c r="H19" s="714"/>
      <c r="I19" s="719"/>
      <c r="J19" s="736">
        <v>0</v>
      </c>
      <c r="K19" s="745">
        <f t="shared" si="4"/>
        <v>0</v>
      </c>
      <c r="L19" s="746" t="e">
        <f t="shared" si="1"/>
        <v>#DIV/0!</v>
      </c>
      <c r="M19" s="746" t="e">
        <f t="shared" si="2"/>
        <v>#DIV/0!</v>
      </c>
      <c r="N19" s="747"/>
      <c r="O19" s="722"/>
      <c r="P19" s="715"/>
      <c r="Q19" s="722"/>
      <c r="R19" s="723"/>
      <c r="S19" s="715"/>
    </row>
    <row r="20" spans="1:19">
      <c r="K20" s="743"/>
      <c r="N20" s="744"/>
    </row>
  </sheetData>
  <sheetProtection selectLockedCells="1"/>
  <autoFilter ref="A4:S19" xr:uid="{00000000-0001-0000-0300-000000000000}"/>
  <phoneticPr fontId="19" type="noConversion"/>
  <conditionalFormatting sqref="J1:K2 H4:S4 A1:E4 G1:G4 N2 Q3:R3 F3:F4">
    <cfRule type="expression" dxfId="48" priority="62">
      <formula>"Completed"</formula>
    </cfRule>
  </conditionalFormatting>
  <conditionalFormatting sqref="K1:K2 K4 K20:K1048576">
    <cfRule type="cellIs" dxfId="47" priority="30" operator="lessThan">
      <formula>0</formula>
    </cfRule>
  </conditionalFormatting>
  <conditionalFormatting sqref="Q5:Q9">
    <cfRule type="cellIs" dxfId="46" priority="16" operator="equal">
      <formula>"Yes"</formula>
    </cfRule>
  </conditionalFormatting>
  <conditionalFormatting sqref="Q10:Q15 O15 O17:O19 Q17:Q19">
    <cfRule type="containsText" dxfId="45" priority="8" operator="containsText" text="Yes">
      <formula>NOT(ISERROR(SEARCH("Yes",O10)))</formula>
    </cfRule>
  </conditionalFormatting>
  <pageMargins left="0.70866141732283472" right="0.62992125984251968" top="0.74803149606299213" bottom="0.74803149606299213" header="0.31496062992125984" footer="0.31496062992125984"/>
  <pageSetup paperSize="9" scale="35" fitToHeight="0" orientation="landscape" r:id="rId1"/>
  <ignoredErrors>
    <ignoredError sqref="O2 K6" unlockedFormula="1"/>
  </ignoredErrors>
  <legacyDrawing r:id="rId2"/>
  <extLst>
    <ext xmlns:mx="http://schemas.microsoft.com/office/mac/excel/2008/main" uri="{64002731-A6B0-56B0-2670-7721B7C09600}">
      <mx:PLV Mode="1"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K30"/>
  <sheetViews>
    <sheetView view="pageBreakPreview" topLeftCell="A6" zoomScale="120" zoomScaleNormal="100" zoomScaleSheetLayoutView="120" zoomScalePageLayoutView="80" workbookViewId="0">
      <pane xSplit="1" ySplit="4" topLeftCell="B10" activePane="bottomRight" state="frozen"/>
      <selection activeCell="C26" sqref="C26"/>
      <selection pane="topRight" activeCell="C26" sqref="C26"/>
      <selection pane="bottomLeft" activeCell="C26" sqref="C26"/>
      <selection pane="bottomRight" activeCell="C26" sqref="C26"/>
    </sheetView>
  </sheetViews>
  <sheetFormatPr defaultColWidth="11" defaultRowHeight="15.75"/>
  <cols>
    <col min="1" max="1" width="2.875" customWidth="1"/>
    <col min="2" max="2" width="4.375" customWidth="1"/>
    <col min="3" max="3" width="23.75" customWidth="1"/>
    <col min="4" max="4" width="16.75" customWidth="1"/>
    <col min="5" max="5" width="12.875" customWidth="1"/>
    <col min="6" max="6" width="15.5" customWidth="1"/>
    <col min="7" max="7" width="16.125" customWidth="1"/>
    <col min="8" max="8" width="25.5" customWidth="1"/>
    <col min="9" max="9" width="8.375" customWidth="1"/>
    <col min="10" max="10" width="18" customWidth="1"/>
    <col min="14" max="14" width="16.75" bestFit="1" customWidth="1"/>
    <col min="16" max="16" width="19.375" customWidth="1"/>
  </cols>
  <sheetData>
    <row r="1" spans="2:10" ht="21">
      <c r="B1" s="40" t="s">
        <v>55</v>
      </c>
      <c r="C1" s="6"/>
      <c r="D1" s="6"/>
      <c r="E1" s="801" t="s">
        <v>22</v>
      </c>
      <c r="F1" s="801"/>
      <c r="G1" s="39"/>
      <c r="H1" s="62"/>
      <c r="I1" s="54"/>
      <c r="J1" s="2"/>
    </row>
    <row r="2" spans="2:10">
      <c r="B2" s="6"/>
      <c r="C2" s="6"/>
      <c r="D2" s="6"/>
      <c r="E2" s="802" t="s">
        <v>56</v>
      </c>
      <c r="F2" s="802"/>
      <c r="G2" s="6"/>
      <c r="H2" s="6"/>
      <c r="I2" s="77"/>
    </row>
    <row r="3" spans="2:10">
      <c r="B3" s="6"/>
      <c r="C3" s="6"/>
      <c r="D3" s="6"/>
      <c r="E3" s="74"/>
      <c r="F3" s="74"/>
      <c r="G3" s="6"/>
      <c r="H3" s="6"/>
      <c r="I3" s="53"/>
    </row>
    <row r="4" spans="2:10">
      <c r="B4" s="6"/>
      <c r="C4" s="6"/>
      <c r="D4" s="6"/>
      <c r="E4" s="6"/>
      <c r="F4" s="6"/>
      <c r="G4" t="s">
        <v>77</v>
      </c>
      <c r="H4" s="75" t="e">
        <f>Summary!#REF!</f>
        <v>#REF!</v>
      </c>
    </row>
    <row r="5" spans="2:10">
      <c r="B5" s="6"/>
      <c r="C5" s="6"/>
      <c r="D5" s="6"/>
      <c r="E5" s="6"/>
      <c r="F5" s="6"/>
      <c r="G5" s="6"/>
      <c r="H5" s="6"/>
    </row>
    <row r="6" spans="2:10">
      <c r="B6" s="6"/>
      <c r="C6" s="80"/>
      <c r="D6" s="80"/>
      <c r="E6" s="80"/>
      <c r="F6" s="80"/>
      <c r="G6" s="80"/>
      <c r="H6" s="80"/>
      <c r="I6" s="81"/>
      <c r="J6" s="81"/>
    </row>
    <row r="7" spans="2:10">
      <c r="B7" s="70" t="s">
        <v>57</v>
      </c>
      <c r="C7" s="82"/>
      <c r="D7" s="82"/>
      <c r="E7" s="82">
        <f>COUNT(F10:F12)</f>
        <v>0</v>
      </c>
      <c r="F7" s="80"/>
      <c r="G7" s="80"/>
      <c r="H7" s="80"/>
      <c r="I7" s="81"/>
      <c r="J7" s="81"/>
    </row>
    <row r="8" spans="2:10">
      <c r="B8" s="6"/>
      <c r="C8" s="80"/>
      <c r="D8" s="80"/>
      <c r="E8" s="80"/>
      <c r="F8" s="80"/>
      <c r="G8" s="80"/>
      <c r="H8" s="83"/>
      <c r="I8" s="94"/>
    </row>
    <row r="9" spans="2:10" ht="20.25" customHeight="1">
      <c r="B9" s="139" t="s">
        <v>58</v>
      </c>
      <c r="C9" s="140" t="s">
        <v>24</v>
      </c>
      <c r="D9" s="140" t="s">
        <v>59</v>
      </c>
      <c r="E9" s="140" t="s">
        <v>28</v>
      </c>
      <c r="F9" s="140" t="s">
        <v>60</v>
      </c>
      <c r="G9" s="140" t="s">
        <v>61</v>
      </c>
      <c r="H9" s="140" t="s">
        <v>62</v>
      </c>
      <c r="I9" s="141" t="s">
        <v>33</v>
      </c>
    </row>
    <row r="10" spans="2:10" ht="98.25" customHeight="1">
      <c r="B10" s="67">
        <v>1</v>
      </c>
      <c r="C10" s="89"/>
      <c r="D10" s="132"/>
      <c r="E10" s="133"/>
      <c r="F10" s="134"/>
      <c r="G10" s="135"/>
      <c r="H10" s="136"/>
      <c r="I10" s="137"/>
    </row>
    <row r="11" spans="2:10" s="4" customFormat="1" ht="42" customHeight="1">
      <c r="B11" s="66">
        <v>2</v>
      </c>
      <c r="C11" s="50"/>
      <c r="D11" s="92"/>
      <c r="E11" s="50"/>
      <c r="F11" s="51"/>
      <c r="G11" s="52"/>
      <c r="H11" s="50"/>
      <c r="I11" s="95"/>
    </row>
    <row r="12" spans="2:10" s="4" customFormat="1" ht="42" customHeight="1">
      <c r="B12" s="66">
        <v>3</v>
      </c>
      <c r="C12" s="41"/>
      <c r="D12" s="41"/>
      <c r="E12" s="41"/>
      <c r="F12" s="42"/>
      <c r="G12" s="42"/>
      <c r="H12" s="41"/>
      <c r="I12" s="55"/>
      <c r="J12" s="3"/>
    </row>
    <row r="13" spans="2:10" ht="57" customHeight="1">
      <c r="B13" s="43"/>
      <c r="C13" s="15"/>
      <c r="D13" s="15"/>
      <c r="E13" s="15"/>
      <c r="F13" s="84"/>
      <c r="G13" s="84"/>
      <c r="H13" s="84"/>
      <c r="I13" s="96"/>
      <c r="J13" s="85"/>
    </row>
    <row r="14" spans="2:10">
      <c r="B14" s="1"/>
      <c r="C14" s="86"/>
      <c r="D14" s="86"/>
      <c r="E14" s="86"/>
      <c r="F14" s="87"/>
      <c r="G14" s="87"/>
      <c r="H14" s="85"/>
      <c r="I14" s="85"/>
      <c r="J14" s="85"/>
    </row>
    <row r="15" spans="2:10">
      <c r="B15" s="803" t="s">
        <v>54</v>
      </c>
      <c r="C15" s="804"/>
      <c r="D15" s="804"/>
      <c r="E15" s="804"/>
      <c r="F15" s="804"/>
      <c r="G15" s="804"/>
      <c r="H15" s="804"/>
      <c r="I15" s="85"/>
      <c r="J15" s="85"/>
    </row>
    <row r="16" spans="2:10">
      <c r="C16" s="81"/>
      <c r="D16" s="81"/>
      <c r="E16" s="81"/>
      <c r="F16" s="81"/>
      <c r="G16" s="81"/>
      <c r="H16" s="81"/>
      <c r="I16" s="81"/>
      <c r="J16" s="81"/>
    </row>
    <row r="17" spans="2:11">
      <c r="C17" s="81"/>
      <c r="D17" s="81"/>
      <c r="E17" s="81"/>
      <c r="F17" s="81"/>
      <c r="G17" s="81"/>
      <c r="H17" s="81"/>
      <c r="I17" s="81"/>
      <c r="J17" s="81"/>
    </row>
    <row r="18" spans="2:11">
      <c r="C18" s="81"/>
      <c r="D18" s="81"/>
      <c r="E18" s="81"/>
      <c r="F18" s="81"/>
      <c r="G18" s="81"/>
      <c r="H18" s="81"/>
      <c r="I18" s="81"/>
      <c r="J18" s="81"/>
    </row>
    <row r="19" spans="2:11">
      <c r="C19" s="81"/>
      <c r="D19" s="81"/>
      <c r="E19" s="81"/>
      <c r="F19" s="81"/>
      <c r="G19" s="81"/>
      <c r="H19" s="81"/>
      <c r="I19" s="81"/>
      <c r="J19" s="81"/>
    </row>
    <row r="24" spans="2:11">
      <c r="C24" s="140" t="s">
        <v>24</v>
      </c>
      <c r="D24" s="140" t="s">
        <v>59</v>
      </c>
      <c r="E24" s="140" t="s">
        <v>28</v>
      </c>
      <c r="F24" s="140" t="s">
        <v>60</v>
      </c>
      <c r="G24" s="140" t="s">
        <v>61</v>
      </c>
      <c r="H24" s="140" t="s">
        <v>62</v>
      </c>
      <c r="I24" s="141" t="s">
        <v>33</v>
      </c>
      <c r="J24" s="81"/>
    </row>
    <row r="25" spans="2:11" ht="51" customHeight="1">
      <c r="B25" s="105"/>
      <c r="C25" s="123" t="s">
        <v>130</v>
      </c>
      <c r="D25" s="126" t="s">
        <v>128</v>
      </c>
      <c r="E25" s="120" t="s">
        <v>129</v>
      </c>
      <c r="F25" s="121">
        <v>55000</v>
      </c>
      <c r="G25" s="117">
        <v>25</v>
      </c>
      <c r="H25" s="122" t="s">
        <v>131</v>
      </c>
      <c r="I25" s="130" t="s">
        <v>38</v>
      </c>
      <c r="J25" s="112"/>
      <c r="K25" s="81"/>
    </row>
    <row r="26" spans="2:11" ht="54" customHeight="1">
      <c r="C26" s="124" t="s">
        <v>125</v>
      </c>
      <c r="D26" s="127" t="s">
        <v>126</v>
      </c>
      <c r="E26" s="110" t="s">
        <v>127</v>
      </c>
      <c r="F26" s="109">
        <v>150000</v>
      </c>
      <c r="G26" s="108">
        <v>45</v>
      </c>
      <c r="H26" s="107" t="s">
        <v>132</v>
      </c>
      <c r="I26" s="106" t="s">
        <v>44</v>
      </c>
      <c r="J26" s="81"/>
    </row>
    <row r="27" spans="2:11" ht="30">
      <c r="C27" s="125" t="s">
        <v>121</v>
      </c>
      <c r="D27" s="128" t="s">
        <v>122</v>
      </c>
      <c r="E27" s="111" t="s">
        <v>123</v>
      </c>
      <c r="F27" s="118">
        <v>135456</v>
      </c>
      <c r="G27" s="119">
        <v>68</v>
      </c>
      <c r="H27" s="107" t="s">
        <v>124</v>
      </c>
      <c r="I27" s="106" t="s">
        <v>44</v>
      </c>
    </row>
    <row r="28" spans="2:11" ht="45">
      <c r="C28" s="113" t="s">
        <v>79</v>
      </c>
      <c r="D28" s="129" t="s">
        <v>80</v>
      </c>
      <c r="E28" s="114" t="s">
        <v>116</v>
      </c>
      <c r="F28" s="115">
        <v>152250</v>
      </c>
      <c r="G28" s="116">
        <v>78.56</v>
      </c>
      <c r="H28" s="107" t="s">
        <v>117</v>
      </c>
      <c r="I28" s="106" t="s">
        <v>44</v>
      </c>
    </row>
    <row r="29" spans="2:11" ht="60">
      <c r="C29" s="89" t="s">
        <v>90</v>
      </c>
      <c r="D29" s="98" t="s">
        <v>104</v>
      </c>
      <c r="E29" s="110" t="s">
        <v>127</v>
      </c>
      <c r="F29" s="93">
        <v>155496</v>
      </c>
      <c r="G29" s="100">
        <v>62</v>
      </c>
      <c r="H29" s="107" t="s">
        <v>137</v>
      </c>
      <c r="I29" s="106" t="s">
        <v>36</v>
      </c>
    </row>
    <row r="30" spans="2:11" ht="45">
      <c r="C30" s="89" t="s">
        <v>157</v>
      </c>
      <c r="D30" s="98" t="s">
        <v>106</v>
      </c>
      <c r="E30" s="89" t="s">
        <v>107</v>
      </c>
      <c r="F30" s="93">
        <v>39387</v>
      </c>
      <c r="G30" s="100">
        <v>57</v>
      </c>
      <c r="H30" s="138" t="s">
        <v>158</v>
      </c>
      <c r="I30" s="106" t="s">
        <v>36</v>
      </c>
    </row>
  </sheetData>
  <mergeCells count="3">
    <mergeCell ref="E1:F1"/>
    <mergeCell ref="E2:F2"/>
    <mergeCell ref="B15:H15"/>
  </mergeCells>
  <phoneticPr fontId="19" type="noConversion"/>
  <pageMargins left="0.62992125984251968" right="0.74803149606299213" top="0.98425196850393704" bottom="0.98425196850393704" header="0.51181102362204722" footer="0.51181102362204722"/>
  <pageSetup paperSize="9" scale="9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EED9-B1DD-4014-A765-B8C36994A00F}">
  <sheetPr>
    <pageSetUpPr fitToPage="1"/>
  </sheetPr>
  <dimension ref="A1:I445"/>
  <sheetViews>
    <sheetView view="pageBreakPreview" topLeftCell="B1" zoomScale="80" zoomScaleNormal="70" zoomScaleSheetLayoutView="80" zoomScalePageLayoutView="70" workbookViewId="0">
      <pane ySplit="4" topLeftCell="A5" activePane="bottomLeft" state="frozen"/>
      <selection activeCell="C26" sqref="C26"/>
      <selection pane="bottomLeft" activeCell="F6" sqref="F6"/>
    </sheetView>
  </sheetViews>
  <sheetFormatPr defaultColWidth="8.875" defaultRowHeight="15"/>
  <cols>
    <col min="1" max="1" width="8.875" style="369" customWidth="1"/>
    <col min="2" max="2" width="13.375" style="475" customWidth="1"/>
    <col min="3" max="3" width="25.875" style="369" customWidth="1"/>
    <col min="4" max="4" width="26.875" style="369" customWidth="1"/>
    <col min="5" max="5" width="34.875" style="475" customWidth="1"/>
    <col min="6" max="6" width="16.75" style="475" customWidth="1"/>
    <col min="7" max="7" width="20.25" style="475" customWidth="1"/>
    <col min="8" max="8" width="127.875" style="369" customWidth="1"/>
    <col min="9" max="9" width="18" style="370" customWidth="1"/>
    <col min="10" max="12" width="8.875" style="369"/>
    <col min="13" max="13" width="17.125" style="369" bestFit="1" customWidth="1"/>
    <col min="14" max="14" width="8.875" style="369"/>
    <col min="15" max="15" width="19.375" style="369" customWidth="1"/>
    <col min="16" max="16384" width="8.875" style="369"/>
  </cols>
  <sheetData>
    <row r="1" spans="1:9" ht="44.25" customHeight="1">
      <c r="A1" s="368"/>
      <c r="B1" s="658"/>
      <c r="C1" s="805" t="s">
        <v>63</v>
      </c>
      <c r="D1" s="805"/>
      <c r="E1" s="805"/>
      <c r="F1" s="805"/>
      <c r="G1" s="805"/>
      <c r="H1" s="805"/>
      <c r="I1" s="805"/>
    </row>
    <row r="2" spans="1:9" ht="26.1" customHeight="1">
      <c r="C2" s="384"/>
      <c r="D2" s="384"/>
      <c r="E2" s="503"/>
      <c r="F2" s="475" t="s">
        <v>77</v>
      </c>
      <c r="G2" s="779">
        <f ca="1">TODAY()</f>
        <v>45968</v>
      </c>
      <c r="I2" s="385"/>
    </row>
    <row r="3" spans="1:9" ht="14.1" customHeight="1">
      <c r="C3" s="384"/>
      <c r="D3" s="384"/>
      <c r="E3" s="503"/>
      <c r="G3" s="493"/>
    </row>
    <row r="4" spans="1:9" ht="30" customHeight="1">
      <c r="A4" s="386" t="s">
        <v>23</v>
      </c>
      <c r="B4" s="476" t="s">
        <v>66</v>
      </c>
      <c r="C4" s="387" t="s">
        <v>64</v>
      </c>
      <c r="D4" s="387" t="s">
        <v>65</v>
      </c>
      <c r="E4" s="476" t="s">
        <v>67</v>
      </c>
      <c r="F4" s="476" t="s">
        <v>68</v>
      </c>
      <c r="G4" s="476" t="s">
        <v>69</v>
      </c>
      <c r="H4" s="387" t="s">
        <v>70</v>
      </c>
      <c r="I4" s="388" t="s">
        <v>71</v>
      </c>
    </row>
    <row r="5" spans="1:9">
      <c r="A5" s="390">
        <v>1</v>
      </c>
      <c r="B5" s="655">
        <v>45964</v>
      </c>
      <c r="C5" s="654" t="s">
        <v>331</v>
      </c>
      <c r="D5" s="568" t="s">
        <v>1268</v>
      </c>
      <c r="E5" s="477" t="s">
        <v>1281</v>
      </c>
      <c r="F5" s="655" t="s">
        <v>42</v>
      </c>
      <c r="G5" s="568" t="s">
        <v>162</v>
      </c>
      <c r="H5" s="568" t="s">
        <v>1277</v>
      </c>
      <c r="I5" s="681" t="s">
        <v>171</v>
      </c>
    </row>
    <row r="6" spans="1:9">
      <c r="A6" s="390">
        <v>2</v>
      </c>
      <c r="B6" s="653">
        <v>45964</v>
      </c>
      <c r="C6" s="372" t="s">
        <v>1271</v>
      </c>
      <c r="D6" s="568" t="s">
        <v>1272</v>
      </c>
      <c r="E6" s="477" t="s">
        <v>1282</v>
      </c>
      <c r="F6" s="655" t="s">
        <v>42</v>
      </c>
      <c r="G6" s="568" t="s">
        <v>162</v>
      </c>
      <c r="H6" s="568" t="s">
        <v>1277</v>
      </c>
      <c r="I6" s="681" t="s">
        <v>171</v>
      </c>
    </row>
    <row r="7" spans="1:9">
      <c r="A7" s="390">
        <v>3</v>
      </c>
      <c r="B7" s="655">
        <v>45964</v>
      </c>
      <c r="C7" s="372" t="s">
        <v>112</v>
      </c>
      <c r="D7" s="372" t="s">
        <v>165</v>
      </c>
      <c r="E7" s="477" t="s">
        <v>1278</v>
      </c>
      <c r="F7" s="477" t="s">
        <v>1068</v>
      </c>
      <c r="G7" s="568" t="s">
        <v>162</v>
      </c>
      <c r="H7" s="688" t="s">
        <v>1279</v>
      </c>
      <c r="I7" s="681" t="s">
        <v>171</v>
      </c>
    </row>
    <row r="8" spans="1:9">
      <c r="A8" s="390">
        <v>4</v>
      </c>
      <c r="B8" s="782">
        <v>45964</v>
      </c>
      <c r="C8" s="687" t="s">
        <v>118</v>
      </c>
      <c r="D8" s="687" t="s">
        <v>165</v>
      </c>
      <c r="E8" s="607" t="s">
        <v>1200</v>
      </c>
      <c r="F8" s="607" t="s">
        <v>89</v>
      </c>
      <c r="G8" s="609" t="s">
        <v>1009</v>
      </c>
      <c r="H8" s="367" t="s">
        <v>1283</v>
      </c>
      <c r="I8" s="681" t="s">
        <v>171</v>
      </c>
    </row>
    <row r="9" spans="1:9">
      <c r="A9" s="390">
        <v>5</v>
      </c>
      <c r="B9" s="655">
        <v>45964</v>
      </c>
      <c r="C9" s="372" t="s">
        <v>1291</v>
      </c>
      <c r="D9" s="372" t="s">
        <v>294</v>
      </c>
      <c r="E9" s="607" t="s">
        <v>1292</v>
      </c>
      <c r="F9" s="477" t="s">
        <v>47</v>
      </c>
      <c r="G9" s="568" t="s">
        <v>162</v>
      </c>
      <c r="H9" s="688" t="s">
        <v>745</v>
      </c>
      <c r="I9" s="681" t="s">
        <v>47</v>
      </c>
    </row>
    <row r="10" spans="1:9">
      <c r="A10" s="389">
        <v>6</v>
      </c>
      <c r="B10" s="782">
        <v>45965</v>
      </c>
      <c r="C10" s="654" t="s">
        <v>1258</v>
      </c>
      <c r="D10" s="568" t="s">
        <v>193</v>
      </c>
      <c r="E10" s="607" t="s">
        <v>1259</v>
      </c>
      <c r="F10" s="653" t="s">
        <v>50</v>
      </c>
      <c r="G10" s="654" t="s">
        <v>162</v>
      </c>
      <c r="H10" s="568" t="s">
        <v>1263</v>
      </c>
      <c r="I10" s="681" t="s">
        <v>176</v>
      </c>
    </row>
    <row r="11" spans="1:9">
      <c r="A11" s="390">
        <v>7</v>
      </c>
      <c r="B11" s="653">
        <v>45965</v>
      </c>
      <c r="C11" s="568" t="s">
        <v>90</v>
      </c>
      <c r="D11" s="568" t="s">
        <v>1260</v>
      </c>
      <c r="E11" s="477" t="s">
        <v>1259</v>
      </c>
      <c r="F11" s="653" t="s">
        <v>50</v>
      </c>
      <c r="G11" s="568" t="s">
        <v>162</v>
      </c>
      <c r="H11" s="568" t="s">
        <v>1261</v>
      </c>
      <c r="I11" s="681" t="s">
        <v>176</v>
      </c>
    </row>
    <row r="12" spans="1:9">
      <c r="A12" s="390">
        <v>8</v>
      </c>
      <c r="B12" s="653">
        <v>45965</v>
      </c>
      <c r="C12" s="496" t="s">
        <v>81</v>
      </c>
      <c r="D12" s="568" t="s">
        <v>1262</v>
      </c>
      <c r="E12" s="477" t="s">
        <v>1259</v>
      </c>
      <c r="F12" s="655" t="s">
        <v>50</v>
      </c>
      <c r="G12" s="568" t="s">
        <v>162</v>
      </c>
      <c r="H12" s="568" t="s">
        <v>1264</v>
      </c>
      <c r="I12" s="681" t="s">
        <v>176</v>
      </c>
    </row>
    <row r="13" spans="1:9">
      <c r="A13" s="390">
        <v>9</v>
      </c>
      <c r="B13" s="655">
        <v>45966</v>
      </c>
      <c r="C13" s="687" t="s">
        <v>943</v>
      </c>
      <c r="D13" s="372" t="s">
        <v>286</v>
      </c>
      <c r="E13" s="477" t="s">
        <v>1293</v>
      </c>
      <c r="F13" s="477" t="s">
        <v>42</v>
      </c>
      <c r="G13" s="568" t="s">
        <v>162</v>
      </c>
      <c r="H13" s="688" t="s">
        <v>1294</v>
      </c>
      <c r="I13" s="681" t="s">
        <v>176</v>
      </c>
    </row>
    <row r="14" spans="1:9">
      <c r="A14" s="390">
        <v>11</v>
      </c>
      <c r="B14" s="655">
        <v>45966</v>
      </c>
      <c r="C14" s="372" t="s">
        <v>90</v>
      </c>
      <c r="D14" s="371" t="s">
        <v>1274</v>
      </c>
      <c r="E14" s="474" t="s">
        <v>1197</v>
      </c>
      <c r="F14" s="686" t="s">
        <v>88</v>
      </c>
      <c r="G14" s="494" t="s">
        <v>1275</v>
      </c>
      <c r="H14" s="784" t="s">
        <v>1276</v>
      </c>
      <c r="I14" s="681" t="s">
        <v>171</v>
      </c>
    </row>
    <row r="15" spans="1:9">
      <c r="A15" s="389">
        <v>12</v>
      </c>
      <c r="B15" s="653">
        <v>45966</v>
      </c>
      <c r="C15" s="372" t="s">
        <v>90</v>
      </c>
      <c r="D15" s="372" t="s">
        <v>193</v>
      </c>
      <c r="E15" s="477" t="s">
        <v>1293</v>
      </c>
      <c r="F15" s="477" t="s">
        <v>42</v>
      </c>
      <c r="G15" s="495" t="s">
        <v>162</v>
      </c>
      <c r="H15" s="367" t="s">
        <v>1295</v>
      </c>
      <c r="I15" s="681" t="s">
        <v>176</v>
      </c>
    </row>
    <row r="16" spans="1:9">
      <c r="A16" s="389"/>
      <c r="B16" s="655">
        <v>45966</v>
      </c>
      <c r="C16" s="372" t="s">
        <v>321</v>
      </c>
      <c r="D16" s="372" t="s">
        <v>191</v>
      </c>
      <c r="E16" s="477" t="s">
        <v>1293</v>
      </c>
      <c r="F16" s="477" t="s">
        <v>42</v>
      </c>
      <c r="G16" s="568" t="s">
        <v>162</v>
      </c>
      <c r="H16" s="367" t="s">
        <v>1296</v>
      </c>
      <c r="I16" s="642" t="s">
        <v>176</v>
      </c>
    </row>
    <row r="17" spans="1:9">
      <c r="A17" s="389"/>
      <c r="B17" s="781">
        <v>45967</v>
      </c>
      <c r="C17" s="477" t="s">
        <v>1265</v>
      </c>
      <c r="D17" s="783" t="s">
        <v>294</v>
      </c>
      <c r="E17" s="477" t="s">
        <v>1266</v>
      </c>
      <c r="F17" s="477" t="s">
        <v>1267</v>
      </c>
      <c r="G17" s="568" t="s">
        <v>162</v>
      </c>
      <c r="H17" s="607" t="s">
        <v>1280</v>
      </c>
      <c r="I17" s="642" t="s">
        <v>171</v>
      </c>
    </row>
    <row r="18" spans="1:9">
      <c r="A18" s="390">
        <v>13</v>
      </c>
      <c r="B18" s="655">
        <v>45967</v>
      </c>
      <c r="C18" s="568" t="s">
        <v>331</v>
      </c>
      <c r="D18" s="568" t="s">
        <v>1268</v>
      </c>
      <c r="E18" s="477" t="s">
        <v>1269</v>
      </c>
      <c r="F18" s="655" t="s">
        <v>42</v>
      </c>
      <c r="G18" s="495" t="s">
        <v>162</v>
      </c>
      <c r="H18" s="609" t="s">
        <v>1270</v>
      </c>
      <c r="I18" s="681" t="s">
        <v>171</v>
      </c>
    </row>
    <row r="19" spans="1:9">
      <c r="A19" s="390">
        <v>14</v>
      </c>
      <c r="B19" s="781">
        <v>45967</v>
      </c>
      <c r="C19" s="654" t="s">
        <v>1271</v>
      </c>
      <c r="D19" s="568" t="s">
        <v>1272</v>
      </c>
      <c r="E19" s="477" t="s">
        <v>1269</v>
      </c>
      <c r="F19" s="655" t="s">
        <v>42</v>
      </c>
      <c r="G19" s="495" t="s">
        <v>162</v>
      </c>
      <c r="H19" s="609" t="s">
        <v>1273</v>
      </c>
      <c r="I19" s="681" t="s">
        <v>171</v>
      </c>
    </row>
    <row r="20" spans="1:9">
      <c r="A20" s="390">
        <v>15</v>
      </c>
      <c r="B20" s="655">
        <v>45967</v>
      </c>
      <c r="C20" s="641" t="s">
        <v>389</v>
      </c>
      <c r="D20" s="372" t="s">
        <v>942</v>
      </c>
      <c r="E20" s="477" t="s">
        <v>399</v>
      </c>
      <c r="F20" s="655" t="s">
        <v>1035</v>
      </c>
      <c r="G20" s="495" t="s">
        <v>162</v>
      </c>
      <c r="H20" s="609" t="s">
        <v>1168</v>
      </c>
      <c r="I20" s="681" t="s">
        <v>1252</v>
      </c>
    </row>
    <row r="21" spans="1:9">
      <c r="A21" s="390">
        <v>16</v>
      </c>
      <c r="B21" s="655">
        <v>45967</v>
      </c>
      <c r="C21" s="641" t="s">
        <v>943</v>
      </c>
      <c r="D21" s="372" t="s">
        <v>1302</v>
      </c>
      <c r="E21" s="477" t="s">
        <v>1246</v>
      </c>
      <c r="F21" s="655" t="s">
        <v>1035</v>
      </c>
      <c r="G21" s="495" t="s">
        <v>162</v>
      </c>
      <c r="H21" s="609" t="s">
        <v>1168</v>
      </c>
      <c r="I21" s="681" t="s">
        <v>1252</v>
      </c>
    </row>
    <row r="22" spans="1:9">
      <c r="A22" s="390">
        <v>17</v>
      </c>
      <c r="B22" s="653">
        <v>45967</v>
      </c>
      <c r="C22" s="372" t="s">
        <v>91</v>
      </c>
      <c r="D22" s="372" t="s">
        <v>191</v>
      </c>
      <c r="E22" s="477" t="s">
        <v>1297</v>
      </c>
      <c r="F22" s="477" t="s">
        <v>42</v>
      </c>
      <c r="G22" s="495" t="s">
        <v>162</v>
      </c>
      <c r="H22" s="367" t="s">
        <v>745</v>
      </c>
      <c r="I22" s="373" t="s">
        <v>176</v>
      </c>
    </row>
    <row r="23" spans="1:9">
      <c r="A23" s="389">
        <v>18</v>
      </c>
      <c r="B23" s="653">
        <v>45967</v>
      </c>
      <c r="C23" s="372" t="s">
        <v>1026</v>
      </c>
      <c r="D23" s="372" t="s">
        <v>286</v>
      </c>
      <c r="E23" s="477" t="s">
        <v>1297</v>
      </c>
      <c r="F23" s="477" t="s">
        <v>42</v>
      </c>
      <c r="G23" s="495" t="s">
        <v>162</v>
      </c>
      <c r="H23" s="367" t="s">
        <v>745</v>
      </c>
      <c r="I23" s="373" t="s">
        <v>176</v>
      </c>
    </row>
    <row r="24" spans="1:9">
      <c r="A24" s="390">
        <v>19</v>
      </c>
      <c r="B24" s="653">
        <v>45967</v>
      </c>
      <c r="C24" s="372" t="s">
        <v>1026</v>
      </c>
      <c r="D24" s="372" t="s">
        <v>191</v>
      </c>
      <c r="E24" s="477" t="s">
        <v>1297</v>
      </c>
      <c r="F24" s="477" t="s">
        <v>42</v>
      </c>
      <c r="G24" s="568" t="s">
        <v>162</v>
      </c>
      <c r="H24" s="367" t="s">
        <v>745</v>
      </c>
      <c r="I24" s="373" t="s">
        <v>176</v>
      </c>
    </row>
    <row r="25" spans="1:9">
      <c r="A25" s="390">
        <v>20</v>
      </c>
      <c r="B25" s="657">
        <v>45967</v>
      </c>
      <c r="C25" s="372" t="s">
        <v>90</v>
      </c>
      <c r="D25" s="372" t="s">
        <v>1260</v>
      </c>
      <c r="E25" s="477" t="s">
        <v>1297</v>
      </c>
      <c r="F25" s="477" t="s">
        <v>42</v>
      </c>
      <c r="G25" s="568" t="s">
        <v>162</v>
      </c>
      <c r="H25" s="367" t="s">
        <v>1298</v>
      </c>
      <c r="I25" s="373" t="s">
        <v>176</v>
      </c>
    </row>
    <row r="26" spans="1:9">
      <c r="A26" s="390">
        <v>21</v>
      </c>
      <c r="B26" s="655">
        <v>45967</v>
      </c>
      <c r="C26" s="372" t="s">
        <v>335</v>
      </c>
      <c r="D26" s="372" t="s">
        <v>294</v>
      </c>
      <c r="E26" s="477" t="s">
        <v>1303</v>
      </c>
      <c r="F26" s="477" t="s">
        <v>47</v>
      </c>
      <c r="G26" s="568" t="s">
        <v>162</v>
      </c>
      <c r="H26" s="367" t="s">
        <v>1168</v>
      </c>
      <c r="I26" s="373" t="s">
        <v>47</v>
      </c>
    </row>
    <row r="27" spans="1:9">
      <c r="A27" s="390">
        <v>22</v>
      </c>
      <c r="B27" s="653">
        <v>45967</v>
      </c>
      <c r="C27" s="372" t="s">
        <v>1047</v>
      </c>
      <c r="D27" s="372" t="s">
        <v>1304</v>
      </c>
      <c r="E27" s="477" t="s">
        <v>1303</v>
      </c>
      <c r="F27" s="477" t="s">
        <v>47</v>
      </c>
      <c r="G27" s="568" t="s">
        <v>162</v>
      </c>
      <c r="H27" s="367" t="s">
        <v>1168</v>
      </c>
      <c r="I27" s="642" t="s">
        <v>47</v>
      </c>
    </row>
    <row r="28" spans="1:9">
      <c r="A28" s="390">
        <v>23</v>
      </c>
      <c r="B28" s="655">
        <v>45968</v>
      </c>
      <c r="C28" s="477" t="s">
        <v>1271</v>
      </c>
      <c r="D28" s="477" t="s">
        <v>1272</v>
      </c>
      <c r="E28" s="477" t="s">
        <v>1197</v>
      </c>
      <c r="F28" s="477" t="s">
        <v>42</v>
      </c>
      <c r="G28" s="568" t="s">
        <v>162</v>
      </c>
      <c r="H28" s="609" t="s">
        <v>1284</v>
      </c>
      <c r="I28" s="642" t="s">
        <v>171</v>
      </c>
    </row>
    <row r="29" spans="1:9">
      <c r="A29" s="389">
        <v>24</v>
      </c>
      <c r="B29" s="655">
        <v>45968</v>
      </c>
      <c r="C29" s="372" t="s">
        <v>1125</v>
      </c>
      <c r="D29" s="568" t="s">
        <v>250</v>
      </c>
      <c r="E29" s="477" t="s">
        <v>1197</v>
      </c>
      <c r="F29" s="477" t="s">
        <v>42</v>
      </c>
      <c r="G29" s="568" t="s">
        <v>162</v>
      </c>
      <c r="H29" s="609" t="s">
        <v>1285</v>
      </c>
      <c r="I29" s="642" t="s">
        <v>171</v>
      </c>
    </row>
    <row r="30" spans="1:9">
      <c r="A30" s="390">
        <v>25</v>
      </c>
      <c r="B30" s="655">
        <v>45968</v>
      </c>
      <c r="C30" s="372" t="s">
        <v>309</v>
      </c>
      <c r="D30" s="372" t="s">
        <v>1288</v>
      </c>
      <c r="E30" s="477" t="s">
        <v>1197</v>
      </c>
      <c r="F30" s="477" t="s">
        <v>42</v>
      </c>
      <c r="G30" s="568" t="s">
        <v>162</v>
      </c>
      <c r="H30" s="609" t="s">
        <v>1285</v>
      </c>
      <c r="I30" s="642" t="s">
        <v>171</v>
      </c>
    </row>
    <row r="31" spans="1:9">
      <c r="A31" s="390">
        <v>26</v>
      </c>
      <c r="B31" s="655">
        <v>45968</v>
      </c>
      <c r="C31" s="372" t="s">
        <v>1193</v>
      </c>
      <c r="D31" s="372" t="s">
        <v>942</v>
      </c>
      <c r="E31" s="477" t="s">
        <v>1197</v>
      </c>
      <c r="F31" s="477" t="s">
        <v>42</v>
      </c>
      <c r="G31" s="568" t="s">
        <v>162</v>
      </c>
      <c r="H31" s="609" t="s">
        <v>1285</v>
      </c>
      <c r="I31" s="642" t="s">
        <v>171</v>
      </c>
    </row>
    <row r="32" spans="1:9">
      <c r="A32" s="390">
        <v>27</v>
      </c>
      <c r="B32" s="655">
        <v>45968</v>
      </c>
      <c r="C32" s="641" t="s">
        <v>541</v>
      </c>
      <c r="D32" s="372" t="s">
        <v>312</v>
      </c>
      <c r="E32" s="477" t="s">
        <v>1286</v>
      </c>
      <c r="F32" s="477" t="s">
        <v>42</v>
      </c>
      <c r="G32" s="568" t="s">
        <v>162</v>
      </c>
      <c r="H32" s="367" t="s">
        <v>1287</v>
      </c>
      <c r="I32" s="642" t="s">
        <v>171</v>
      </c>
    </row>
    <row r="33" spans="1:9">
      <c r="A33" s="390">
        <v>28</v>
      </c>
      <c r="B33" s="655">
        <v>45968</v>
      </c>
      <c r="C33" s="372" t="s">
        <v>400</v>
      </c>
      <c r="D33" s="372" t="s">
        <v>1289</v>
      </c>
      <c r="E33" s="477" t="s">
        <v>1286</v>
      </c>
      <c r="F33" s="477" t="s">
        <v>42</v>
      </c>
      <c r="G33" s="568" t="s">
        <v>162</v>
      </c>
      <c r="H33" s="367" t="s">
        <v>1290</v>
      </c>
      <c r="I33" s="642" t="s">
        <v>171</v>
      </c>
    </row>
    <row r="34" spans="1:9">
      <c r="A34" s="390">
        <v>29</v>
      </c>
      <c r="B34" s="653">
        <v>45968</v>
      </c>
      <c r="C34" s="372" t="s">
        <v>403</v>
      </c>
      <c r="D34" s="372" t="s">
        <v>1299</v>
      </c>
      <c r="E34" s="477" t="s">
        <v>1300</v>
      </c>
      <c r="F34" s="477" t="s">
        <v>42</v>
      </c>
      <c r="G34" s="568" t="s">
        <v>162</v>
      </c>
      <c r="H34" s="367" t="s">
        <v>1168</v>
      </c>
      <c r="I34" s="642" t="s">
        <v>176</v>
      </c>
    </row>
    <row r="35" spans="1:9">
      <c r="A35" s="389">
        <v>30</v>
      </c>
      <c r="B35" s="655">
        <v>45968</v>
      </c>
      <c r="C35" s="372" t="s">
        <v>196</v>
      </c>
      <c r="D35" s="372" t="s">
        <v>1301</v>
      </c>
      <c r="E35" s="477" t="s">
        <v>1300</v>
      </c>
      <c r="F35" s="477" t="s">
        <v>42</v>
      </c>
      <c r="G35" s="568" t="s">
        <v>162</v>
      </c>
      <c r="H35" s="367" t="s">
        <v>1168</v>
      </c>
      <c r="I35" s="642" t="s">
        <v>176</v>
      </c>
    </row>
    <row r="36" spans="1:9">
      <c r="A36" s="390">
        <v>31</v>
      </c>
      <c r="B36" s="654">
        <v>45968</v>
      </c>
      <c r="C36" s="372" t="s">
        <v>90</v>
      </c>
      <c r="D36" s="372" t="s">
        <v>323</v>
      </c>
      <c r="E36" s="477" t="s">
        <v>1300</v>
      </c>
      <c r="F36" s="477" t="s">
        <v>42</v>
      </c>
      <c r="G36" s="568" t="s">
        <v>162</v>
      </c>
      <c r="H36" s="367" t="s">
        <v>1168</v>
      </c>
      <c r="I36" s="642" t="s">
        <v>176</v>
      </c>
    </row>
    <row r="37" spans="1:9">
      <c r="A37" s="390">
        <v>32</v>
      </c>
      <c r="B37" s="653">
        <v>45968</v>
      </c>
      <c r="C37" s="372" t="s">
        <v>742</v>
      </c>
      <c r="D37" s="372" t="s">
        <v>988</v>
      </c>
      <c r="E37" s="477" t="s">
        <v>1300</v>
      </c>
      <c r="F37" s="477" t="s">
        <v>42</v>
      </c>
      <c r="G37" s="568" t="s">
        <v>162</v>
      </c>
      <c r="H37" s="367" t="s">
        <v>1168</v>
      </c>
      <c r="I37" s="642" t="s">
        <v>176</v>
      </c>
    </row>
    <row r="38" spans="1:9">
      <c r="A38" s="390">
        <v>33</v>
      </c>
      <c r="B38" s="659"/>
      <c r="C38" s="372"/>
      <c r="D38" s="372"/>
      <c r="E38" s="568"/>
      <c r="F38" s="568"/>
      <c r="G38" s="568"/>
      <c r="H38" s="367"/>
      <c r="I38" s="373"/>
    </row>
    <row r="39" spans="1:9">
      <c r="A39" s="390">
        <v>34</v>
      </c>
      <c r="B39" s="653"/>
      <c r="C39" s="372"/>
      <c r="D39" s="372"/>
      <c r="E39" s="477"/>
      <c r="F39" s="477"/>
      <c r="G39" s="568"/>
      <c r="H39" s="367"/>
      <c r="I39" s="373"/>
    </row>
    <row r="40" spans="1:9">
      <c r="A40" s="390">
        <v>35</v>
      </c>
      <c r="B40" s="654"/>
      <c r="C40" s="371"/>
      <c r="D40" s="371"/>
      <c r="F40" s="474"/>
      <c r="G40" s="569"/>
      <c r="H40" s="610"/>
      <c r="I40" s="373"/>
    </row>
    <row r="41" spans="1:9">
      <c r="A41" s="389">
        <v>36</v>
      </c>
      <c r="B41" s="655"/>
      <c r="C41" s="372"/>
      <c r="D41" s="372"/>
      <c r="E41" s="372"/>
      <c r="F41" s="477"/>
      <c r="G41" s="495"/>
      <c r="H41" s="367"/>
      <c r="I41" s="373"/>
    </row>
    <row r="42" spans="1:9">
      <c r="A42" s="390">
        <v>37</v>
      </c>
      <c r="B42" s="655"/>
      <c r="C42" s="372"/>
      <c r="D42" s="372"/>
      <c r="E42" s="477"/>
      <c r="F42" s="477"/>
      <c r="G42" s="495"/>
      <c r="H42" s="367"/>
      <c r="I42" s="373"/>
    </row>
    <row r="43" spans="1:9">
      <c r="A43" s="390">
        <v>38</v>
      </c>
      <c r="B43" s="655"/>
      <c r="C43" s="372"/>
      <c r="D43" s="372"/>
      <c r="E43" s="477"/>
      <c r="F43" s="477"/>
      <c r="G43" s="495"/>
      <c r="H43" s="367"/>
      <c r="I43" s="373"/>
    </row>
    <row r="44" spans="1:9">
      <c r="A44" s="390">
        <v>39</v>
      </c>
      <c r="B44" s="655"/>
      <c r="C44" s="371"/>
      <c r="D44" s="371"/>
      <c r="F44" s="474"/>
      <c r="G44" s="569"/>
      <c r="H44" s="610"/>
      <c r="I44" s="373"/>
    </row>
    <row r="45" spans="1:9">
      <c r="A45" s="390">
        <v>40</v>
      </c>
      <c r="B45" s="655"/>
      <c r="C45" s="372"/>
      <c r="D45" s="372"/>
      <c r="E45" s="477"/>
      <c r="F45" s="477"/>
      <c r="G45" s="495"/>
      <c r="H45" s="367"/>
      <c r="I45" s="373"/>
    </row>
    <row r="46" spans="1:9">
      <c r="A46" s="390">
        <v>41</v>
      </c>
      <c r="B46" s="655"/>
      <c r="C46" s="372"/>
      <c r="D46" s="372"/>
      <c r="E46" s="372"/>
      <c r="F46" s="477"/>
      <c r="G46" s="495"/>
      <c r="H46" s="367"/>
      <c r="I46" s="373"/>
    </row>
    <row r="47" spans="1:9">
      <c r="A47" s="389">
        <v>42</v>
      </c>
      <c r="B47" s="655"/>
      <c r="C47" s="372"/>
      <c r="D47" s="372"/>
      <c r="E47" s="477"/>
      <c r="F47" s="477"/>
      <c r="G47" s="495"/>
      <c r="H47" s="367"/>
      <c r="I47" s="373"/>
    </row>
    <row r="48" spans="1:9">
      <c r="A48" s="390">
        <v>43</v>
      </c>
      <c r="B48" s="657"/>
      <c r="C48" s="372"/>
      <c r="D48" s="372"/>
      <c r="E48" s="477"/>
      <c r="F48" s="477"/>
      <c r="G48" s="495"/>
      <c r="H48" s="367"/>
      <c r="I48" s="373"/>
    </row>
    <row r="49" spans="1:9">
      <c r="A49" s="390">
        <v>44</v>
      </c>
      <c r="B49" s="653"/>
      <c r="C49" s="372"/>
      <c r="D49" s="372"/>
      <c r="E49" s="477"/>
      <c r="F49" s="608"/>
      <c r="G49" s="568"/>
      <c r="H49" s="367"/>
      <c r="I49" s="373"/>
    </row>
    <row r="50" spans="1:9">
      <c r="A50" s="390">
        <v>45</v>
      </c>
      <c r="B50" s="655"/>
      <c r="C50" s="372"/>
      <c r="D50" s="372"/>
      <c r="E50" s="607"/>
      <c r="F50" s="477"/>
      <c r="G50" s="568"/>
      <c r="H50" s="367"/>
      <c r="I50" s="373"/>
    </row>
    <row r="51" spans="1:9">
      <c r="A51" s="390">
        <v>46</v>
      </c>
      <c r="B51" s="653"/>
      <c r="C51" s="372"/>
      <c r="D51" s="372"/>
      <c r="E51" s="477"/>
      <c r="F51" s="372"/>
      <c r="G51" s="571"/>
      <c r="H51" s="367"/>
      <c r="I51" s="611"/>
    </row>
    <row r="52" spans="1:9">
      <c r="A52" s="390">
        <v>47</v>
      </c>
      <c r="B52" s="655"/>
      <c r="C52" s="372"/>
      <c r="D52" s="372"/>
      <c r="E52" s="372"/>
      <c r="F52" s="477"/>
      <c r="G52" s="568"/>
      <c r="H52" s="367"/>
      <c r="I52" s="611"/>
    </row>
    <row r="53" spans="1:9">
      <c r="A53" s="389">
        <v>48</v>
      </c>
      <c r="B53" s="653"/>
      <c r="C53" s="372"/>
      <c r="D53" s="372"/>
      <c r="E53" s="477"/>
      <c r="F53" s="477"/>
      <c r="G53" s="495"/>
      <c r="H53" s="367"/>
      <c r="I53" s="373"/>
    </row>
    <row r="54" spans="1:9">
      <c r="A54" s="390">
        <v>49</v>
      </c>
      <c r="B54" s="655"/>
      <c r="C54" s="372"/>
      <c r="D54" s="372"/>
      <c r="E54" s="477"/>
      <c r="F54" s="477"/>
      <c r="G54" s="495"/>
      <c r="H54" s="367"/>
      <c r="I54" s="373"/>
    </row>
    <row r="55" spans="1:9">
      <c r="A55" s="390">
        <v>50</v>
      </c>
      <c r="B55" s="653"/>
      <c r="C55" s="372"/>
      <c r="D55" s="372"/>
      <c r="E55" s="477"/>
      <c r="F55" s="477"/>
      <c r="G55" s="495"/>
      <c r="H55" s="367"/>
      <c r="I55" s="373"/>
    </row>
    <row r="56" spans="1:9">
      <c r="A56" s="390">
        <v>51</v>
      </c>
      <c r="B56" s="655"/>
      <c r="C56" s="372"/>
      <c r="D56" s="372"/>
      <c r="E56" s="477"/>
      <c r="F56" s="477"/>
      <c r="G56" s="495"/>
      <c r="H56" s="367"/>
      <c r="I56" s="373"/>
    </row>
    <row r="57" spans="1:9">
      <c r="A57" s="390">
        <v>52</v>
      </c>
      <c r="B57" s="653"/>
      <c r="C57" s="372"/>
      <c r="D57" s="372"/>
      <c r="E57" s="477"/>
      <c r="F57" s="477"/>
      <c r="G57" s="495"/>
      <c r="H57" s="367"/>
      <c r="I57" s="373"/>
    </row>
    <row r="58" spans="1:9">
      <c r="A58" s="390">
        <v>53</v>
      </c>
      <c r="B58" s="655"/>
      <c r="C58" s="372"/>
      <c r="D58" s="372"/>
      <c r="E58" s="477"/>
      <c r="F58" s="477"/>
      <c r="G58" s="495"/>
      <c r="H58" s="367"/>
      <c r="I58" s="373"/>
    </row>
    <row r="59" spans="1:9">
      <c r="A59" s="389">
        <v>54</v>
      </c>
      <c r="B59" s="653"/>
      <c r="C59" s="372"/>
      <c r="D59" s="372"/>
      <c r="E59" s="477"/>
      <c r="F59" s="477"/>
      <c r="G59" s="495"/>
      <c r="H59" s="367"/>
      <c r="I59" s="373"/>
    </row>
    <row r="60" spans="1:9">
      <c r="A60" s="390">
        <v>55</v>
      </c>
      <c r="B60" s="655"/>
      <c r="C60" s="372"/>
      <c r="D60" s="372"/>
      <c r="E60" s="477"/>
      <c r="F60" s="477"/>
      <c r="G60" s="495"/>
      <c r="H60" s="367"/>
      <c r="I60" s="373"/>
    </row>
    <row r="61" spans="1:9">
      <c r="A61" s="390">
        <v>56</v>
      </c>
      <c r="B61" s="653"/>
      <c r="C61" s="372"/>
      <c r="D61" s="372"/>
      <c r="E61" s="477"/>
      <c r="F61" s="477"/>
      <c r="G61" s="495"/>
      <c r="H61" s="367"/>
      <c r="I61" s="373"/>
    </row>
    <row r="62" spans="1:9">
      <c r="A62" s="390">
        <v>57</v>
      </c>
      <c r="B62" s="655"/>
      <c r="C62" s="372"/>
      <c r="D62" s="372"/>
      <c r="E62" s="477"/>
      <c r="F62" s="477"/>
      <c r="G62" s="495"/>
      <c r="H62" s="367"/>
      <c r="I62" s="373"/>
    </row>
    <row r="63" spans="1:9">
      <c r="A63" s="390">
        <v>58</v>
      </c>
      <c r="B63" s="653"/>
      <c r="C63" s="372"/>
      <c r="D63" s="372"/>
      <c r="E63" s="477"/>
      <c r="F63" s="477"/>
      <c r="G63" s="495"/>
      <c r="H63" s="367"/>
      <c r="I63" s="373"/>
    </row>
    <row r="64" spans="1:9">
      <c r="A64" s="390">
        <v>59</v>
      </c>
      <c r="B64" s="655"/>
      <c r="C64" s="372"/>
      <c r="D64" s="372"/>
      <c r="E64" s="477"/>
      <c r="F64" s="477"/>
      <c r="G64" s="495"/>
      <c r="H64" s="367"/>
      <c r="I64" s="373"/>
    </row>
    <row r="65" spans="1:9">
      <c r="A65" s="389">
        <v>60</v>
      </c>
      <c r="B65" s="653"/>
      <c r="C65" s="372"/>
      <c r="D65" s="372"/>
      <c r="E65" s="477"/>
      <c r="F65" s="477"/>
      <c r="G65" s="495"/>
      <c r="H65" s="367"/>
      <c r="I65" s="373"/>
    </row>
    <row r="66" spans="1:9">
      <c r="A66" s="390">
        <v>61</v>
      </c>
      <c r="B66" s="655"/>
      <c r="C66" s="372"/>
      <c r="D66" s="372"/>
      <c r="E66" s="477"/>
      <c r="F66" s="477"/>
      <c r="G66" s="495"/>
      <c r="H66" s="367"/>
      <c r="I66" s="373"/>
    </row>
    <row r="67" spans="1:9">
      <c r="A67" s="390">
        <v>62</v>
      </c>
      <c r="B67" s="653"/>
      <c r="C67" s="372"/>
      <c r="D67" s="372"/>
      <c r="E67" s="477"/>
      <c r="F67" s="477"/>
      <c r="G67" s="495"/>
      <c r="H67" s="367"/>
      <c r="I67" s="373"/>
    </row>
    <row r="68" spans="1:9">
      <c r="A68" s="390">
        <v>63</v>
      </c>
      <c r="B68" s="655"/>
      <c r="C68" s="372"/>
      <c r="D68" s="372"/>
      <c r="E68" s="477"/>
      <c r="F68" s="477"/>
      <c r="G68" s="495"/>
      <c r="H68" s="367"/>
      <c r="I68" s="373"/>
    </row>
    <row r="69" spans="1:9">
      <c r="A69" s="390">
        <v>64</v>
      </c>
      <c r="B69" s="653"/>
      <c r="C69" s="372"/>
      <c r="D69" s="372"/>
      <c r="E69" s="477"/>
      <c r="F69" s="477"/>
      <c r="G69" s="495"/>
      <c r="H69" s="367"/>
      <c r="I69" s="373"/>
    </row>
    <row r="70" spans="1:9" ht="28.5" customHeight="1">
      <c r="B70" s="655"/>
      <c r="C70" s="374"/>
      <c r="D70" s="374"/>
      <c r="E70" s="478"/>
      <c r="F70" s="478"/>
      <c r="G70" s="496"/>
      <c r="H70" s="815"/>
      <c r="I70" s="375"/>
    </row>
    <row r="71" spans="1:9" ht="24" customHeight="1"/>
    <row r="103" spans="2:9">
      <c r="C103" s="376"/>
      <c r="D103" s="376"/>
      <c r="E103" s="479"/>
      <c r="F103" s="479"/>
      <c r="G103" s="479"/>
      <c r="H103" s="376"/>
      <c r="I103" s="377"/>
    </row>
    <row r="104" spans="2:9">
      <c r="B104" s="660"/>
      <c r="C104" s="441" t="s">
        <v>159</v>
      </c>
      <c r="D104" s="441" t="s">
        <v>160</v>
      </c>
      <c r="E104" s="441" t="s">
        <v>161</v>
      </c>
      <c r="F104" s="441" t="s">
        <v>42</v>
      </c>
      <c r="G104" s="441" t="s">
        <v>162</v>
      </c>
      <c r="H104" s="441" t="s">
        <v>163</v>
      </c>
      <c r="I104" s="442" t="s">
        <v>171</v>
      </c>
    </row>
    <row r="105" spans="2:9">
      <c r="B105" s="660"/>
      <c r="C105" s="441" t="s">
        <v>177</v>
      </c>
      <c r="D105" s="441" t="s">
        <v>178</v>
      </c>
      <c r="E105" s="441" t="s">
        <v>179</v>
      </c>
      <c r="F105" s="441" t="s">
        <v>50</v>
      </c>
      <c r="G105" s="445" t="s">
        <v>162</v>
      </c>
      <c r="H105" s="441" t="s">
        <v>180</v>
      </c>
      <c r="I105" s="442" t="s">
        <v>176</v>
      </c>
    </row>
    <row r="106" spans="2:9">
      <c r="B106" s="660"/>
      <c r="C106" s="443" t="s">
        <v>212</v>
      </c>
      <c r="D106" s="443" t="s">
        <v>181</v>
      </c>
      <c r="E106" s="441" t="s">
        <v>179</v>
      </c>
      <c r="F106" s="441" t="s">
        <v>50</v>
      </c>
      <c r="G106" s="445" t="s">
        <v>162</v>
      </c>
      <c r="H106" s="441" t="s">
        <v>182</v>
      </c>
      <c r="I106" s="442" t="s">
        <v>176</v>
      </c>
    </row>
    <row r="107" spans="2:9">
      <c r="B107" s="660"/>
      <c r="C107" s="441" t="s">
        <v>196</v>
      </c>
      <c r="D107" s="441" t="s">
        <v>191</v>
      </c>
      <c r="E107" s="441" t="s">
        <v>187</v>
      </c>
      <c r="F107" s="441" t="s">
        <v>197</v>
      </c>
      <c r="G107" s="441" t="s">
        <v>162</v>
      </c>
      <c r="H107" s="441" t="s">
        <v>198</v>
      </c>
      <c r="I107" s="442" t="s">
        <v>176</v>
      </c>
    </row>
    <row r="108" spans="2:9">
      <c r="B108" s="660"/>
      <c r="C108" s="443" t="s">
        <v>90</v>
      </c>
      <c r="D108" s="443" t="s">
        <v>193</v>
      </c>
      <c r="E108" s="441" t="s">
        <v>187</v>
      </c>
      <c r="F108" s="441" t="s">
        <v>88</v>
      </c>
      <c r="G108" s="441" t="s">
        <v>162</v>
      </c>
      <c r="H108" s="441" t="s">
        <v>189</v>
      </c>
      <c r="I108" s="442" t="s">
        <v>176</v>
      </c>
    </row>
    <row r="109" spans="2:9">
      <c r="B109" s="660"/>
      <c r="C109" s="441" t="s">
        <v>202</v>
      </c>
      <c r="D109" s="444" t="s">
        <v>203</v>
      </c>
      <c r="E109" s="441" t="s">
        <v>200</v>
      </c>
      <c r="F109" s="441" t="s">
        <v>50</v>
      </c>
      <c r="G109" s="441" t="s">
        <v>162</v>
      </c>
      <c r="H109" s="441" t="s">
        <v>201</v>
      </c>
      <c r="I109" s="442" t="s">
        <v>176</v>
      </c>
    </row>
    <row r="110" spans="2:9">
      <c r="B110" s="660"/>
      <c r="C110" s="443" t="s">
        <v>164</v>
      </c>
      <c r="D110" s="443" t="s">
        <v>165</v>
      </c>
      <c r="E110" s="441" t="s">
        <v>168</v>
      </c>
      <c r="F110" s="441" t="s">
        <v>166</v>
      </c>
      <c r="G110" s="441" t="s">
        <v>162</v>
      </c>
      <c r="H110" s="445" t="s">
        <v>169</v>
      </c>
      <c r="I110" s="442" t="s">
        <v>171</v>
      </c>
    </row>
    <row r="111" spans="2:9">
      <c r="B111" s="660"/>
      <c r="C111" s="443" t="s">
        <v>164</v>
      </c>
      <c r="D111" s="443" t="s">
        <v>165</v>
      </c>
      <c r="E111" s="441" t="s">
        <v>213</v>
      </c>
      <c r="F111" s="441" t="s">
        <v>166</v>
      </c>
      <c r="G111" s="441" t="s">
        <v>162</v>
      </c>
      <c r="H111" s="445" t="s">
        <v>172</v>
      </c>
      <c r="I111" s="442" t="s">
        <v>171</v>
      </c>
    </row>
    <row r="112" spans="2:9">
      <c r="B112" s="660"/>
      <c r="C112" s="441" t="s">
        <v>82</v>
      </c>
      <c r="D112" s="441" t="s">
        <v>175</v>
      </c>
      <c r="E112" s="441" t="s">
        <v>35</v>
      </c>
      <c r="F112" s="441" t="s">
        <v>83</v>
      </c>
      <c r="G112" s="441" t="s">
        <v>162</v>
      </c>
      <c r="H112" s="441" t="s">
        <v>188</v>
      </c>
      <c r="I112" s="442" t="s">
        <v>176</v>
      </c>
    </row>
    <row r="113" spans="2:9">
      <c r="B113" s="660"/>
      <c r="C113" s="441" t="s">
        <v>185</v>
      </c>
      <c r="D113" s="441" t="s">
        <v>175</v>
      </c>
      <c r="E113" s="441" t="s">
        <v>187</v>
      </c>
      <c r="F113" s="441" t="s">
        <v>88</v>
      </c>
      <c r="G113" s="441" t="s">
        <v>162</v>
      </c>
      <c r="H113" s="441" t="s">
        <v>189</v>
      </c>
      <c r="I113" s="442" t="s">
        <v>176</v>
      </c>
    </row>
    <row r="114" spans="2:9">
      <c r="B114" s="660"/>
      <c r="C114" s="446" t="s">
        <v>205</v>
      </c>
      <c r="D114" s="446" t="s">
        <v>206</v>
      </c>
      <c r="E114" s="441" t="s">
        <v>207</v>
      </c>
      <c r="F114" s="441" t="s">
        <v>50</v>
      </c>
      <c r="G114" s="441" t="s">
        <v>162</v>
      </c>
      <c r="H114" s="441" t="s">
        <v>208</v>
      </c>
      <c r="I114" s="442" t="s">
        <v>176</v>
      </c>
    </row>
    <row r="115" spans="2:9" ht="30">
      <c r="B115" s="660"/>
      <c r="C115" s="446" t="s">
        <v>159</v>
      </c>
      <c r="D115" s="441" t="s">
        <v>160</v>
      </c>
      <c r="E115" s="441" t="s">
        <v>167</v>
      </c>
      <c r="F115" s="441" t="s">
        <v>42</v>
      </c>
      <c r="G115" s="441" t="s">
        <v>162</v>
      </c>
      <c r="H115" s="445" t="s">
        <v>173</v>
      </c>
      <c r="I115" s="442" t="s">
        <v>171</v>
      </c>
    </row>
    <row r="116" spans="2:9">
      <c r="B116" s="660"/>
      <c r="C116" s="441" t="s">
        <v>164</v>
      </c>
      <c r="D116" s="441" t="s">
        <v>170</v>
      </c>
      <c r="E116" s="441" t="s">
        <v>35</v>
      </c>
      <c r="F116" s="441" t="s">
        <v>166</v>
      </c>
      <c r="G116" s="445" t="s">
        <v>162</v>
      </c>
      <c r="H116" s="441" t="s">
        <v>174</v>
      </c>
      <c r="I116" s="442" t="s">
        <v>171</v>
      </c>
    </row>
    <row r="117" spans="2:9">
      <c r="B117" s="660"/>
      <c r="C117" s="441" t="s">
        <v>192</v>
      </c>
      <c r="D117" s="441" t="s">
        <v>194</v>
      </c>
      <c r="E117" s="441" t="s">
        <v>187</v>
      </c>
      <c r="F117" s="441" t="s">
        <v>88</v>
      </c>
      <c r="G117" s="441" t="s">
        <v>162</v>
      </c>
      <c r="H117" s="441" t="s">
        <v>195</v>
      </c>
      <c r="I117" s="442" t="s">
        <v>176</v>
      </c>
    </row>
    <row r="118" spans="2:9">
      <c r="B118" s="660"/>
      <c r="C118" s="443" t="s">
        <v>209</v>
      </c>
      <c r="D118" s="443" t="s">
        <v>175</v>
      </c>
      <c r="E118" s="441" t="s">
        <v>210</v>
      </c>
      <c r="F118" s="441" t="s">
        <v>50</v>
      </c>
      <c r="G118" s="441" t="s">
        <v>162</v>
      </c>
      <c r="H118" s="441" t="s">
        <v>211</v>
      </c>
      <c r="I118" s="442" t="s">
        <v>176</v>
      </c>
    </row>
    <row r="119" spans="2:9">
      <c r="B119" s="660"/>
      <c r="C119" s="443" t="s">
        <v>185</v>
      </c>
      <c r="D119" s="443" t="s">
        <v>175</v>
      </c>
      <c r="E119" s="441" t="s">
        <v>187</v>
      </c>
      <c r="F119" s="441" t="s">
        <v>186</v>
      </c>
      <c r="G119" s="441" t="s">
        <v>162</v>
      </c>
      <c r="H119" s="445" t="s">
        <v>189</v>
      </c>
      <c r="I119" s="442" t="s">
        <v>190</v>
      </c>
    </row>
    <row r="120" spans="2:9">
      <c r="B120" s="660"/>
      <c r="C120" s="441" t="s">
        <v>199</v>
      </c>
      <c r="D120" s="441" t="s">
        <v>191</v>
      </c>
      <c r="E120" s="441" t="s">
        <v>200</v>
      </c>
      <c r="F120" s="441" t="s">
        <v>50</v>
      </c>
      <c r="G120" s="441" t="s">
        <v>162</v>
      </c>
      <c r="H120" s="441" t="s">
        <v>204</v>
      </c>
      <c r="I120" s="442" t="s">
        <v>176</v>
      </c>
    </row>
    <row r="121" spans="2:9">
      <c r="B121" s="660"/>
      <c r="C121" s="441" t="s">
        <v>177</v>
      </c>
      <c r="D121" s="441" t="s">
        <v>242</v>
      </c>
      <c r="E121" s="441" t="s">
        <v>243</v>
      </c>
      <c r="F121" s="441" t="s">
        <v>42</v>
      </c>
      <c r="G121" s="441" t="s">
        <v>162</v>
      </c>
      <c r="H121" s="441" t="s">
        <v>244</v>
      </c>
      <c r="I121" s="442" t="s">
        <v>171</v>
      </c>
    </row>
    <row r="122" spans="2:9">
      <c r="B122" s="660"/>
      <c r="C122" s="441" t="s">
        <v>159</v>
      </c>
      <c r="D122" s="441" t="s">
        <v>245</v>
      </c>
      <c r="E122" s="441" t="s">
        <v>246</v>
      </c>
      <c r="F122" s="441" t="s">
        <v>42</v>
      </c>
      <c r="G122" s="441" t="s">
        <v>162</v>
      </c>
      <c r="H122" s="441" t="s">
        <v>247</v>
      </c>
      <c r="I122" s="442" t="s">
        <v>171</v>
      </c>
    </row>
    <row r="123" spans="2:9">
      <c r="B123" s="660"/>
      <c r="C123" s="441" t="s">
        <v>235</v>
      </c>
      <c r="D123" s="441" t="s">
        <v>165</v>
      </c>
      <c r="E123" s="441" t="s">
        <v>246</v>
      </c>
      <c r="F123" s="441" t="s">
        <v>42</v>
      </c>
      <c r="G123" s="441" t="s">
        <v>162</v>
      </c>
      <c r="H123" s="441" t="s">
        <v>247</v>
      </c>
      <c r="I123" s="442" t="s">
        <v>171</v>
      </c>
    </row>
    <row r="124" spans="2:9">
      <c r="B124" s="660"/>
      <c r="C124" s="441" t="s">
        <v>112</v>
      </c>
      <c r="D124" s="447" t="s">
        <v>165</v>
      </c>
      <c r="E124" s="441" t="s">
        <v>248</v>
      </c>
      <c r="F124" s="441" t="s">
        <v>166</v>
      </c>
      <c r="G124" s="441" t="s">
        <v>162</v>
      </c>
      <c r="H124" s="441" t="s">
        <v>249</v>
      </c>
      <c r="I124" s="442" t="s">
        <v>171</v>
      </c>
    </row>
    <row r="125" spans="2:9">
      <c r="B125" s="660"/>
      <c r="C125" s="441" t="s">
        <v>159</v>
      </c>
      <c r="D125" s="441" t="s">
        <v>250</v>
      </c>
      <c r="E125" s="441" t="s">
        <v>251</v>
      </c>
      <c r="F125" s="441" t="s">
        <v>252</v>
      </c>
      <c r="G125" s="441" t="s">
        <v>162</v>
      </c>
      <c r="H125" s="441" t="s">
        <v>253</v>
      </c>
      <c r="I125" s="442" t="s">
        <v>171</v>
      </c>
    </row>
    <row r="126" spans="2:9">
      <c r="B126" s="660"/>
      <c r="C126" s="441" t="s">
        <v>235</v>
      </c>
      <c r="D126" s="441" t="s">
        <v>165</v>
      </c>
      <c r="E126" s="441" t="s">
        <v>254</v>
      </c>
      <c r="F126" s="441" t="s">
        <v>255</v>
      </c>
      <c r="G126" s="441" t="s">
        <v>162</v>
      </c>
      <c r="H126" s="441" t="s">
        <v>256</v>
      </c>
      <c r="I126" s="442" t="s">
        <v>171</v>
      </c>
    </row>
    <row r="127" spans="2:9">
      <c r="B127" s="660"/>
      <c r="C127" s="441" t="s">
        <v>177</v>
      </c>
      <c r="D127" s="441" t="s">
        <v>242</v>
      </c>
      <c r="E127" s="441" t="s">
        <v>257</v>
      </c>
      <c r="F127" s="441" t="s">
        <v>42</v>
      </c>
      <c r="G127" s="445" t="s">
        <v>162</v>
      </c>
      <c r="H127" s="441" t="s">
        <v>258</v>
      </c>
      <c r="I127" s="442" t="s">
        <v>171</v>
      </c>
    </row>
    <row r="128" spans="2:9">
      <c r="B128" s="660"/>
      <c r="C128" s="441" t="s">
        <v>118</v>
      </c>
      <c r="D128" s="441" t="s">
        <v>259</v>
      </c>
      <c r="E128" s="441" t="s">
        <v>260</v>
      </c>
      <c r="F128" s="441" t="s">
        <v>42</v>
      </c>
      <c r="G128" s="441" t="s">
        <v>162</v>
      </c>
      <c r="H128" s="441" t="s">
        <v>261</v>
      </c>
      <c r="I128" s="442" t="s">
        <v>171</v>
      </c>
    </row>
    <row r="129" spans="2:9">
      <c r="B129" s="660"/>
      <c r="C129" s="441" t="s">
        <v>262</v>
      </c>
      <c r="D129" s="441" t="s">
        <v>263</v>
      </c>
      <c r="E129" s="441" t="s">
        <v>264</v>
      </c>
      <c r="F129" s="441" t="s">
        <v>42</v>
      </c>
      <c r="G129" s="445" t="s">
        <v>162</v>
      </c>
      <c r="H129" s="441" t="s">
        <v>265</v>
      </c>
      <c r="I129" s="442" t="s">
        <v>171</v>
      </c>
    </row>
    <row r="130" spans="2:9">
      <c r="B130" s="660"/>
      <c r="C130" s="443" t="s">
        <v>266</v>
      </c>
      <c r="D130" s="443" t="s">
        <v>263</v>
      </c>
      <c r="E130" s="441" t="s">
        <v>264</v>
      </c>
      <c r="F130" s="441" t="s">
        <v>42</v>
      </c>
      <c r="G130" s="445" t="s">
        <v>162</v>
      </c>
      <c r="H130" s="441" t="s">
        <v>267</v>
      </c>
      <c r="I130" s="442" t="s">
        <v>171</v>
      </c>
    </row>
    <row r="131" spans="2:9">
      <c r="B131" s="660"/>
      <c r="C131" s="443" t="s">
        <v>268</v>
      </c>
      <c r="D131" s="443" t="s">
        <v>269</v>
      </c>
      <c r="E131" s="441" t="s">
        <v>270</v>
      </c>
      <c r="F131" s="441" t="s">
        <v>42</v>
      </c>
      <c r="G131" s="441" t="s">
        <v>162</v>
      </c>
      <c r="H131" s="445" t="s">
        <v>271</v>
      </c>
      <c r="I131" s="442" t="s">
        <v>171</v>
      </c>
    </row>
    <row r="132" spans="2:9">
      <c r="B132" s="660"/>
      <c r="C132" s="443" t="s">
        <v>272</v>
      </c>
      <c r="D132" s="443" t="s">
        <v>242</v>
      </c>
      <c r="E132" s="441" t="s">
        <v>270</v>
      </c>
      <c r="F132" s="441" t="s">
        <v>42</v>
      </c>
      <c r="G132" s="441" t="s">
        <v>162</v>
      </c>
      <c r="H132" s="445" t="s">
        <v>271</v>
      </c>
      <c r="I132" s="442" t="s">
        <v>171</v>
      </c>
    </row>
    <row r="133" spans="2:9">
      <c r="B133" s="660"/>
      <c r="C133" s="443" t="s">
        <v>273</v>
      </c>
      <c r="D133" s="443" t="s">
        <v>165</v>
      </c>
      <c r="E133" s="441" t="s">
        <v>270</v>
      </c>
      <c r="F133" s="441" t="s">
        <v>42</v>
      </c>
      <c r="G133" s="441" t="s">
        <v>162</v>
      </c>
      <c r="H133" s="445" t="s">
        <v>271</v>
      </c>
      <c r="I133" s="442" t="s">
        <v>171</v>
      </c>
    </row>
    <row r="134" spans="2:9">
      <c r="B134" s="660"/>
      <c r="C134" s="443" t="s">
        <v>177</v>
      </c>
      <c r="D134" s="443" t="s">
        <v>242</v>
      </c>
      <c r="E134" s="441" t="s">
        <v>257</v>
      </c>
      <c r="F134" s="441" t="s">
        <v>42</v>
      </c>
      <c r="G134" s="441" t="s">
        <v>162</v>
      </c>
      <c r="H134" s="445" t="s">
        <v>274</v>
      </c>
      <c r="I134" s="442" t="s">
        <v>171</v>
      </c>
    </row>
    <row r="135" spans="2:9">
      <c r="B135" s="660"/>
      <c r="C135" s="441" t="s">
        <v>275</v>
      </c>
      <c r="D135" s="441" t="s">
        <v>276</v>
      </c>
      <c r="E135" s="441" t="s">
        <v>277</v>
      </c>
      <c r="F135" s="441" t="s">
        <v>42</v>
      </c>
      <c r="G135" s="441" t="s">
        <v>278</v>
      </c>
      <c r="H135" s="441" t="s">
        <v>279</v>
      </c>
      <c r="I135" s="442" t="s">
        <v>171</v>
      </c>
    </row>
    <row r="136" spans="2:9">
      <c r="B136" s="660"/>
      <c r="C136" s="441" t="s">
        <v>81</v>
      </c>
      <c r="D136" s="441" t="s">
        <v>280</v>
      </c>
      <c r="E136" s="441" t="s">
        <v>281</v>
      </c>
      <c r="F136" s="441" t="s">
        <v>89</v>
      </c>
      <c r="G136" s="441" t="s">
        <v>162</v>
      </c>
      <c r="H136" s="441" t="s">
        <v>282</v>
      </c>
      <c r="I136" s="442" t="s">
        <v>190</v>
      </c>
    </row>
    <row r="137" spans="2:9">
      <c r="B137" s="660"/>
      <c r="C137" s="441" t="s">
        <v>196</v>
      </c>
      <c r="D137" s="441" t="s">
        <v>283</v>
      </c>
      <c r="E137" s="441" t="s">
        <v>281</v>
      </c>
      <c r="F137" s="441" t="s">
        <v>89</v>
      </c>
      <c r="G137" s="441" t="s">
        <v>162</v>
      </c>
      <c r="H137" s="441" t="s">
        <v>282</v>
      </c>
      <c r="I137" s="442" t="s">
        <v>190</v>
      </c>
    </row>
    <row r="138" spans="2:9">
      <c r="B138" s="660"/>
      <c r="C138" s="441" t="s">
        <v>284</v>
      </c>
      <c r="D138" s="441" t="s">
        <v>285</v>
      </c>
      <c r="E138" s="441" t="s">
        <v>281</v>
      </c>
      <c r="F138" s="441" t="s">
        <v>89</v>
      </c>
      <c r="G138" s="441" t="s">
        <v>162</v>
      </c>
      <c r="H138" s="441" t="s">
        <v>282</v>
      </c>
      <c r="I138" s="442" t="s">
        <v>190</v>
      </c>
    </row>
    <row r="139" spans="2:9">
      <c r="B139" s="660"/>
      <c r="C139" s="441" t="s">
        <v>150</v>
      </c>
      <c r="D139" s="441" t="s">
        <v>286</v>
      </c>
      <c r="E139" s="441" t="s">
        <v>281</v>
      </c>
      <c r="F139" s="441" t="s">
        <v>89</v>
      </c>
      <c r="G139" s="441" t="s">
        <v>162</v>
      </c>
      <c r="H139" s="441" t="s">
        <v>287</v>
      </c>
      <c r="I139" s="442" t="s">
        <v>190</v>
      </c>
    </row>
    <row r="140" spans="2:9">
      <c r="B140" s="660"/>
      <c r="C140" s="441" t="s">
        <v>43</v>
      </c>
      <c r="D140" s="441" t="s">
        <v>280</v>
      </c>
      <c r="E140" s="441" t="s">
        <v>281</v>
      </c>
      <c r="F140" s="441" t="s">
        <v>88</v>
      </c>
      <c r="G140" s="441" t="s">
        <v>162</v>
      </c>
      <c r="H140" s="441" t="s">
        <v>282</v>
      </c>
      <c r="I140" s="442" t="s">
        <v>190</v>
      </c>
    </row>
    <row r="141" spans="2:9" ht="30">
      <c r="B141" s="660"/>
      <c r="C141" s="441" t="s">
        <v>159</v>
      </c>
      <c r="D141" s="441" t="s">
        <v>288</v>
      </c>
      <c r="E141" s="441" t="s">
        <v>289</v>
      </c>
      <c r="F141" s="441" t="s">
        <v>290</v>
      </c>
      <c r="G141" s="445" t="s">
        <v>291</v>
      </c>
      <c r="H141" s="441" t="s">
        <v>292</v>
      </c>
      <c r="I141" s="442" t="s">
        <v>171</v>
      </c>
    </row>
    <row r="142" spans="2:9">
      <c r="B142" s="660"/>
      <c r="C142" s="441" t="s">
        <v>293</v>
      </c>
      <c r="D142" s="441" t="s">
        <v>294</v>
      </c>
      <c r="E142" s="441" t="s">
        <v>295</v>
      </c>
      <c r="F142" s="441" t="s">
        <v>47</v>
      </c>
      <c r="G142" s="441" t="s">
        <v>162</v>
      </c>
      <c r="H142" s="441" t="s">
        <v>296</v>
      </c>
      <c r="I142" s="442" t="s">
        <v>171</v>
      </c>
    </row>
    <row r="143" spans="2:9">
      <c r="B143" s="660"/>
      <c r="C143" s="441" t="s">
        <v>293</v>
      </c>
      <c r="D143" s="441" t="s">
        <v>294</v>
      </c>
      <c r="E143" s="441" t="s">
        <v>297</v>
      </c>
      <c r="F143" s="441" t="s">
        <v>47</v>
      </c>
      <c r="G143" s="445" t="s">
        <v>162</v>
      </c>
      <c r="H143" s="441" t="s">
        <v>298</v>
      </c>
      <c r="I143" s="442" t="s">
        <v>171</v>
      </c>
    </row>
    <row r="144" spans="2:9">
      <c r="B144" s="660"/>
      <c r="C144" s="443" t="s">
        <v>299</v>
      </c>
      <c r="D144" s="443" t="s">
        <v>300</v>
      </c>
      <c r="E144" s="441" t="s">
        <v>301</v>
      </c>
      <c r="F144" s="441" t="s">
        <v>290</v>
      </c>
      <c r="G144" s="441" t="s">
        <v>162</v>
      </c>
      <c r="H144" s="441" t="s">
        <v>298</v>
      </c>
      <c r="I144" s="442" t="s">
        <v>171</v>
      </c>
    </row>
    <row r="145" spans="2:9">
      <c r="B145" s="660"/>
      <c r="C145" s="443" t="s">
        <v>118</v>
      </c>
      <c r="D145" s="443" t="s">
        <v>302</v>
      </c>
      <c r="E145" s="441" t="s">
        <v>303</v>
      </c>
      <c r="F145" s="441" t="s">
        <v>42</v>
      </c>
      <c r="G145" s="441" t="s">
        <v>162</v>
      </c>
      <c r="H145" s="445" t="s">
        <v>304</v>
      </c>
      <c r="I145" s="442" t="s">
        <v>305</v>
      </c>
    </row>
    <row r="146" spans="2:9">
      <c r="B146" s="660"/>
      <c r="C146" s="443" t="s">
        <v>306</v>
      </c>
      <c r="D146" s="443" t="s">
        <v>250</v>
      </c>
      <c r="E146" s="441" t="s">
        <v>307</v>
      </c>
      <c r="F146" s="441" t="s">
        <v>42</v>
      </c>
      <c r="G146" s="441" t="s">
        <v>162</v>
      </c>
      <c r="H146" s="445" t="s">
        <v>308</v>
      </c>
      <c r="I146" s="442" t="s">
        <v>305</v>
      </c>
    </row>
    <row r="147" spans="2:9">
      <c r="B147" s="660"/>
      <c r="C147" s="443" t="s">
        <v>309</v>
      </c>
      <c r="D147" s="443" t="s">
        <v>310</v>
      </c>
      <c r="E147" s="441" t="s">
        <v>307</v>
      </c>
      <c r="F147" s="441" t="s">
        <v>42</v>
      </c>
      <c r="G147" s="441" t="s">
        <v>162</v>
      </c>
      <c r="H147" s="445" t="s">
        <v>308</v>
      </c>
      <c r="I147" s="442" t="s">
        <v>305</v>
      </c>
    </row>
    <row r="148" spans="2:9">
      <c r="B148" s="660"/>
      <c r="C148" s="443" t="s">
        <v>311</v>
      </c>
      <c r="D148" s="443" t="s">
        <v>312</v>
      </c>
      <c r="E148" s="441" t="s">
        <v>307</v>
      </c>
      <c r="F148" s="441" t="s">
        <v>42</v>
      </c>
      <c r="G148" s="441" t="s">
        <v>162</v>
      </c>
      <c r="H148" s="445" t="s">
        <v>308</v>
      </c>
      <c r="I148" s="442" t="s">
        <v>305</v>
      </c>
    </row>
    <row r="149" spans="2:9">
      <c r="B149" s="660"/>
      <c r="C149" s="443" t="s">
        <v>43</v>
      </c>
      <c r="D149" s="443" t="s">
        <v>313</v>
      </c>
      <c r="E149" s="441" t="s">
        <v>307</v>
      </c>
      <c r="F149" s="441" t="s">
        <v>42</v>
      </c>
      <c r="G149" s="441" t="s">
        <v>162</v>
      </c>
      <c r="H149" s="445" t="s">
        <v>314</v>
      </c>
      <c r="I149" s="442" t="s">
        <v>305</v>
      </c>
    </row>
    <row r="150" spans="2:9">
      <c r="B150" s="660"/>
      <c r="C150" s="446" t="s">
        <v>315</v>
      </c>
      <c r="D150" s="441" t="s">
        <v>316</v>
      </c>
      <c r="E150" s="441" t="s">
        <v>307</v>
      </c>
      <c r="F150" s="441" t="s">
        <v>42</v>
      </c>
      <c r="G150" s="441" t="s">
        <v>162</v>
      </c>
      <c r="H150" s="445" t="s">
        <v>308</v>
      </c>
      <c r="I150" s="442" t="s">
        <v>305</v>
      </c>
    </row>
    <row r="151" spans="2:9">
      <c r="B151" s="660"/>
      <c r="C151" s="443" t="s">
        <v>317</v>
      </c>
      <c r="D151" s="443" t="s">
        <v>318</v>
      </c>
      <c r="E151" s="441" t="s">
        <v>307</v>
      </c>
      <c r="F151" s="441" t="s">
        <v>50</v>
      </c>
      <c r="G151" s="441" t="s">
        <v>162</v>
      </c>
      <c r="H151" s="445" t="s">
        <v>319</v>
      </c>
      <c r="I151" s="442" t="s">
        <v>176</v>
      </c>
    </row>
    <row r="152" spans="2:9">
      <c r="B152" s="660"/>
      <c r="C152" s="446" t="s">
        <v>91</v>
      </c>
      <c r="D152" s="448" t="s">
        <v>250</v>
      </c>
      <c r="E152" s="441" t="s">
        <v>307</v>
      </c>
      <c r="F152" s="441" t="s">
        <v>50</v>
      </c>
      <c r="G152" s="441" t="s">
        <v>162</v>
      </c>
      <c r="H152" s="445" t="s">
        <v>320</v>
      </c>
      <c r="I152" s="442" t="s">
        <v>176</v>
      </c>
    </row>
    <row r="153" spans="2:9">
      <c r="B153" s="660"/>
      <c r="C153" s="446" t="s">
        <v>321</v>
      </c>
      <c r="D153" s="446" t="s">
        <v>322</v>
      </c>
      <c r="E153" s="441" t="s">
        <v>281</v>
      </c>
      <c r="F153" s="441" t="s">
        <v>186</v>
      </c>
      <c r="G153" s="441" t="s">
        <v>162</v>
      </c>
      <c r="H153" s="441" t="s">
        <v>282</v>
      </c>
      <c r="I153" s="442" t="s">
        <v>190</v>
      </c>
    </row>
    <row r="154" spans="2:9">
      <c r="B154" s="660"/>
      <c r="C154" s="443" t="s">
        <v>192</v>
      </c>
      <c r="D154" s="443" t="s">
        <v>323</v>
      </c>
      <c r="E154" s="441" t="s">
        <v>281</v>
      </c>
      <c r="F154" s="441" t="s">
        <v>88</v>
      </c>
      <c r="G154" s="441" t="s">
        <v>162</v>
      </c>
      <c r="H154" s="445" t="s">
        <v>282</v>
      </c>
      <c r="I154" s="442" t="s">
        <v>190</v>
      </c>
    </row>
    <row r="155" spans="2:9">
      <c r="B155" s="660"/>
      <c r="C155" s="441" t="s">
        <v>324</v>
      </c>
      <c r="D155" s="441" t="s">
        <v>325</v>
      </c>
      <c r="E155" s="441" t="s">
        <v>326</v>
      </c>
      <c r="F155" s="441" t="s">
        <v>47</v>
      </c>
      <c r="G155" s="441" t="s">
        <v>162</v>
      </c>
      <c r="H155" s="441" t="s">
        <v>327</v>
      </c>
      <c r="I155" s="442" t="s">
        <v>171</v>
      </c>
    </row>
    <row r="156" spans="2:9" ht="45">
      <c r="B156" s="660"/>
      <c r="C156" s="441" t="s">
        <v>324</v>
      </c>
      <c r="D156" s="441" t="s">
        <v>325</v>
      </c>
      <c r="E156" s="441" t="s">
        <v>328</v>
      </c>
      <c r="F156" s="441" t="s">
        <v>47</v>
      </c>
      <c r="G156" s="445" t="s">
        <v>329</v>
      </c>
      <c r="H156" s="441" t="s">
        <v>330</v>
      </c>
      <c r="I156" s="442" t="s">
        <v>171</v>
      </c>
    </row>
    <row r="157" spans="2:9">
      <c r="B157" s="660"/>
      <c r="C157" s="441" t="s">
        <v>331</v>
      </c>
      <c r="D157" s="441" t="s">
        <v>170</v>
      </c>
      <c r="E157" s="441" t="s">
        <v>332</v>
      </c>
      <c r="F157" s="441" t="s">
        <v>333</v>
      </c>
      <c r="G157" s="441" t="s">
        <v>162</v>
      </c>
      <c r="H157" s="441" t="s">
        <v>334</v>
      </c>
      <c r="I157" s="442" t="s">
        <v>171</v>
      </c>
    </row>
    <row r="158" spans="2:9" ht="30">
      <c r="B158" s="660"/>
      <c r="C158" s="441" t="s">
        <v>335</v>
      </c>
      <c r="D158" s="441" t="s">
        <v>325</v>
      </c>
      <c r="E158" s="441" t="s">
        <v>336</v>
      </c>
      <c r="F158" s="441" t="s">
        <v>42</v>
      </c>
      <c r="G158" s="445" t="s">
        <v>337</v>
      </c>
      <c r="H158" s="441" t="s">
        <v>338</v>
      </c>
      <c r="I158" s="442" t="s">
        <v>171</v>
      </c>
    </row>
    <row r="159" spans="2:9">
      <c r="B159" s="660"/>
      <c r="C159" s="443" t="s">
        <v>324</v>
      </c>
      <c r="D159" s="443" t="s">
        <v>325</v>
      </c>
      <c r="E159" s="441" t="s">
        <v>339</v>
      </c>
      <c r="F159" s="441" t="s">
        <v>47</v>
      </c>
      <c r="G159" s="441" t="s">
        <v>162</v>
      </c>
      <c r="H159" s="441" t="s">
        <v>340</v>
      </c>
      <c r="I159" s="442" t="s">
        <v>171</v>
      </c>
    </row>
    <row r="160" spans="2:9">
      <c r="B160" s="660"/>
      <c r="C160" s="443" t="s">
        <v>101</v>
      </c>
      <c r="D160" s="443" t="s">
        <v>341</v>
      </c>
      <c r="E160" s="441" t="s">
        <v>277</v>
      </c>
      <c r="F160" s="441" t="s">
        <v>42</v>
      </c>
      <c r="G160" s="441" t="s">
        <v>162</v>
      </c>
      <c r="H160" s="445" t="s">
        <v>342</v>
      </c>
      <c r="I160" s="442" t="s">
        <v>171</v>
      </c>
    </row>
    <row r="161" spans="2:9">
      <c r="B161" s="660"/>
      <c r="C161" s="443" t="s">
        <v>275</v>
      </c>
      <c r="D161" s="443" t="s">
        <v>343</v>
      </c>
      <c r="E161" s="441" t="s">
        <v>277</v>
      </c>
      <c r="F161" s="441" t="s">
        <v>42</v>
      </c>
      <c r="G161" s="441" t="s">
        <v>162</v>
      </c>
      <c r="H161" s="445" t="s">
        <v>344</v>
      </c>
      <c r="I161" s="442" t="s">
        <v>171</v>
      </c>
    </row>
    <row r="162" spans="2:9">
      <c r="B162" s="660"/>
      <c r="C162" s="443" t="s">
        <v>345</v>
      </c>
      <c r="D162" s="443" t="s">
        <v>325</v>
      </c>
      <c r="E162" s="441" t="s">
        <v>281</v>
      </c>
      <c r="F162" s="441" t="s">
        <v>47</v>
      </c>
      <c r="G162" s="441" t="s">
        <v>162</v>
      </c>
      <c r="H162" s="445" t="s">
        <v>346</v>
      </c>
      <c r="I162" s="442" t="s">
        <v>190</v>
      </c>
    </row>
    <row r="163" spans="2:9">
      <c r="B163" s="660"/>
      <c r="C163" s="443" t="s">
        <v>105</v>
      </c>
      <c r="D163" s="443" t="s">
        <v>347</v>
      </c>
      <c r="E163" s="441" t="s">
        <v>277</v>
      </c>
      <c r="F163" s="441" t="s">
        <v>42</v>
      </c>
      <c r="G163" s="441" t="s">
        <v>162</v>
      </c>
      <c r="H163" s="445" t="s">
        <v>348</v>
      </c>
      <c r="I163" s="442" t="s">
        <v>171</v>
      </c>
    </row>
    <row r="164" spans="2:9">
      <c r="B164" s="660"/>
      <c r="C164" s="443" t="s">
        <v>275</v>
      </c>
      <c r="D164" s="443" t="s">
        <v>343</v>
      </c>
      <c r="E164" s="441" t="s">
        <v>277</v>
      </c>
      <c r="F164" s="441" t="s">
        <v>42</v>
      </c>
      <c r="G164" s="441" t="s">
        <v>162</v>
      </c>
      <c r="H164" s="445" t="s">
        <v>349</v>
      </c>
      <c r="I164" s="442" t="s">
        <v>171</v>
      </c>
    </row>
    <row r="165" spans="2:9">
      <c r="B165" s="660"/>
      <c r="C165" s="446" t="s">
        <v>324</v>
      </c>
      <c r="D165" s="441" t="s">
        <v>325</v>
      </c>
      <c r="E165" s="441" t="s">
        <v>350</v>
      </c>
      <c r="F165" s="441" t="s">
        <v>42</v>
      </c>
      <c r="G165" s="441" t="s">
        <v>162</v>
      </c>
      <c r="H165" s="441" t="s">
        <v>351</v>
      </c>
      <c r="I165" s="442" t="s">
        <v>171</v>
      </c>
    </row>
    <row r="166" spans="2:9" ht="30">
      <c r="B166" s="660"/>
      <c r="C166" s="443" t="s">
        <v>324</v>
      </c>
      <c r="D166" s="443" t="s">
        <v>325</v>
      </c>
      <c r="E166" s="441" t="s">
        <v>352</v>
      </c>
      <c r="F166" s="441" t="s">
        <v>42</v>
      </c>
      <c r="G166" s="441" t="s">
        <v>162</v>
      </c>
      <c r="H166" s="445" t="s">
        <v>353</v>
      </c>
      <c r="I166" s="442" t="s">
        <v>171</v>
      </c>
    </row>
    <row r="167" spans="2:9">
      <c r="B167" s="660"/>
      <c r="C167" s="446" t="s">
        <v>45</v>
      </c>
      <c r="D167" s="448" t="s">
        <v>354</v>
      </c>
      <c r="E167" s="441" t="s">
        <v>355</v>
      </c>
      <c r="F167" s="441" t="s">
        <v>42</v>
      </c>
      <c r="G167" s="441" t="s">
        <v>162</v>
      </c>
      <c r="H167" s="445" t="s">
        <v>356</v>
      </c>
      <c r="I167" s="442" t="s">
        <v>357</v>
      </c>
    </row>
    <row r="168" spans="2:9">
      <c r="B168" s="660"/>
      <c r="C168" s="446" t="s">
        <v>82</v>
      </c>
      <c r="D168" s="446" t="s">
        <v>193</v>
      </c>
      <c r="E168" s="441" t="s">
        <v>358</v>
      </c>
      <c r="F168" s="441" t="s">
        <v>42</v>
      </c>
      <c r="G168" s="441" t="s">
        <v>359</v>
      </c>
      <c r="H168" s="441" t="s">
        <v>360</v>
      </c>
      <c r="I168" s="442" t="s">
        <v>357</v>
      </c>
    </row>
    <row r="169" spans="2:9">
      <c r="B169" s="660"/>
      <c r="C169" s="443" t="s">
        <v>345</v>
      </c>
      <c r="D169" s="443" t="s">
        <v>325</v>
      </c>
      <c r="E169" s="441" t="s">
        <v>361</v>
      </c>
      <c r="F169" s="441" t="s">
        <v>42</v>
      </c>
      <c r="G169" s="441" t="s">
        <v>162</v>
      </c>
      <c r="H169" s="445" t="s">
        <v>362</v>
      </c>
      <c r="I169" s="442" t="s">
        <v>357</v>
      </c>
    </row>
    <row r="170" spans="2:9">
      <c r="B170" s="660"/>
      <c r="C170" s="443" t="s">
        <v>363</v>
      </c>
      <c r="D170" s="443" t="s">
        <v>364</v>
      </c>
      <c r="E170" s="441" t="s">
        <v>365</v>
      </c>
      <c r="F170" s="441" t="s">
        <v>366</v>
      </c>
      <c r="G170" s="441" t="s">
        <v>367</v>
      </c>
      <c r="H170" s="441" t="s">
        <v>368</v>
      </c>
      <c r="I170" s="442" t="s">
        <v>190</v>
      </c>
    </row>
    <row r="171" spans="2:9">
      <c r="B171" s="660"/>
      <c r="C171" s="443" t="s">
        <v>121</v>
      </c>
      <c r="D171" s="443" t="s">
        <v>323</v>
      </c>
      <c r="E171" s="441" t="s">
        <v>281</v>
      </c>
      <c r="F171" s="441" t="s">
        <v>369</v>
      </c>
      <c r="G171" s="441" t="s">
        <v>162</v>
      </c>
      <c r="H171" s="441" t="s">
        <v>370</v>
      </c>
      <c r="I171" s="442" t="s">
        <v>190</v>
      </c>
    </row>
    <row r="172" spans="2:9">
      <c r="B172" s="660"/>
      <c r="C172" s="443" t="s">
        <v>321</v>
      </c>
      <c r="D172" s="443" t="s">
        <v>322</v>
      </c>
      <c r="E172" s="441" t="s">
        <v>371</v>
      </c>
      <c r="F172" s="441" t="s">
        <v>88</v>
      </c>
      <c r="G172" s="441" t="s">
        <v>162</v>
      </c>
      <c r="H172" s="445" t="s">
        <v>372</v>
      </c>
      <c r="I172" s="442" t="s">
        <v>190</v>
      </c>
    </row>
    <row r="173" spans="2:9">
      <c r="B173" s="660"/>
      <c r="C173" s="443" t="s">
        <v>90</v>
      </c>
      <c r="D173" s="443" t="s">
        <v>193</v>
      </c>
      <c r="E173" s="441" t="s">
        <v>371</v>
      </c>
      <c r="F173" s="441" t="s">
        <v>88</v>
      </c>
      <c r="G173" s="441" t="s">
        <v>162</v>
      </c>
      <c r="H173" s="441" t="s">
        <v>372</v>
      </c>
      <c r="I173" s="442" t="s">
        <v>190</v>
      </c>
    </row>
    <row r="174" spans="2:9">
      <c r="B174" s="660"/>
      <c r="C174" s="443" t="s">
        <v>321</v>
      </c>
      <c r="D174" s="443" t="s">
        <v>373</v>
      </c>
      <c r="E174" s="441" t="s">
        <v>374</v>
      </c>
      <c r="F174" s="441" t="s">
        <v>88</v>
      </c>
      <c r="G174" s="441" t="s">
        <v>162</v>
      </c>
      <c r="H174" s="445" t="s">
        <v>375</v>
      </c>
      <c r="I174" s="442" t="s">
        <v>190</v>
      </c>
    </row>
    <row r="175" spans="2:9">
      <c r="B175" s="660"/>
      <c r="C175" s="443" t="s">
        <v>321</v>
      </c>
      <c r="D175" s="443" t="s">
        <v>322</v>
      </c>
      <c r="E175" s="441" t="s">
        <v>281</v>
      </c>
      <c r="F175" s="441" t="s">
        <v>88</v>
      </c>
      <c r="G175" s="441" t="s">
        <v>162</v>
      </c>
      <c r="H175" s="445" t="s">
        <v>370</v>
      </c>
      <c r="I175" s="442" t="s">
        <v>190</v>
      </c>
    </row>
    <row r="176" spans="2:9">
      <c r="B176" s="660"/>
      <c r="C176" s="443" t="s">
        <v>196</v>
      </c>
      <c r="D176" s="443" t="s">
        <v>376</v>
      </c>
      <c r="E176" s="441" t="s">
        <v>281</v>
      </c>
      <c r="F176" s="441" t="s">
        <v>89</v>
      </c>
      <c r="G176" s="441" t="s">
        <v>162</v>
      </c>
      <c r="H176" s="441" t="s">
        <v>370</v>
      </c>
      <c r="I176" s="442" t="s">
        <v>190</v>
      </c>
    </row>
    <row r="177" spans="2:9">
      <c r="B177" s="660"/>
      <c r="C177" s="443" t="s">
        <v>90</v>
      </c>
      <c r="D177" s="443" t="s">
        <v>377</v>
      </c>
      <c r="E177" s="441" t="s">
        <v>378</v>
      </c>
      <c r="F177" s="441" t="s">
        <v>88</v>
      </c>
      <c r="G177" s="441" t="s">
        <v>379</v>
      </c>
      <c r="H177" s="441" t="s">
        <v>380</v>
      </c>
      <c r="I177" s="442" t="s">
        <v>190</v>
      </c>
    </row>
    <row r="178" spans="2:9">
      <c r="B178" s="660"/>
      <c r="C178" s="446" t="s">
        <v>381</v>
      </c>
      <c r="D178" s="446" t="s">
        <v>382</v>
      </c>
      <c r="E178" s="441" t="s">
        <v>383</v>
      </c>
      <c r="F178" s="441" t="s">
        <v>42</v>
      </c>
      <c r="G178" s="441" t="s">
        <v>162</v>
      </c>
      <c r="H178" s="445" t="s">
        <v>384</v>
      </c>
      <c r="I178" s="442" t="s">
        <v>190</v>
      </c>
    </row>
    <row r="179" spans="2:9">
      <c r="B179" s="660"/>
      <c r="C179" s="443" t="s">
        <v>363</v>
      </c>
      <c r="D179" s="443" t="s">
        <v>178</v>
      </c>
      <c r="E179" s="441" t="s">
        <v>383</v>
      </c>
      <c r="F179" s="441" t="s">
        <v>42</v>
      </c>
      <c r="G179" s="445" t="s">
        <v>162</v>
      </c>
      <c r="H179" s="445" t="s">
        <v>385</v>
      </c>
      <c r="I179" s="442" t="s">
        <v>190</v>
      </c>
    </row>
    <row r="180" spans="2:9">
      <c r="B180" s="660"/>
      <c r="C180" s="449" t="s">
        <v>386</v>
      </c>
      <c r="D180" s="449" t="s">
        <v>325</v>
      </c>
      <c r="E180" s="449" t="s">
        <v>383</v>
      </c>
      <c r="F180" s="449" t="s">
        <v>42</v>
      </c>
      <c r="G180" s="449" t="s">
        <v>387</v>
      </c>
      <c r="H180" s="449" t="s">
        <v>388</v>
      </c>
      <c r="I180" s="450" t="s">
        <v>190</v>
      </c>
    </row>
    <row r="181" spans="2:9">
      <c r="B181" s="660"/>
      <c r="C181" s="451" t="s">
        <v>321</v>
      </c>
      <c r="D181" s="451" t="s">
        <v>242</v>
      </c>
      <c r="E181" s="480" t="s">
        <v>399</v>
      </c>
      <c r="F181" s="480" t="s">
        <v>88</v>
      </c>
      <c r="G181" s="497" t="s">
        <v>162</v>
      </c>
      <c r="H181" s="429" t="s">
        <v>396</v>
      </c>
      <c r="I181" s="452" t="s">
        <v>176</v>
      </c>
    </row>
    <row r="182" spans="2:9">
      <c r="B182" s="660"/>
      <c r="C182" s="453" t="s">
        <v>389</v>
      </c>
      <c r="D182" s="453" t="s">
        <v>390</v>
      </c>
      <c r="E182" s="481" t="s">
        <v>391</v>
      </c>
      <c r="F182" s="481" t="s">
        <v>392</v>
      </c>
      <c r="G182" s="498" t="s">
        <v>162</v>
      </c>
      <c r="H182" s="434" t="s">
        <v>393</v>
      </c>
      <c r="I182" s="454" t="s">
        <v>176</v>
      </c>
    </row>
    <row r="183" spans="2:9">
      <c r="B183" s="660"/>
      <c r="C183" s="455" t="s">
        <v>324</v>
      </c>
      <c r="D183" s="455" t="s">
        <v>390</v>
      </c>
      <c r="E183" s="482" t="s">
        <v>295</v>
      </c>
      <c r="F183" s="482" t="s">
        <v>47</v>
      </c>
      <c r="G183" s="499" t="s">
        <v>162</v>
      </c>
      <c r="H183" s="429" t="s">
        <v>418</v>
      </c>
      <c r="I183" s="456" t="s">
        <v>397</v>
      </c>
    </row>
    <row r="184" spans="2:9" ht="30">
      <c r="B184" s="660"/>
      <c r="C184" s="453" t="s">
        <v>422</v>
      </c>
      <c r="D184" s="453" t="s">
        <v>423</v>
      </c>
      <c r="E184" s="483" t="s">
        <v>277</v>
      </c>
      <c r="F184" s="483" t="s">
        <v>42</v>
      </c>
      <c r="G184" s="500" t="s">
        <v>424</v>
      </c>
      <c r="H184" s="431" t="s">
        <v>425</v>
      </c>
      <c r="I184" s="454" t="s">
        <v>397</v>
      </c>
    </row>
    <row r="185" spans="2:9">
      <c r="B185" s="660"/>
      <c r="C185" s="455" t="s">
        <v>321</v>
      </c>
      <c r="D185" s="455" t="s">
        <v>242</v>
      </c>
      <c r="E185" s="482" t="s">
        <v>394</v>
      </c>
      <c r="F185" s="482" t="s">
        <v>395</v>
      </c>
      <c r="G185" s="499" t="s">
        <v>162</v>
      </c>
      <c r="H185" s="429" t="s">
        <v>398</v>
      </c>
      <c r="I185" s="456" t="s">
        <v>176</v>
      </c>
    </row>
    <row r="186" spans="2:9">
      <c r="B186" s="660"/>
      <c r="C186" s="453" t="s">
        <v>90</v>
      </c>
      <c r="D186" s="453" t="s">
        <v>191</v>
      </c>
      <c r="E186" s="481" t="s">
        <v>399</v>
      </c>
      <c r="F186" s="481" t="s">
        <v>88</v>
      </c>
      <c r="G186" s="498" t="s">
        <v>162</v>
      </c>
      <c r="H186" s="434" t="s">
        <v>396</v>
      </c>
      <c r="I186" s="454" t="s">
        <v>176</v>
      </c>
    </row>
    <row r="187" spans="2:9">
      <c r="B187" s="660"/>
      <c r="C187" s="455" t="s">
        <v>177</v>
      </c>
      <c r="D187" s="455" t="s">
        <v>242</v>
      </c>
      <c r="E187" s="482" t="s">
        <v>413</v>
      </c>
      <c r="F187" s="482" t="s">
        <v>42</v>
      </c>
      <c r="G187" s="499" t="s">
        <v>414</v>
      </c>
      <c r="H187" s="429" t="s">
        <v>415</v>
      </c>
      <c r="I187" s="456" t="s">
        <v>397</v>
      </c>
    </row>
    <row r="188" spans="2:9" ht="30">
      <c r="B188" s="660"/>
      <c r="C188" s="453" t="s">
        <v>159</v>
      </c>
      <c r="D188" s="453" t="s">
        <v>416</v>
      </c>
      <c r="E188" s="483" t="s">
        <v>161</v>
      </c>
      <c r="F188" s="483" t="s">
        <v>42</v>
      </c>
      <c r="G188" s="498" t="s">
        <v>162</v>
      </c>
      <c r="H188" s="431" t="s">
        <v>417</v>
      </c>
      <c r="I188" s="454" t="s">
        <v>397</v>
      </c>
    </row>
    <row r="189" spans="2:9" ht="30">
      <c r="B189" s="660"/>
      <c r="C189" s="455" t="s">
        <v>419</v>
      </c>
      <c r="D189" s="455" t="s">
        <v>322</v>
      </c>
      <c r="E189" s="484" t="s">
        <v>420</v>
      </c>
      <c r="F189" s="484" t="s">
        <v>83</v>
      </c>
      <c r="G189" s="499" t="s">
        <v>162</v>
      </c>
      <c r="H189" s="430" t="s">
        <v>421</v>
      </c>
      <c r="I189" s="456" t="s">
        <v>397</v>
      </c>
    </row>
    <row r="190" spans="2:9">
      <c r="B190" s="660"/>
      <c r="C190" s="453" t="s">
        <v>400</v>
      </c>
      <c r="D190" s="453" t="s">
        <v>206</v>
      </c>
      <c r="E190" s="481" t="s">
        <v>399</v>
      </c>
      <c r="F190" s="481" t="s">
        <v>88</v>
      </c>
      <c r="G190" s="498" t="s">
        <v>162</v>
      </c>
      <c r="H190" s="434" t="s">
        <v>396</v>
      </c>
      <c r="I190" s="454" t="s">
        <v>176</v>
      </c>
    </row>
    <row r="191" spans="2:9">
      <c r="B191" s="660"/>
      <c r="C191" s="455" t="s">
        <v>401</v>
      </c>
      <c r="D191" s="455" t="s">
        <v>402</v>
      </c>
      <c r="E191" s="482" t="s">
        <v>399</v>
      </c>
      <c r="F191" s="482" t="s">
        <v>88</v>
      </c>
      <c r="G191" s="499" t="s">
        <v>162</v>
      </c>
      <c r="H191" s="429" t="s">
        <v>396</v>
      </c>
      <c r="I191" s="456" t="s">
        <v>176</v>
      </c>
    </row>
    <row r="192" spans="2:9">
      <c r="B192" s="660"/>
      <c r="C192" s="453" t="s">
        <v>403</v>
      </c>
      <c r="D192" s="453" t="s">
        <v>286</v>
      </c>
      <c r="E192" s="481" t="s">
        <v>399</v>
      </c>
      <c r="F192" s="481" t="s">
        <v>88</v>
      </c>
      <c r="G192" s="498" t="s">
        <v>162</v>
      </c>
      <c r="H192" s="434" t="s">
        <v>396</v>
      </c>
      <c r="I192" s="454" t="s">
        <v>176</v>
      </c>
    </row>
    <row r="193" spans="2:9">
      <c r="B193" s="660"/>
      <c r="C193" s="455" t="s">
        <v>404</v>
      </c>
      <c r="D193" s="455" t="s">
        <v>405</v>
      </c>
      <c r="E193" s="482" t="s">
        <v>406</v>
      </c>
      <c r="F193" s="482" t="s">
        <v>50</v>
      </c>
      <c r="G193" s="499" t="s">
        <v>162</v>
      </c>
      <c r="H193" s="429" t="s">
        <v>408</v>
      </c>
      <c r="I193" s="456" t="s">
        <v>176</v>
      </c>
    </row>
    <row r="194" spans="2:9">
      <c r="B194" s="660"/>
      <c r="C194" s="453" t="s">
        <v>407</v>
      </c>
      <c r="D194" s="453" t="s">
        <v>191</v>
      </c>
      <c r="E194" s="481" t="s">
        <v>406</v>
      </c>
      <c r="F194" s="481" t="s">
        <v>50</v>
      </c>
      <c r="G194" s="498" t="s">
        <v>162</v>
      </c>
      <c r="H194" s="434" t="s">
        <v>408</v>
      </c>
      <c r="I194" s="454" t="s">
        <v>176</v>
      </c>
    </row>
    <row r="195" spans="2:9">
      <c r="B195" s="660"/>
      <c r="C195" s="455" t="s">
        <v>409</v>
      </c>
      <c r="D195" s="455" t="s">
        <v>286</v>
      </c>
      <c r="E195" s="482" t="s">
        <v>410</v>
      </c>
      <c r="F195" s="482" t="s">
        <v>50</v>
      </c>
      <c r="G195" s="499" t="s">
        <v>162</v>
      </c>
      <c r="H195" s="429" t="s">
        <v>396</v>
      </c>
      <c r="I195" s="456" t="s">
        <v>176</v>
      </c>
    </row>
    <row r="196" spans="2:9">
      <c r="B196" s="660"/>
      <c r="C196" s="451" t="s">
        <v>235</v>
      </c>
      <c r="D196" s="451" t="s">
        <v>191</v>
      </c>
      <c r="E196" s="480" t="s">
        <v>784</v>
      </c>
      <c r="F196" s="480" t="s">
        <v>255</v>
      </c>
      <c r="G196" s="501" t="s">
        <v>162</v>
      </c>
      <c r="H196" s="457" t="s">
        <v>787</v>
      </c>
      <c r="I196" s="458" t="s">
        <v>171</v>
      </c>
    </row>
    <row r="197" spans="2:9">
      <c r="B197" s="660"/>
      <c r="C197" s="453" t="s">
        <v>112</v>
      </c>
      <c r="D197" s="453" t="s">
        <v>165</v>
      </c>
      <c r="E197" s="461" t="s">
        <v>770</v>
      </c>
      <c r="F197" s="461" t="s">
        <v>197</v>
      </c>
      <c r="G197" s="502" t="s">
        <v>162</v>
      </c>
      <c r="H197" s="459" t="s">
        <v>773</v>
      </c>
      <c r="I197" s="460" t="s">
        <v>171</v>
      </c>
    </row>
    <row r="198" spans="2:9">
      <c r="B198" s="660"/>
      <c r="C198" s="455" t="s">
        <v>112</v>
      </c>
      <c r="D198" s="455" t="s">
        <v>312</v>
      </c>
      <c r="E198" s="480" t="s">
        <v>769</v>
      </c>
      <c r="F198" s="480" t="s">
        <v>768</v>
      </c>
      <c r="G198" s="501" t="s">
        <v>162</v>
      </c>
      <c r="H198" s="457" t="s">
        <v>774</v>
      </c>
      <c r="I198" s="458" t="s">
        <v>171</v>
      </c>
    </row>
    <row r="199" spans="2:9">
      <c r="B199" s="660"/>
      <c r="C199" s="453" t="s">
        <v>112</v>
      </c>
      <c r="D199" s="453" t="s">
        <v>776</v>
      </c>
      <c r="E199" s="461" t="s">
        <v>771</v>
      </c>
      <c r="F199" s="461" t="s">
        <v>785</v>
      </c>
      <c r="G199" s="502" t="s">
        <v>162</v>
      </c>
      <c r="H199" s="462" t="s">
        <v>772</v>
      </c>
      <c r="I199" s="460" t="s">
        <v>171</v>
      </c>
    </row>
    <row r="200" spans="2:9">
      <c r="B200" s="660"/>
      <c r="C200" s="455" t="s">
        <v>112</v>
      </c>
      <c r="D200" s="455" t="s">
        <v>777</v>
      </c>
      <c r="E200" s="480" t="s">
        <v>761</v>
      </c>
      <c r="F200" s="480" t="s">
        <v>767</v>
      </c>
      <c r="G200" s="501" t="s">
        <v>162</v>
      </c>
      <c r="H200" s="457" t="s">
        <v>766</v>
      </c>
      <c r="I200" s="458" t="s">
        <v>171</v>
      </c>
    </row>
    <row r="201" spans="2:9">
      <c r="B201" s="660"/>
      <c r="C201" s="453" t="s">
        <v>112</v>
      </c>
      <c r="D201" s="453" t="s">
        <v>778</v>
      </c>
      <c r="E201" s="481" t="s">
        <v>761</v>
      </c>
      <c r="F201" s="481" t="s">
        <v>786</v>
      </c>
      <c r="G201" s="483" t="s">
        <v>162</v>
      </c>
      <c r="H201" s="463" t="s">
        <v>788</v>
      </c>
      <c r="I201" s="464" t="s">
        <v>171</v>
      </c>
    </row>
    <row r="202" spans="2:9">
      <c r="B202" s="660"/>
      <c r="C202" s="455" t="s">
        <v>112</v>
      </c>
      <c r="D202" s="455" t="s">
        <v>779</v>
      </c>
      <c r="E202" s="482" t="s">
        <v>761</v>
      </c>
      <c r="F202" s="482" t="s">
        <v>765</v>
      </c>
      <c r="G202" s="484" t="s">
        <v>162</v>
      </c>
      <c r="H202" s="457" t="s">
        <v>775</v>
      </c>
      <c r="I202" s="465" t="s">
        <v>171</v>
      </c>
    </row>
    <row r="203" spans="2:9">
      <c r="B203" s="660"/>
      <c r="C203" s="453" t="s">
        <v>112</v>
      </c>
      <c r="D203" s="453" t="s">
        <v>780</v>
      </c>
      <c r="E203" s="481" t="s">
        <v>761</v>
      </c>
      <c r="F203" s="481" t="s">
        <v>764</v>
      </c>
      <c r="G203" s="483" t="s">
        <v>162</v>
      </c>
      <c r="H203" s="462" t="s">
        <v>791</v>
      </c>
      <c r="I203" s="464" t="s">
        <v>171</v>
      </c>
    </row>
    <row r="204" spans="2:9">
      <c r="B204" s="660"/>
      <c r="C204" s="455" t="s">
        <v>112</v>
      </c>
      <c r="D204" s="455" t="s">
        <v>781</v>
      </c>
      <c r="E204" s="482" t="s">
        <v>761</v>
      </c>
      <c r="F204" s="482" t="s">
        <v>763</v>
      </c>
      <c r="G204" s="484" t="s">
        <v>162</v>
      </c>
      <c r="H204" s="457" t="s">
        <v>762</v>
      </c>
      <c r="I204" s="465" t="s">
        <v>171</v>
      </c>
    </row>
    <row r="205" spans="2:9">
      <c r="B205" s="660"/>
      <c r="C205" s="453" t="s">
        <v>112</v>
      </c>
      <c r="D205" s="453" t="s">
        <v>782</v>
      </c>
      <c r="E205" s="481" t="s">
        <v>761</v>
      </c>
      <c r="F205" s="481" t="s">
        <v>760</v>
      </c>
      <c r="G205" s="483" t="s">
        <v>162</v>
      </c>
      <c r="H205" s="462" t="s">
        <v>789</v>
      </c>
      <c r="I205" s="464" t="s">
        <v>171</v>
      </c>
    </row>
    <row r="206" spans="2:9">
      <c r="B206" s="660"/>
      <c r="C206" s="455" t="s">
        <v>82</v>
      </c>
      <c r="D206" s="455" t="s">
        <v>206</v>
      </c>
      <c r="E206" s="482" t="s">
        <v>431</v>
      </c>
      <c r="F206" s="482" t="s">
        <v>42</v>
      </c>
      <c r="G206" s="484" t="s">
        <v>162</v>
      </c>
      <c r="H206" s="457" t="s">
        <v>434</v>
      </c>
      <c r="I206" s="465" t="s">
        <v>138</v>
      </c>
    </row>
    <row r="207" spans="2:9">
      <c r="B207" s="660"/>
      <c r="C207" s="453" t="s">
        <v>118</v>
      </c>
      <c r="D207" s="453" t="s">
        <v>432</v>
      </c>
      <c r="E207" s="481" t="s">
        <v>431</v>
      </c>
      <c r="F207" s="481" t="s">
        <v>42</v>
      </c>
      <c r="G207" s="483" t="s">
        <v>162</v>
      </c>
      <c r="H207" s="462" t="s">
        <v>434</v>
      </c>
      <c r="I207" s="464" t="s">
        <v>138</v>
      </c>
    </row>
    <row r="208" spans="2:9">
      <c r="B208" s="660"/>
      <c r="C208" s="455" t="s">
        <v>275</v>
      </c>
      <c r="D208" s="455" t="s">
        <v>433</v>
      </c>
      <c r="E208" s="482" t="s">
        <v>431</v>
      </c>
      <c r="F208" s="482" t="s">
        <v>42</v>
      </c>
      <c r="G208" s="484" t="s">
        <v>162</v>
      </c>
      <c r="H208" s="457" t="s">
        <v>434</v>
      </c>
      <c r="I208" s="465" t="s">
        <v>138</v>
      </c>
    </row>
    <row r="209" spans="2:9">
      <c r="B209" s="660"/>
      <c r="C209" s="453" t="s">
        <v>90</v>
      </c>
      <c r="D209" s="453" t="s">
        <v>433</v>
      </c>
      <c r="E209" s="481" t="s">
        <v>431</v>
      </c>
      <c r="F209" s="481" t="s">
        <v>42</v>
      </c>
      <c r="G209" s="483" t="s">
        <v>162</v>
      </c>
      <c r="H209" s="462" t="s">
        <v>434</v>
      </c>
      <c r="I209" s="464" t="s">
        <v>138</v>
      </c>
    </row>
    <row r="210" spans="2:9">
      <c r="B210" s="660"/>
      <c r="C210" s="455" t="s">
        <v>742</v>
      </c>
      <c r="D210" s="455" t="s">
        <v>738</v>
      </c>
      <c r="E210" s="482" t="s">
        <v>431</v>
      </c>
      <c r="F210" s="482" t="s">
        <v>42</v>
      </c>
      <c r="G210" s="484" t="s">
        <v>162</v>
      </c>
      <c r="H210" s="457" t="s">
        <v>434</v>
      </c>
      <c r="I210" s="465" t="s">
        <v>138</v>
      </c>
    </row>
    <row r="211" spans="2:9">
      <c r="B211" s="660"/>
      <c r="C211" s="453" t="s">
        <v>742</v>
      </c>
      <c r="D211" s="453" t="s">
        <v>743</v>
      </c>
      <c r="E211" s="481" t="s">
        <v>406</v>
      </c>
      <c r="F211" s="481" t="s">
        <v>50</v>
      </c>
      <c r="G211" s="483" t="s">
        <v>162</v>
      </c>
      <c r="H211" s="462" t="s">
        <v>744</v>
      </c>
      <c r="I211" s="464" t="s">
        <v>176</v>
      </c>
    </row>
    <row r="212" spans="2:9">
      <c r="B212" s="660"/>
      <c r="C212" s="455" t="s">
        <v>321</v>
      </c>
      <c r="D212" s="455" t="s">
        <v>322</v>
      </c>
      <c r="E212" s="482" t="s">
        <v>399</v>
      </c>
      <c r="F212" s="482" t="s">
        <v>88</v>
      </c>
      <c r="G212" s="484" t="s">
        <v>162</v>
      </c>
      <c r="H212" s="457" t="s">
        <v>745</v>
      </c>
      <c r="I212" s="465" t="s">
        <v>176</v>
      </c>
    </row>
    <row r="213" spans="2:9">
      <c r="B213" s="660"/>
      <c r="C213" s="453" t="s">
        <v>746</v>
      </c>
      <c r="D213" s="453" t="s">
        <v>175</v>
      </c>
      <c r="E213" s="481" t="s">
        <v>747</v>
      </c>
      <c r="F213" s="481" t="s">
        <v>395</v>
      </c>
      <c r="G213" s="483" t="s">
        <v>162</v>
      </c>
      <c r="H213" s="462" t="s">
        <v>748</v>
      </c>
      <c r="I213" s="464" t="s">
        <v>176</v>
      </c>
    </row>
    <row r="214" spans="2:9">
      <c r="B214" s="660"/>
      <c r="C214" s="455" t="s">
        <v>90</v>
      </c>
      <c r="D214" s="455" t="s">
        <v>749</v>
      </c>
      <c r="E214" s="482" t="s">
        <v>747</v>
      </c>
      <c r="F214" s="482" t="s">
        <v>395</v>
      </c>
      <c r="G214" s="484" t="s">
        <v>162</v>
      </c>
      <c r="H214" s="457" t="s">
        <v>745</v>
      </c>
      <c r="I214" s="465" t="s">
        <v>176</v>
      </c>
    </row>
    <row r="215" spans="2:9">
      <c r="B215" s="660"/>
      <c r="C215" s="453" t="s">
        <v>45</v>
      </c>
      <c r="D215" s="453" t="s">
        <v>751</v>
      </c>
      <c r="E215" s="481" t="s">
        <v>750</v>
      </c>
      <c r="F215" s="481" t="s">
        <v>50</v>
      </c>
      <c r="G215" s="483" t="s">
        <v>162</v>
      </c>
      <c r="H215" s="462" t="s">
        <v>752</v>
      </c>
      <c r="I215" s="464" t="s">
        <v>176</v>
      </c>
    </row>
    <row r="216" spans="2:9">
      <c r="B216" s="660"/>
      <c r="C216" s="455" t="s">
        <v>196</v>
      </c>
      <c r="D216" s="455" t="s">
        <v>191</v>
      </c>
      <c r="E216" s="482" t="s">
        <v>753</v>
      </c>
      <c r="F216" s="482" t="s">
        <v>755</v>
      </c>
      <c r="G216" s="484" t="s">
        <v>162</v>
      </c>
      <c r="H216" s="457" t="s">
        <v>754</v>
      </c>
      <c r="I216" s="465" t="s">
        <v>176</v>
      </c>
    </row>
    <row r="217" spans="2:9">
      <c r="B217" s="660"/>
      <c r="C217" s="453" t="s">
        <v>756</v>
      </c>
      <c r="D217" s="453" t="s">
        <v>757</v>
      </c>
      <c r="E217" s="481" t="s">
        <v>758</v>
      </c>
      <c r="F217" s="481" t="s">
        <v>50</v>
      </c>
      <c r="G217" s="498" t="s">
        <v>162</v>
      </c>
      <c r="H217" s="434" t="s">
        <v>759</v>
      </c>
      <c r="I217" s="454" t="s">
        <v>176</v>
      </c>
    </row>
    <row r="218" spans="2:9">
      <c r="B218" s="661">
        <v>45762</v>
      </c>
      <c r="C218" s="429" t="s">
        <v>794</v>
      </c>
      <c r="D218" s="429" t="s">
        <v>286</v>
      </c>
      <c r="E218" s="485" t="s">
        <v>795</v>
      </c>
      <c r="F218" s="485" t="s">
        <v>89</v>
      </c>
      <c r="G218" s="487"/>
      <c r="H218" s="429" t="s">
        <v>796</v>
      </c>
      <c r="I218" s="432"/>
    </row>
    <row r="219" spans="2:9">
      <c r="B219" s="662">
        <v>45805</v>
      </c>
      <c r="C219" s="434" t="s">
        <v>807</v>
      </c>
      <c r="D219" s="434" t="s">
        <v>808</v>
      </c>
      <c r="E219" s="486" t="s">
        <v>809</v>
      </c>
      <c r="F219" s="486" t="s">
        <v>89</v>
      </c>
      <c r="G219" s="488" t="s">
        <v>162</v>
      </c>
      <c r="H219" s="431" t="s">
        <v>810</v>
      </c>
      <c r="I219" s="435"/>
    </row>
    <row r="220" spans="2:9">
      <c r="B220" s="661">
        <v>45810</v>
      </c>
      <c r="C220" s="429" t="s">
        <v>794</v>
      </c>
      <c r="D220" s="429" t="s">
        <v>286</v>
      </c>
      <c r="E220" s="485" t="s">
        <v>801</v>
      </c>
      <c r="F220" s="485" t="s">
        <v>89</v>
      </c>
      <c r="G220" s="487" t="s">
        <v>162</v>
      </c>
      <c r="H220" s="430" t="s">
        <v>802</v>
      </c>
      <c r="I220" s="432"/>
    </row>
    <row r="221" spans="2:9">
      <c r="B221" s="662">
        <v>45812</v>
      </c>
      <c r="C221" s="434" t="s">
        <v>797</v>
      </c>
      <c r="D221" s="434" t="s">
        <v>798</v>
      </c>
      <c r="E221" s="486" t="s">
        <v>799</v>
      </c>
      <c r="F221" s="486" t="s">
        <v>89</v>
      </c>
      <c r="G221" s="488" t="s">
        <v>162</v>
      </c>
      <c r="H221" s="431" t="s">
        <v>800</v>
      </c>
      <c r="I221" s="435"/>
    </row>
    <row r="222" spans="2:9">
      <c r="B222" s="661">
        <v>45827</v>
      </c>
      <c r="C222" s="429" t="s">
        <v>803</v>
      </c>
      <c r="D222" s="429" t="s">
        <v>804</v>
      </c>
      <c r="E222" s="485" t="s">
        <v>805</v>
      </c>
      <c r="F222" s="485" t="s">
        <v>89</v>
      </c>
      <c r="G222" s="487" t="s">
        <v>162</v>
      </c>
      <c r="H222" s="430" t="s">
        <v>806</v>
      </c>
      <c r="I222" s="432"/>
    </row>
    <row r="223" spans="2:9">
      <c r="B223" s="662">
        <v>45831</v>
      </c>
      <c r="C223" s="434" t="s">
        <v>811</v>
      </c>
      <c r="D223" s="434" t="s">
        <v>812</v>
      </c>
      <c r="E223" s="486" t="s">
        <v>813</v>
      </c>
      <c r="F223" s="486" t="s">
        <v>89</v>
      </c>
      <c r="G223" s="488" t="s">
        <v>162</v>
      </c>
      <c r="H223" s="431" t="s">
        <v>814</v>
      </c>
      <c r="I223" s="435"/>
    </row>
    <row r="224" spans="2:9" ht="30">
      <c r="B224" s="661">
        <v>45849</v>
      </c>
      <c r="C224" s="429" t="s">
        <v>803</v>
      </c>
      <c r="D224" s="429" t="s">
        <v>815</v>
      </c>
      <c r="E224" s="487" t="s">
        <v>816</v>
      </c>
      <c r="F224" s="485" t="s">
        <v>89</v>
      </c>
      <c r="G224" s="487" t="s">
        <v>162</v>
      </c>
      <c r="H224" s="430" t="s">
        <v>817</v>
      </c>
      <c r="I224" s="432"/>
    </row>
    <row r="225" spans="2:9">
      <c r="B225" s="662">
        <v>45866</v>
      </c>
      <c r="C225" s="434" t="s">
        <v>824</v>
      </c>
      <c r="D225" s="434" t="s">
        <v>818</v>
      </c>
      <c r="E225" s="486" t="s">
        <v>831</v>
      </c>
      <c r="F225" s="486" t="s">
        <v>89</v>
      </c>
      <c r="G225" s="488" t="s">
        <v>162</v>
      </c>
      <c r="H225" s="431" t="s">
        <v>832</v>
      </c>
      <c r="I225" s="435"/>
    </row>
    <row r="226" spans="2:9">
      <c r="B226" s="661">
        <v>45867</v>
      </c>
      <c r="C226" s="429" t="s">
        <v>824</v>
      </c>
      <c r="D226" s="429" t="s">
        <v>828</v>
      </c>
      <c r="E226" s="485" t="s">
        <v>829</v>
      </c>
      <c r="F226" s="485" t="s">
        <v>89</v>
      </c>
      <c r="G226" s="487" t="s">
        <v>162</v>
      </c>
      <c r="H226" s="430" t="s">
        <v>830</v>
      </c>
      <c r="I226" s="432"/>
    </row>
    <row r="227" spans="2:9">
      <c r="B227" s="662">
        <v>45868</v>
      </c>
      <c r="C227" s="434" t="s">
        <v>803</v>
      </c>
      <c r="D227" s="434" t="s">
        <v>818</v>
      </c>
      <c r="E227" s="486" t="s">
        <v>819</v>
      </c>
      <c r="F227" s="486" t="s">
        <v>89</v>
      </c>
      <c r="G227" s="488" t="s">
        <v>162</v>
      </c>
      <c r="H227" s="434" t="s">
        <v>820</v>
      </c>
      <c r="I227" s="435"/>
    </row>
    <row r="228" spans="2:9">
      <c r="B228" s="661">
        <v>45868</v>
      </c>
      <c r="C228" s="429" t="s">
        <v>824</v>
      </c>
      <c r="D228" s="429" t="s">
        <v>825</v>
      </c>
      <c r="E228" s="485" t="s">
        <v>826</v>
      </c>
      <c r="F228" s="485" t="s">
        <v>89</v>
      </c>
      <c r="G228" s="487" t="s">
        <v>162</v>
      </c>
      <c r="H228" s="430" t="s">
        <v>827</v>
      </c>
      <c r="I228" s="432"/>
    </row>
    <row r="229" spans="2:9" ht="30">
      <c r="B229" s="662">
        <v>45869</v>
      </c>
      <c r="C229" s="434" t="s">
        <v>306</v>
      </c>
      <c r="D229" s="434" t="s">
        <v>821</v>
      </c>
      <c r="E229" s="486" t="s">
        <v>822</v>
      </c>
      <c r="F229" s="486" t="s">
        <v>89</v>
      </c>
      <c r="G229" s="488" t="s">
        <v>162</v>
      </c>
      <c r="H229" s="431" t="s">
        <v>823</v>
      </c>
      <c r="I229" s="435"/>
    </row>
    <row r="230" spans="2:9" ht="30">
      <c r="B230" s="661">
        <v>45874</v>
      </c>
      <c r="C230" s="429" t="s">
        <v>837</v>
      </c>
      <c r="D230" s="429" t="s">
        <v>808</v>
      </c>
      <c r="E230" s="485" t="s">
        <v>838</v>
      </c>
      <c r="F230" s="485" t="s">
        <v>89</v>
      </c>
      <c r="G230" s="487" t="s">
        <v>162</v>
      </c>
      <c r="H230" s="430" t="s">
        <v>839</v>
      </c>
      <c r="I230" s="432"/>
    </row>
    <row r="231" spans="2:9" ht="45">
      <c r="B231" s="662">
        <v>45877</v>
      </c>
      <c r="C231" s="434" t="s">
        <v>235</v>
      </c>
      <c r="D231" s="434" t="s">
        <v>191</v>
      </c>
      <c r="E231" s="488" t="s">
        <v>792</v>
      </c>
      <c r="F231" s="486" t="s">
        <v>255</v>
      </c>
      <c r="G231" s="488" t="s">
        <v>162</v>
      </c>
      <c r="H231" s="431" t="s">
        <v>793</v>
      </c>
      <c r="I231" s="435"/>
    </row>
    <row r="232" spans="2:9" ht="33">
      <c r="B232" s="661">
        <v>45882</v>
      </c>
      <c r="C232" s="429" t="s">
        <v>803</v>
      </c>
      <c r="D232" s="429" t="s">
        <v>815</v>
      </c>
      <c r="E232" s="485" t="s">
        <v>840</v>
      </c>
      <c r="F232" s="485" t="s">
        <v>89</v>
      </c>
      <c r="G232" s="487" t="s">
        <v>162</v>
      </c>
      <c r="H232" s="430" t="s">
        <v>959</v>
      </c>
      <c r="I232" s="432"/>
    </row>
    <row r="233" spans="2:9" ht="30">
      <c r="B233" s="662">
        <v>45882</v>
      </c>
      <c r="C233" s="434" t="s">
        <v>803</v>
      </c>
      <c r="D233" s="434" t="s">
        <v>191</v>
      </c>
      <c r="E233" s="486" t="s">
        <v>841</v>
      </c>
      <c r="F233" s="486" t="s">
        <v>89</v>
      </c>
      <c r="G233" s="488" t="s">
        <v>162</v>
      </c>
      <c r="H233" s="431" t="s">
        <v>842</v>
      </c>
      <c r="I233" s="435"/>
    </row>
    <row r="234" spans="2:9" ht="30">
      <c r="B234" s="661">
        <v>45883</v>
      </c>
      <c r="C234" s="429" t="s">
        <v>803</v>
      </c>
      <c r="D234" s="429" t="s">
        <v>818</v>
      </c>
      <c r="E234" s="485" t="s">
        <v>833</v>
      </c>
      <c r="F234" s="485" t="s">
        <v>89</v>
      </c>
      <c r="G234" s="487" t="s">
        <v>162</v>
      </c>
      <c r="H234" s="430" t="s">
        <v>834</v>
      </c>
      <c r="I234" s="432"/>
    </row>
    <row r="235" spans="2:9">
      <c r="B235" s="662">
        <v>45883</v>
      </c>
      <c r="C235" s="434" t="s">
        <v>803</v>
      </c>
      <c r="D235" s="434" t="s">
        <v>815</v>
      </c>
      <c r="E235" s="488" t="s">
        <v>835</v>
      </c>
      <c r="F235" s="486" t="s">
        <v>89</v>
      </c>
      <c r="G235" s="488" t="s">
        <v>162</v>
      </c>
      <c r="H235" s="434" t="s">
        <v>836</v>
      </c>
      <c r="I235" s="435"/>
    </row>
    <row r="236" spans="2:9">
      <c r="B236" s="661">
        <v>45889</v>
      </c>
      <c r="C236" s="429" t="s">
        <v>309</v>
      </c>
      <c r="D236" s="429" t="s">
        <v>323</v>
      </c>
      <c r="E236" s="487" t="s">
        <v>399</v>
      </c>
      <c r="F236" s="485" t="s">
        <v>755</v>
      </c>
      <c r="G236" s="487" t="s">
        <v>162</v>
      </c>
      <c r="H236" s="429" t="s">
        <v>843</v>
      </c>
      <c r="I236" s="432" t="s">
        <v>176</v>
      </c>
    </row>
    <row r="237" spans="2:9">
      <c r="B237" s="662">
        <v>45890</v>
      </c>
      <c r="C237" s="434" t="s">
        <v>844</v>
      </c>
      <c r="D237" s="434" t="s">
        <v>730</v>
      </c>
      <c r="E237" s="486" t="s">
        <v>845</v>
      </c>
      <c r="F237" s="486" t="s">
        <v>392</v>
      </c>
      <c r="G237" s="488" t="s">
        <v>162</v>
      </c>
      <c r="H237" s="431" t="s">
        <v>843</v>
      </c>
      <c r="I237" s="435" t="s">
        <v>176</v>
      </c>
    </row>
    <row r="238" spans="2:9">
      <c r="B238" s="661">
        <v>45890</v>
      </c>
      <c r="C238" s="429" t="s">
        <v>846</v>
      </c>
      <c r="D238" s="429" t="s">
        <v>206</v>
      </c>
      <c r="E238" s="485" t="s">
        <v>847</v>
      </c>
      <c r="F238" s="485" t="s">
        <v>50</v>
      </c>
      <c r="G238" s="487" t="s">
        <v>162</v>
      </c>
      <c r="H238" s="430" t="s">
        <v>848</v>
      </c>
      <c r="I238" s="432" t="s">
        <v>176</v>
      </c>
    </row>
    <row r="239" spans="2:9">
      <c r="B239" s="662">
        <v>45890</v>
      </c>
      <c r="C239" s="434" t="s">
        <v>803</v>
      </c>
      <c r="D239" s="434" t="s">
        <v>323</v>
      </c>
      <c r="E239" s="486" t="s">
        <v>847</v>
      </c>
      <c r="F239" s="486" t="s">
        <v>50</v>
      </c>
      <c r="G239" s="488" t="s">
        <v>162</v>
      </c>
      <c r="H239" s="431" t="s">
        <v>849</v>
      </c>
      <c r="I239" s="435" t="s">
        <v>176</v>
      </c>
    </row>
    <row r="240" spans="2:9">
      <c r="B240" s="661">
        <v>45890</v>
      </c>
      <c r="C240" s="429" t="s">
        <v>112</v>
      </c>
      <c r="D240" s="429" t="s">
        <v>191</v>
      </c>
      <c r="E240" s="485" t="s">
        <v>851</v>
      </c>
      <c r="F240" s="485" t="s">
        <v>852</v>
      </c>
      <c r="G240" s="487" t="s">
        <v>162</v>
      </c>
      <c r="H240" s="430" t="s">
        <v>853</v>
      </c>
      <c r="I240" s="432" t="s">
        <v>176</v>
      </c>
    </row>
    <row r="241" spans="2:9">
      <c r="B241" s="662">
        <v>46255</v>
      </c>
      <c r="C241" s="434" t="s">
        <v>321</v>
      </c>
      <c r="D241" s="434" t="s">
        <v>322</v>
      </c>
      <c r="E241" s="486" t="s">
        <v>399</v>
      </c>
      <c r="F241" s="486" t="s">
        <v>88</v>
      </c>
      <c r="G241" s="488" t="s">
        <v>162</v>
      </c>
      <c r="H241" s="434" t="s">
        <v>843</v>
      </c>
      <c r="I241" s="435" t="s">
        <v>176</v>
      </c>
    </row>
    <row r="242" spans="2:9">
      <c r="B242" s="661">
        <v>46255</v>
      </c>
      <c r="C242" s="429" t="s">
        <v>837</v>
      </c>
      <c r="D242" s="429" t="s">
        <v>191</v>
      </c>
      <c r="E242" s="485" t="s">
        <v>847</v>
      </c>
      <c r="F242" s="485" t="s">
        <v>50</v>
      </c>
      <c r="G242" s="487" t="s">
        <v>162</v>
      </c>
      <c r="H242" s="430" t="s">
        <v>850</v>
      </c>
      <c r="I242" s="432" t="s">
        <v>176</v>
      </c>
    </row>
    <row r="243" spans="2:9">
      <c r="B243" s="661">
        <v>45820</v>
      </c>
      <c r="C243" s="428" t="s">
        <v>321</v>
      </c>
      <c r="D243" s="429" t="s">
        <v>322</v>
      </c>
      <c r="E243" s="485" t="s">
        <v>307</v>
      </c>
      <c r="F243" s="487" t="s">
        <v>88</v>
      </c>
      <c r="G243" s="487" t="s">
        <v>162</v>
      </c>
      <c r="H243" s="431" t="s">
        <v>873</v>
      </c>
      <c r="I243" s="432"/>
    </row>
    <row r="244" spans="2:9" ht="30">
      <c r="B244" s="662">
        <v>45820</v>
      </c>
      <c r="C244" s="433" t="s">
        <v>90</v>
      </c>
      <c r="D244" s="434" t="s">
        <v>191</v>
      </c>
      <c r="E244" s="486" t="s">
        <v>874</v>
      </c>
      <c r="F244" s="488" t="s">
        <v>88</v>
      </c>
      <c r="G244" s="488" t="s">
        <v>162</v>
      </c>
      <c r="H244" s="431" t="s">
        <v>875</v>
      </c>
      <c r="I244" s="435"/>
    </row>
    <row r="245" spans="2:9" ht="30">
      <c r="B245" s="661">
        <v>45820</v>
      </c>
      <c r="C245" s="429" t="s">
        <v>321</v>
      </c>
      <c r="D245" s="429" t="s">
        <v>191</v>
      </c>
      <c r="E245" s="485" t="s">
        <v>874</v>
      </c>
      <c r="F245" s="487" t="s">
        <v>88</v>
      </c>
      <c r="G245" s="487" t="s">
        <v>162</v>
      </c>
      <c r="H245" s="431" t="s">
        <v>875</v>
      </c>
      <c r="I245" s="432"/>
    </row>
    <row r="246" spans="2:9">
      <c r="B246" s="662">
        <v>45827</v>
      </c>
      <c r="C246" s="433" t="s">
        <v>90</v>
      </c>
      <c r="D246" s="434" t="s">
        <v>191</v>
      </c>
      <c r="E246" s="486" t="s">
        <v>870</v>
      </c>
      <c r="F246" s="488" t="s">
        <v>88</v>
      </c>
      <c r="G246" s="488" t="s">
        <v>162</v>
      </c>
      <c r="H246" s="436" t="s">
        <v>871</v>
      </c>
      <c r="I246" s="435"/>
    </row>
    <row r="247" spans="2:9" ht="30">
      <c r="B247" s="661">
        <v>45827</v>
      </c>
      <c r="C247" s="433" t="s">
        <v>321</v>
      </c>
      <c r="D247" s="428" t="s">
        <v>191</v>
      </c>
      <c r="E247" s="482" t="s">
        <v>870</v>
      </c>
      <c r="F247" s="487" t="s">
        <v>88</v>
      </c>
      <c r="G247" s="487" t="s">
        <v>162</v>
      </c>
      <c r="H247" s="436" t="s">
        <v>872</v>
      </c>
      <c r="I247" s="432"/>
    </row>
    <row r="248" spans="2:9">
      <c r="B248" s="662">
        <v>45847</v>
      </c>
      <c r="C248" s="433" t="s">
        <v>321</v>
      </c>
      <c r="D248" s="434" t="s">
        <v>322</v>
      </c>
      <c r="E248" s="486" t="s">
        <v>868</v>
      </c>
      <c r="F248" s="488" t="s">
        <v>88</v>
      </c>
      <c r="G248" s="488" t="s">
        <v>162</v>
      </c>
      <c r="H248" s="436" t="s">
        <v>869</v>
      </c>
      <c r="I248" s="435"/>
    </row>
    <row r="249" spans="2:9">
      <c r="B249" s="661">
        <v>45849</v>
      </c>
      <c r="C249" s="434" t="s">
        <v>90</v>
      </c>
      <c r="D249" s="434" t="s">
        <v>191</v>
      </c>
      <c r="E249" s="486" t="s">
        <v>866</v>
      </c>
      <c r="F249" s="487" t="s">
        <v>88</v>
      </c>
      <c r="G249" s="487" t="s">
        <v>162</v>
      </c>
      <c r="H249" s="436" t="s">
        <v>867</v>
      </c>
      <c r="I249" s="432"/>
    </row>
    <row r="250" spans="2:9">
      <c r="B250" s="662">
        <v>45859</v>
      </c>
      <c r="C250" s="433" t="s">
        <v>321</v>
      </c>
      <c r="D250" s="434" t="s">
        <v>322</v>
      </c>
      <c r="E250" s="486" t="s">
        <v>864</v>
      </c>
      <c r="F250" s="488" t="s">
        <v>88</v>
      </c>
      <c r="G250" s="488" t="s">
        <v>162</v>
      </c>
      <c r="H250" s="436" t="s">
        <v>865</v>
      </c>
      <c r="I250" s="435"/>
    </row>
    <row r="251" spans="2:9">
      <c r="B251" s="661">
        <v>45859</v>
      </c>
      <c r="C251" s="433" t="s">
        <v>90</v>
      </c>
      <c r="D251" s="428" t="s">
        <v>191</v>
      </c>
      <c r="E251" s="482" t="s">
        <v>864</v>
      </c>
      <c r="F251" s="487" t="s">
        <v>88</v>
      </c>
      <c r="G251" s="487" t="s">
        <v>162</v>
      </c>
      <c r="H251" s="436" t="s">
        <v>865</v>
      </c>
      <c r="I251" s="432"/>
    </row>
    <row r="252" spans="2:9" ht="30">
      <c r="B252" s="663">
        <v>45860</v>
      </c>
      <c r="C252" s="401" t="s">
        <v>90</v>
      </c>
      <c r="D252" s="381" t="s">
        <v>191</v>
      </c>
      <c r="E252" s="491" t="s">
        <v>399</v>
      </c>
      <c r="F252" s="489" t="s">
        <v>88</v>
      </c>
      <c r="G252" s="489" t="s">
        <v>162</v>
      </c>
      <c r="H252" s="402" t="s">
        <v>878</v>
      </c>
      <c r="I252" s="383"/>
    </row>
    <row r="253" spans="2:9" ht="30">
      <c r="B253" s="664">
        <v>45876</v>
      </c>
      <c r="C253" s="381" t="s">
        <v>90</v>
      </c>
      <c r="D253" s="381" t="s">
        <v>191</v>
      </c>
      <c r="E253" s="491" t="s">
        <v>863</v>
      </c>
      <c r="F253" s="490" t="s">
        <v>88</v>
      </c>
      <c r="G253" s="490" t="s">
        <v>162</v>
      </c>
      <c r="H253" s="402" t="s">
        <v>877</v>
      </c>
      <c r="I253" s="380"/>
    </row>
    <row r="254" spans="2:9" ht="30">
      <c r="B254" s="663">
        <v>45881</v>
      </c>
      <c r="C254" s="401" t="s">
        <v>321</v>
      </c>
      <c r="D254" s="381" t="s">
        <v>322</v>
      </c>
      <c r="E254" s="491" t="s">
        <v>35</v>
      </c>
      <c r="F254" s="489" t="s">
        <v>88</v>
      </c>
      <c r="G254" s="489" t="s">
        <v>162</v>
      </c>
      <c r="H254" s="402" t="s">
        <v>862</v>
      </c>
      <c r="I254" s="383"/>
    </row>
    <row r="255" spans="2:9" ht="30">
      <c r="B255" s="664">
        <v>45890</v>
      </c>
      <c r="C255" s="378" t="s">
        <v>321</v>
      </c>
      <c r="D255" s="378" t="s">
        <v>322</v>
      </c>
      <c r="E255" s="492" t="s">
        <v>860</v>
      </c>
      <c r="F255" s="490" t="s">
        <v>88</v>
      </c>
      <c r="G255" s="490" t="s">
        <v>162</v>
      </c>
      <c r="H255" s="403" t="s">
        <v>861</v>
      </c>
      <c r="I255" s="380"/>
    </row>
    <row r="256" spans="2:9">
      <c r="B256" s="663">
        <v>45895</v>
      </c>
      <c r="C256" s="401" t="s">
        <v>389</v>
      </c>
      <c r="D256" s="381" t="s">
        <v>730</v>
      </c>
      <c r="E256" s="491" t="s">
        <v>854</v>
      </c>
      <c r="F256" s="491" t="s">
        <v>855</v>
      </c>
      <c r="G256" s="489" t="s">
        <v>162</v>
      </c>
      <c r="H256" s="402" t="s">
        <v>856</v>
      </c>
      <c r="I256" s="383" t="s">
        <v>176</v>
      </c>
    </row>
    <row r="257" spans="2:9" ht="30">
      <c r="B257" s="664">
        <v>45895</v>
      </c>
      <c r="C257" s="381" t="s">
        <v>321</v>
      </c>
      <c r="D257" s="378" t="s">
        <v>322</v>
      </c>
      <c r="E257" s="492" t="s">
        <v>858</v>
      </c>
      <c r="F257" s="490" t="s">
        <v>88</v>
      </c>
      <c r="G257" s="490" t="s">
        <v>162</v>
      </c>
      <c r="H257" s="403" t="s">
        <v>859</v>
      </c>
      <c r="I257" s="380"/>
    </row>
    <row r="258" spans="2:9">
      <c r="B258" s="663">
        <v>45897</v>
      </c>
      <c r="C258" s="381" t="s">
        <v>112</v>
      </c>
      <c r="D258" s="381" t="s">
        <v>191</v>
      </c>
      <c r="E258" s="491" t="s">
        <v>761</v>
      </c>
      <c r="F258" s="404" t="s">
        <v>166</v>
      </c>
      <c r="G258" s="489" t="s">
        <v>162</v>
      </c>
      <c r="H258" s="405" t="s">
        <v>876</v>
      </c>
      <c r="I258" s="383"/>
    </row>
    <row r="259" spans="2:9">
      <c r="B259" s="664">
        <v>45897</v>
      </c>
      <c r="C259" s="378" t="s">
        <v>112</v>
      </c>
      <c r="D259" s="378" t="s">
        <v>191</v>
      </c>
      <c r="E259" s="490" t="s">
        <v>589</v>
      </c>
      <c r="F259" s="492" t="s">
        <v>852</v>
      </c>
      <c r="G259" s="490" t="s">
        <v>162</v>
      </c>
      <c r="H259" s="406" t="s">
        <v>887</v>
      </c>
      <c r="I259" s="380" t="s">
        <v>176</v>
      </c>
    </row>
    <row r="260" spans="2:9">
      <c r="B260" s="663">
        <v>45897</v>
      </c>
      <c r="C260" s="381" t="s">
        <v>890</v>
      </c>
      <c r="D260" s="381" t="s">
        <v>894</v>
      </c>
      <c r="E260" s="491" t="s">
        <v>891</v>
      </c>
      <c r="F260" s="491" t="s">
        <v>50</v>
      </c>
      <c r="G260" s="489" t="s">
        <v>162</v>
      </c>
      <c r="H260" s="382" t="s">
        <v>893</v>
      </c>
      <c r="I260" s="383" t="s">
        <v>176</v>
      </c>
    </row>
    <row r="261" spans="2:9">
      <c r="B261" s="664">
        <v>45897</v>
      </c>
      <c r="C261" s="378" t="s">
        <v>403</v>
      </c>
      <c r="D261" s="378" t="s">
        <v>812</v>
      </c>
      <c r="E261" s="492" t="s">
        <v>891</v>
      </c>
      <c r="F261" s="492" t="s">
        <v>50</v>
      </c>
      <c r="G261" s="490" t="s">
        <v>162</v>
      </c>
      <c r="H261" s="379" t="s">
        <v>895</v>
      </c>
      <c r="I261" s="380" t="s">
        <v>176</v>
      </c>
    </row>
    <row r="262" spans="2:9">
      <c r="B262" s="662">
        <v>45898</v>
      </c>
      <c r="C262" s="434" t="s">
        <v>888</v>
      </c>
      <c r="D262" s="434" t="s">
        <v>730</v>
      </c>
      <c r="E262" s="488" t="s">
        <v>892</v>
      </c>
      <c r="F262" s="486" t="s">
        <v>50</v>
      </c>
      <c r="G262" s="488" t="s">
        <v>162</v>
      </c>
      <c r="H262" s="434" t="s">
        <v>889</v>
      </c>
      <c r="I262" s="435" t="s">
        <v>176</v>
      </c>
    </row>
    <row r="263" spans="2:9">
      <c r="B263" s="661">
        <v>45902</v>
      </c>
      <c r="C263" s="428" t="s">
        <v>896</v>
      </c>
      <c r="D263" s="429" t="s">
        <v>286</v>
      </c>
      <c r="E263" s="485" t="s">
        <v>897</v>
      </c>
      <c r="F263" s="487" t="s">
        <v>50</v>
      </c>
      <c r="G263" s="487" t="s">
        <v>162</v>
      </c>
      <c r="H263" s="431" t="s">
        <v>898</v>
      </c>
      <c r="I263" s="432" t="s">
        <v>176</v>
      </c>
    </row>
    <row r="264" spans="2:9">
      <c r="B264" s="662">
        <v>45903</v>
      </c>
      <c r="C264" s="433" t="s">
        <v>516</v>
      </c>
      <c r="D264" s="434" t="s">
        <v>323</v>
      </c>
      <c r="E264" s="486" t="s">
        <v>899</v>
      </c>
      <c r="F264" s="488" t="s">
        <v>50</v>
      </c>
      <c r="G264" s="488" t="s">
        <v>162</v>
      </c>
      <c r="H264" s="431" t="s">
        <v>900</v>
      </c>
      <c r="I264" s="435" t="s">
        <v>176</v>
      </c>
    </row>
    <row r="265" spans="2:9" ht="60">
      <c r="B265" s="661">
        <v>45903</v>
      </c>
      <c r="C265" s="429" t="s">
        <v>389</v>
      </c>
      <c r="D265" s="429" t="s">
        <v>206</v>
      </c>
      <c r="E265" s="485" t="s">
        <v>847</v>
      </c>
      <c r="F265" s="487" t="s">
        <v>50</v>
      </c>
      <c r="G265" s="487" t="s">
        <v>901</v>
      </c>
      <c r="H265" s="431" t="s">
        <v>919</v>
      </c>
      <c r="I265" s="432" t="s">
        <v>176</v>
      </c>
    </row>
    <row r="266" spans="2:9">
      <c r="B266" s="662">
        <v>45903</v>
      </c>
      <c r="C266" s="433" t="s">
        <v>321</v>
      </c>
      <c r="D266" s="434" t="s">
        <v>242</v>
      </c>
      <c r="E266" s="486" t="s">
        <v>399</v>
      </c>
      <c r="F266" s="488" t="s">
        <v>88</v>
      </c>
      <c r="G266" s="488" t="s">
        <v>162</v>
      </c>
      <c r="H266" s="436" t="s">
        <v>914</v>
      </c>
      <c r="I266" s="435"/>
    </row>
    <row r="267" spans="2:9">
      <c r="B267" s="661">
        <v>45904</v>
      </c>
      <c r="C267" s="433" t="s">
        <v>196</v>
      </c>
      <c r="D267" s="428" t="s">
        <v>916</v>
      </c>
      <c r="E267" s="482" t="s">
        <v>915</v>
      </c>
      <c r="F267" s="487" t="s">
        <v>89</v>
      </c>
      <c r="G267" s="487" t="s">
        <v>162</v>
      </c>
      <c r="H267" s="436" t="s">
        <v>914</v>
      </c>
      <c r="I267" s="432"/>
    </row>
    <row r="268" spans="2:9">
      <c r="B268" s="662">
        <v>45904</v>
      </c>
      <c r="C268" s="433" t="s">
        <v>401</v>
      </c>
      <c r="D268" s="434" t="s">
        <v>917</v>
      </c>
      <c r="E268" s="486" t="s">
        <v>399</v>
      </c>
      <c r="F268" s="488" t="s">
        <v>88</v>
      </c>
      <c r="G268" s="488" t="s">
        <v>162</v>
      </c>
      <c r="H268" s="436" t="s">
        <v>918</v>
      </c>
      <c r="I268" s="435"/>
    </row>
    <row r="269" spans="2:9">
      <c r="B269" s="661">
        <v>45905</v>
      </c>
      <c r="C269" s="428" t="s">
        <v>921</v>
      </c>
      <c r="D269" s="429" t="s">
        <v>730</v>
      </c>
      <c r="E269" s="485" t="s">
        <v>922</v>
      </c>
      <c r="F269" s="487" t="s">
        <v>392</v>
      </c>
      <c r="G269" s="487" t="s">
        <v>162</v>
      </c>
      <c r="H269" s="431" t="s">
        <v>935</v>
      </c>
      <c r="I269" s="432" t="s">
        <v>171</v>
      </c>
    </row>
    <row r="270" spans="2:9">
      <c r="B270" s="662">
        <v>45909</v>
      </c>
      <c r="C270" s="433" t="s">
        <v>389</v>
      </c>
      <c r="D270" s="434" t="s">
        <v>191</v>
      </c>
      <c r="E270" s="486" t="s">
        <v>923</v>
      </c>
      <c r="F270" s="488" t="s">
        <v>924</v>
      </c>
      <c r="G270" s="488" t="s">
        <v>162</v>
      </c>
      <c r="H270" s="431" t="s">
        <v>925</v>
      </c>
      <c r="I270" s="435" t="s">
        <v>176</v>
      </c>
    </row>
    <row r="271" spans="2:9">
      <c r="B271" s="661">
        <v>45909</v>
      </c>
      <c r="C271" s="429" t="s">
        <v>888</v>
      </c>
      <c r="D271" s="429" t="s">
        <v>730</v>
      </c>
      <c r="E271" s="485" t="s">
        <v>926</v>
      </c>
      <c r="F271" s="487" t="s">
        <v>50</v>
      </c>
      <c r="G271" s="487" t="s">
        <v>162</v>
      </c>
      <c r="H271" s="431" t="s">
        <v>927</v>
      </c>
      <c r="I271" s="432" t="s">
        <v>176</v>
      </c>
    </row>
    <row r="272" spans="2:9" ht="30">
      <c r="B272" s="662">
        <v>45909</v>
      </c>
      <c r="C272" s="433" t="s">
        <v>541</v>
      </c>
      <c r="D272" s="434" t="s">
        <v>936</v>
      </c>
      <c r="E272" s="486" t="s">
        <v>937</v>
      </c>
      <c r="F272" s="488" t="s">
        <v>938</v>
      </c>
      <c r="G272" s="488" t="s">
        <v>162</v>
      </c>
      <c r="H272" s="436" t="s">
        <v>944</v>
      </c>
      <c r="I272" s="435" t="s">
        <v>171</v>
      </c>
    </row>
    <row r="273" spans="2:9" ht="30">
      <c r="B273" s="661">
        <v>45909</v>
      </c>
      <c r="C273" s="433" t="s">
        <v>400</v>
      </c>
      <c r="D273" s="428" t="s">
        <v>940</v>
      </c>
      <c r="E273" s="482" t="s">
        <v>937</v>
      </c>
      <c r="F273" s="487" t="s">
        <v>938</v>
      </c>
      <c r="G273" s="487" t="s">
        <v>162</v>
      </c>
      <c r="H273" s="436" t="s">
        <v>944</v>
      </c>
      <c r="I273" s="432" t="s">
        <v>171</v>
      </c>
    </row>
    <row r="274" spans="2:9" ht="30">
      <c r="B274" s="662">
        <v>45909</v>
      </c>
      <c r="C274" s="433" t="s">
        <v>943</v>
      </c>
      <c r="D274" s="434" t="s">
        <v>939</v>
      </c>
      <c r="E274" s="481" t="s">
        <v>937</v>
      </c>
      <c r="F274" s="488" t="s">
        <v>938</v>
      </c>
      <c r="G274" s="488" t="s">
        <v>162</v>
      </c>
      <c r="H274" s="436" t="s">
        <v>944</v>
      </c>
      <c r="I274" s="435" t="s">
        <v>171</v>
      </c>
    </row>
    <row r="275" spans="2:9" ht="30">
      <c r="B275" s="661">
        <v>45909</v>
      </c>
      <c r="C275" s="429" t="s">
        <v>464</v>
      </c>
      <c r="D275" s="429" t="s">
        <v>941</v>
      </c>
      <c r="E275" s="482" t="s">
        <v>937</v>
      </c>
      <c r="F275" s="487" t="s">
        <v>938</v>
      </c>
      <c r="G275" s="487" t="s">
        <v>162</v>
      </c>
      <c r="H275" s="436" t="s">
        <v>945</v>
      </c>
      <c r="I275" s="432" t="s">
        <v>171</v>
      </c>
    </row>
    <row r="276" spans="2:9" ht="30">
      <c r="B276" s="662">
        <v>45909</v>
      </c>
      <c r="C276" s="433" t="s">
        <v>389</v>
      </c>
      <c r="D276" s="434" t="s">
        <v>942</v>
      </c>
      <c r="E276" s="481" t="s">
        <v>937</v>
      </c>
      <c r="F276" s="488" t="s">
        <v>938</v>
      </c>
      <c r="G276" s="488" t="s">
        <v>162</v>
      </c>
      <c r="H276" s="436" t="s">
        <v>944</v>
      </c>
      <c r="I276" s="435" t="s">
        <v>171</v>
      </c>
    </row>
    <row r="277" spans="2:9">
      <c r="B277" s="661">
        <v>45910</v>
      </c>
      <c r="C277" s="428" t="s">
        <v>921</v>
      </c>
      <c r="D277" s="429" t="s">
        <v>390</v>
      </c>
      <c r="E277" s="482" t="s">
        <v>928</v>
      </c>
      <c r="F277" s="487" t="s">
        <v>50</v>
      </c>
      <c r="G277" s="487" t="s">
        <v>162</v>
      </c>
      <c r="H277" s="436" t="s">
        <v>929</v>
      </c>
      <c r="I277" s="432" t="s">
        <v>176</v>
      </c>
    </row>
    <row r="278" spans="2:9">
      <c r="B278" s="662">
        <v>45910</v>
      </c>
      <c r="C278" s="433" t="s">
        <v>541</v>
      </c>
      <c r="D278" s="433" t="s">
        <v>936</v>
      </c>
      <c r="E278" s="481" t="s">
        <v>946</v>
      </c>
      <c r="F278" s="488" t="s">
        <v>947</v>
      </c>
      <c r="G278" s="488" t="s">
        <v>162</v>
      </c>
      <c r="H278" s="436" t="s">
        <v>948</v>
      </c>
      <c r="I278" s="435" t="s">
        <v>171</v>
      </c>
    </row>
    <row r="279" spans="2:9">
      <c r="B279" s="661">
        <v>45910</v>
      </c>
      <c r="C279" s="433" t="s">
        <v>400</v>
      </c>
      <c r="D279" s="429" t="s">
        <v>940</v>
      </c>
      <c r="E279" s="482" t="s">
        <v>946</v>
      </c>
      <c r="F279" s="487" t="s">
        <v>947</v>
      </c>
      <c r="G279" s="487" t="s">
        <v>162</v>
      </c>
      <c r="H279" s="436" t="s">
        <v>948</v>
      </c>
      <c r="I279" s="432" t="s">
        <v>171</v>
      </c>
    </row>
    <row r="280" spans="2:9">
      <c r="B280" s="662">
        <v>45910</v>
      </c>
      <c r="C280" s="434" t="s">
        <v>943</v>
      </c>
      <c r="D280" s="434" t="s">
        <v>939</v>
      </c>
      <c r="E280" s="481" t="s">
        <v>946</v>
      </c>
      <c r="F280" s="488" t="s">
        <v>947</v>
      </c>
      <c r="G280" s="488" t="s">
        <v>162</v>
      </c>
      <c r="H280" s="436" t="s">
        <v>948</v>
      </c>
      <c r="I280" s="435" t="s">
        <v>171</v>
      </c>
    </row>
    <row r="281" spans="2:9">
      <c r="B281" s="661">
        <v>45910</v>
      </c>
      <c r="C281" s="429" t="s">
        <v>309</v>
      </c>
      <c r="D281" s="429" t="s">
        <v>341</v>
      </c>
      <c r="E281" s="482" t="s">
        <v>946</v>
      </c>
      <c r="F281" s="487" t="s">
        <v>947</v>
      </c>
      <c r="G281" s="487" t="s">
        <v>162</v>
      </c>
      <c r="H281" s="436" t="s">
        <v>948</v>
      </c>
      <c r="I281" s="432" t="s">
        <v>171</v>
      </c>
    </row>
    <row r="282" spans="2:9">
      <c r="B282" s="662">
        <v>45910</v>
      </c>
      <c r="C282" s="433" t="s">
        <v>389</v>
      </c>
      <c r="D282" s="434" t="s">
        <v>942</v>
      </c>
      <c r="E282" s="481" t="s">
        <v>946</v>
      </c>
      <c r="F282" s="488" t="s">
        <v>947</v>
      </c>
      <c r="G282" s="488" t="s">
        <v>162</v>
      </c>
      <c r="H282" s="436" t="s">
        <v>948</v>
      </c>
      <c r="I282" s="435" t="s">
        <v>171</v>
      </c>
    </row>
    <row r="283" spans="2:9" ht="30">
      <c r="B283" s="661">
        <v>45910</v>
      </c>
      <c r="C283" s="434" t="s">
        <v>464</v>
      </c>
      <c r="D283" s="429" t="s">
        <v>250</v>
      </c>
      <c r="E283" s="482" t="s">
        <v>937</v>
      </c>
      <c r="F283" s="487" t="s">
        <v>938</v>
      </c>
      <c r="G283" s="487" t="s">
        <v>162</v>
      </c>
      <c r="H283" s="437" t="s">
        <v>949</v>
      </c>
      <c r="I283" s="432" t="s">
        <v>171</v>
      </c>
    </row>
    <row r="284" spans="2:9">
      <c r="B284" s="662">
        <v>45911</v>
      </c>
      <c r="C284" s="434" t="s">
        <v>105</v>
      </c>
      <c r="D284" s="434" t="s">
        <v>950</v>
      </c>
      <c r="E284" s="486" t="s">
        <v>951</v>
      </c>
      <c r="F284" s="438" t="s">
        <v>42</v>
      </c>
      <c r="G284" s="488" t="s">
        <v>162</v>
      </c>
      <c r="H284" s="439" t="s">
        <v>952</v>
      </c>
      <c r="I284" s="435" t="s">
        <v>171</v>
      </c>
    </row>
    <row r="285" spans="2:9">
      <c r="B285" s="661">
        <v>45911</v>
      </c>
      <c r="C285" s="429" t="s">
        <v>409</v>
      </c>
      <c r="D285" s="429" t="s">
        <v>953</v>
      </c>
      <c r="E285" s="487" t="s">
        <v>912</v>
      </c>
      <c r="F285" s="485" t="s">
        <v>42</v>
      </c>
      <c r="G285" s="487" t="s">
        <v>954</v>
      </c>
      <c r="H285" s="440" t="s">
        <v>955</v>
      </c>
      <c r="I285" s="432" t="s">
        <v>176</v>
      </c>
    </row>
    <row r="286" spans="2:9" ht="30">
      <c r="B286" s="662">
        <v>45912</v>
      </c>
      <c r="C286" s="434" t="s">
        <v>921</v>
      </c>
      <c r="D286" s="434" t="s">
        <v>730</v>
      </c>
      <c r="E286" s="486" t="s">
        <v>956</v>
      </c>
      <c r="F286" s="486" t="s">
        <v>392</v>
      </c>
      <c r="G286" s="488" t="s">
        <v>957</v>
      </c>
      <c r="H286" s="431" t="s">
        <v>958</v>
      </c>
      <c r="I286" s="435" t="s">
        <v>171</v>
      </c>
    </row>
    <row r="287" spans="2:9">
      <c r="B287" s="665">
        <v>45897</v>
      </c>
      <c r="C287" s="504" t="s">
        <v>90</v>
      </c>
      <c r="D287" s="505" t="s">
        <v>191</v>
      </c>
      <c r="E287" s="506" t="s">
        <v>399</v>
      </c>
      <c r="F287" s="507" t="s">
        <v>88</v>
      </c>
      <c r="G287" s="507" t="s">
        <v>162</v>
      </c>
      <c r="H287" s="508" t="s">
        <v>962</v>
      </c>
      <c r="I287" s="509"/>
    </row>
    <row r="288" spans="2:9">
      <c r="B288" s="666">
        <v>45897</v>
      </c>
      <c r="C288" s="504" t="s">
        <v>112</v>
      </c>
      <c r="D288" s="510" t="s">
        <v>818</v>
      </c>
      <c r="E288" s="511" t="s">
        <v>761</v>
      </c>
      <c r="F288" s="512" t="s">
        <v>166</v>
      </c>
      <c r="G288" s="512" t="s">
        <v>162</v>
      </c>
      <c r="H288" s="508" t="s">
        <v>966</v>
      </c>
      <c r="I288" s="513"/>
    </row>
    <row r="289" spans="2:9">
      <c r="B289" s="665">
        <v>45898</v>
      </c>
      <c r="C289" s="514" t="s">
        <v>961</v>
      </c>
      <c r="D289" s="505" t="s">
        <v>242</v>
      </c>
      <c r="E289" s="506" t="s">
        <v>399</v>
      </c>
      <c r="F289" s="507" t="s">
        <v>88</v>
      </c>
      <c r="G289" s="507" t="s">
        <v>162</v>
      </c>
      <c r="H289" s="508" t="s">
        <v>963</v>
      </c>
      <c r="I289" s="509"/>
    </row>
    <row r="290" spans="2:9">
      <c r="B290" s="666">
        <v>45901</v>
      </c>
      <c r="C290" s="504" t="s">
        <v>112</v>
      </c>
      <c r="D290" s="510" t="s">
        <v>818</v>
      </c>
      <c r="E290" s="511" t="s">
        <v>589</v>
      </c>
      <c r="F290" s="512" t="s">
        <v>166</v>
      </c>
      <c r="G290" s="512" t="s">
        <v>162</v>
      </c>
      <c r="H290" s="504" t="s">
        <v>967</v>
      </c>
      <c r="I290" s="513"/>
    </row>
    <row r="291" spans="2:9">
      <c r="B291" s="665">
        <v>45901</v>
      </c>
      <c r="C291" s="504" t="s">
        <v>888</v>
      </c>
      <c r="D291" s="505" t="s">
        <v>968</v>
      </c>
      <c r="E291" s="506" t="s">
        <v>973</v>
      </c>
      <c r="F291" s="507" t="s">
        <v>252</v>
      </c>
      <c r="G291" s="507" t="s">
        <v>162</v>
      </c>
      <c r="H291" s="508" t="s">
        <v>1013</v>
      </c>
      <c r="I291" s="509"/>
    </row>
    <row r="292" spans="2:9" ht="30">
      <c r="B292" s="666">
        <v>45903</v>
      </c>
      <c r="C292" s="504" t="s">
        <v>961</v>
      </c>
      <c r="D292" s="510" t="s">
        <v>175</v>
      </c>
      <c r="E292" s="511" t="s">
        <v>964</v>
      </c>
      <c r="F292" s="512" t="s">
        <v>88</v>
      </c>
      <c r="G292" s="512" t="s">
        <v>162</v>
      </c>
      <c r="H292" s="508" t="s">
        <v>965</v>
      </c>
      <c r="I292" s="513"/>
    </row>
    <row r="293" spans="2:9">
      <c r="B293" s="665">
        <v>45909</v>
      </c>
      <c r="C293" s="504" t="s">
        <v>961</v>
      </c>
      <c r="D293" s="505" t="s">
        <v>242</v>
      </c>
      <c r="E293" s="506" t="s">
        <v>863</v>
      </c>
      <c r="F293" s="507" t="s">
        <v>88</v>
      </c>
      <c r="G293" s="507" t="s">
        <v>162</v>
      </c>
      <c r="H293" s="508" t="s">
        <v>960</v>
      </c>
      <c r="I293" s="509"/>
    </row>
    <row r="294" spans="2:9" ht="30">
      <c r="B294" s="666">
        <v>45912</v>
      </c>
      <c r="C294" s="504" t="s">
        <v>974</v>
      </c>
      <c r="D294" s="510" t="s">
        <v>972</v>
      </c>
      <c r="E294" s="511" t="s">
        <v>975</v>
      </c>
      <c r="F294" s="512" t="s">
        <v>976</v>
      </c>
      <c r="G294" s="512" t="s">
        <v>162</v>
      </c>
      <c r="H294" s="508" t="s">
        <v>977</v>
      </c>
      <c r="I294" s="513"/>
    </row>
    <row r="295" spans="2:9">
      <c r="B295" s="665">
        <v>45915</v>
      </c>
      <c r="C295" s="504" t="s">
        <v>888</v>
      </c>
      <c r="D295" s="505" t="s">
        <v>968</v>
      </c>
      <c r="E295" s="506" t="s">
        <v>969</v>
      </c>
      <c r="F295" s="507" t="s">
        <v>392</v>
      </c>
      <c r="G295" s="507" t="s">
        <v>162</v>
      </c>
      <c r="H295" s="508" t="s">
        <v>970</v>
      </c>
      <c r="I295" s="509"/>
    </row>
    <row r="296" spans="2:9" ht="30">
      <c r="B296" s="666">
        <v>45915</v>
      </c>
      <c r="C296" s="515" t="s">
        <v>309</v>
      </c>
      <c r="D296" s="511" t="s">
        <v>341</v>
      </c>
      <c r="E296" s="511" t="s">
        <v>1001</v>
      </c>
      <c r="F296" s="511" t="s">
        <v>42</v>
      </c>
      <c r="G296" s="511" t="s">
        <v>162</v>
      </c>
      <c r="H296" s="508" t="s">
        <v>1002</v>
      </c>
      <c r="I296" s="513" t="s">
        <v>171</v>
      </c>
    </row>
    <row r="297" spans="2:9">
      <c r="B297" s="665">
        <v>45915</v>
      </c>
      <c r="C297" s="516" t="s">
        <v>1003</v>
      </c>
      <c r="D297" s="516" t="s">
        <v>165</v>
      </c>
      <c r="E297" s="506" t="s">
        <v>1005</v>
      </c>
      <c r="F297" s="506" t="s">
        <v>88</v>
      </c>
      <c r="G297" s="517" t="s">
        <v>162</v>
      </c>
      <c r="H297" s="505" t="s">
        <v>1004</v>
      </c>
      <c r="I297" s="509"/>
    </row>
    <row r="298" spans="2:9">
      <c r="B298" s="666">
        <v>45915</v>
      </c>
      <c r="C298" s="518" t="s">
        <v>400</v>
      </c>
      <c r="D298" s="518" t="s">
        <v>1006</v>
      </c>
      <c r="E298" s="511" t="s">
        <v>1007</v>
      </c>
      <c r="F298" s="511" t="s">
        <v>88</v>
      </c>
      <c r="G298" s="519" t="s">
        <v>162</v>
      </c>
      <c r="H298" s="510" t="s">
        <v>1008</v>
      </c>
      <c r="I298" s="513"/>
    </row>
    <row r="299" spans="2:9" ht="30">
      <c r="B299" s="665">
        <v>45916</v>
      </c>
      <c r="C299" s="510" t="s">
        <v>987</v>
      </c>
      <c r="D299" s="505" t="s">
        <v>286</v>
      </c>
      <c r="E299" s="506" t="s">
        <v>986</v>
      </c>
      <c r="F299" s="507" t="s">
        <v>50</v>
      </c>
      <c r="G299" s="507" t="s">
        <v>162</v>
      </c>
      <c r="H299" s="520" t="s">
        <v>989</v>
      </c>
      <c r="I299" s="509" t="s">
        <v>176</v>
      </c>
    </row>
    <row r="300" spans="2:9">
      <c r="B300" s="666">
        <v>45916</v>
      </c>
      <c r="C300" s="510" t="s">
        <v>45</v>
      </c>
      <c r="D300" s="510" t="s">
        <v>988</v>
      </c>
      <c r="E300" s="511" t="s">
        <v>986</v>
      </c>
      <c r="F300" s="511" t="s">
        <v>50</v>
      </c>
      <c r="G300" s="512" t="s">
        <v>162</v>
      </c>
      <c r="H300" s="510" t="s">
        <v>990</v>
      </c>
      <c r="I300" s="513" t="s">
        <v>176</v>
      </c>
    </row>
    <row r="301" spans="2:9">
      <c r="B301" s="665">
        <v>45916</v>
      </c>
      <c r="C301" s="521" t="s">
        <v>177</v>
      </c>
      <c r="D301" s="516" t="s">
        <v>411</v>
      </c>
      <c r="E301" s="506" t="s">
        <v>770</v>
      </c>
      <c r="F301" s="506" t="s">
        <v>42</v>
      </c>
      <c r="G301" s="517" t="s">
        <v>1009</v>
      </c>
      <c r="H301" s="505" t="s">
        <v>1010</v>
      </c>
      <c r="I301" s="509" t="s">
        <v>171</v>
      </c>
    </row>
    <row r="302" spans="2:9">
      <c r="B302" s="667">
        <v>45916</v>
      </c>
      <c r="C302" s="518" t="s">
        <v>159</v>
      </c>
      <c r="D302" s="522" t="s">
        <v>1011</v>
      </c>
      <c r="E302" s="523" t="s">
        <v>1005</v>
      </c>
      <c r="F302" s="523" t="s">
        <v>252</v>
      </c>
      <c r="G302" s="524" t="s">
        <v>162</v>
      </c>
      <c r="H302" s="525" t="s">
        <v>1012</v>
      </c>
      <c r="I302" s="526"/>
    </row>
    <row r="303" spans="2:9">
      <c r="B303" s="527">
        <v>45917</v>
      </c>
      <c r="C303" s="527" t="s">
        <v>159</v>
      </c>
      <c r="D303" s="521" t="s">
        <v>1014</v>
      </c>
      <c r="E303" s="528" t="s">
        <v>1015</v>
      </c>
      <c r="F303" s="528" t="s">
        <v>42</v>
      </c>
      <c r="G303" s="529" t="s">
        <v>162</v>
      </c>
      <c r="H303" s="505" t="s">
        <v>1016</v>
      </c>
      <c r="I303" s="530" t="s">
        <v>171</v>
      </c>
    </row>
    <row r="304" spans="2:9">
      <c r="B304" s="668">
        <v>45917</v>
      </c>
      <c r="C304" s="531" t="s">
        <v>324</v>
      </c>
      <c r="D304" s="531" t="s">
        <v>1017</v>
      </c>
      <c r="E304" s="515" t="s">
        <v>1018</v>
      </c>
      <c r="F304" s="515" t="s">
        <v>47</v>
      </c>
      <c r="G304" s="532" t="s">
        <v>162</v>
      </c>
      <c r="H304" s="510" t="s">
        <v>1019</v>
      </c>
      <c r="I304" s="533"/>
    </row>
    <row r="305" spans="2:9">
      <c r="B305" s="527">
        <v>45918</v>
      </c>
      <c r="C305" s="514" t="s">
        <v>921</v>
      </c>
      <c r="D305" s="514" t="s">
        <v>730</v>
      </c>
      <c r="E305" s="528" t="s">
        <v>991</v>
      </c>
      <c r="F305" s="528" t="s">
        <v>392</v>
      </c>
      <c r="G305" s="534" t="s">
        <v>162</v>
      </c>
      <c r="H305" s="535" t="s">
        <v>992</v>
      </c>
      <c r="I305" s="530" t="s">
        <v>176</v>
      </c>
    </row>
    <row r="306" spans="2:9">
      <c r="B306" s="668">
        <v>45919</v>
      </c>
      <c r="C306" s="504" t="s">
        <v>987</v>
      </c>
      <c r="D306" s="504" t="s">
        <v>286</v>
      </c>
      <c r="E306" s="515" t="s">
        <v>993</v>
      </c>
      <c r="F306" s="515" t="s">
        <v>50</v>
      </c>
      <c r="G306" s="536" t="s">
        <v>162</v>
      </c>
      <c r="H306" s="510" t="s">
        <v>994</v>
      </c>
      <c r="I306" s="533" t="s">
        <v>176</v>
      </c>
    </row>
    <row r="307" spans="2:9">
      <c r="B307" s="527">
        <v>45919</v>
      </c>
      <c r="C307" s="514" t="s">
        <v>987</v>
      </c>
      <c r="D307" s="514" t="s">
        <v>191</v>
      </c>
      <c r="E307" s="528" t="s">
        <v>993</v>
      </c>
      <c r="F307" s="528" t="s">
        <v>50</v>
      </c>
      <c r="G307" s="534" t="s">
        <v>162</v>
      </c>
      <c r="H307" s="505" t="s">
        <v>995</v>
      </c>
      <c r="I307" s="530" t="s">
        <v>176</v>
      </c>
    </row>
    <row r="308" spans="2:9">
      <c r="B308" s="527">
        <v>45919</v>
      </c>
      <c r="C308" s="531" t="s">
        <v>896</v>
      </c>
      <c r="D308" s="531" t="s">
        <v>286</v>
      </c>
      <c r="E308" s="515" t="s">
        <v>993</v>
      </c>
      <c r="F308" s="515" t="s">
        <v>50</v>
      </c>
      <c r="G308" s="532" t="s">
        <v>162</v>
      </c>
      <c r="H308" s="510" t="s">
        <v>996</v>
      </c>
      <c r="I308" s="533" t="s">
        <v>176</v>
      </c>
    </row>
    <row r="309" spans="2:9">
      <c r="B309" s="527">
        <v>45919</v>
      </c>
      <c r="C309" s="514" t="s">
        <v>888</v>
      </c>
      <c r="D309" s="521" t="s">
        <v>730</v>
      </c>
      <c r="E309" s="528" t="s">
        <v>971</v>
      </c>
      <c r="F309" s="528" t="s">
        <v>47</v>
      </c>
      <c r="G309" s="529" t="s">
        <v>162</v>
      </c>
      <c r="H309" s="505" t="s">
        <v>997</v>
      </c>
      <c r="I309" s="530" t="s">
        <v>176</v>
      </c>
    </row>
    <row r="310" spans="2:9" ht="30">
      <c r="B310" s="669">
        <v>45881</v>
      </c>
      <c r="C310" s="547" t="s">
        <v>1031</v>
      </c>
      <c r="D310" s="548" t="s">
        <v>286</v>
      </c>
      <c r="E310" s="549" t="s">
        <v>1034</v>
      </c>
      <c r="F310" s="550" t="s">
        <v>1035</v>
      </c>
      <c r="G310" s="550" t="s">
        <v>162</v>
      </c>
      <c r="H310" s="551" t="s">
        <v>1037</v>
      </c>
      <c r="I310" s="552" t="s">
        <v>1035</v>
      </c>
    </row>
    <row r="311" spans="2:9" ht="30">
      <c r="B311" s="670">
        <v>45904</v>
      </c>
      <c r="C311" s="547" t="s">
        <v>1031</v>
      </c>
      <c r="D311" s="553" t="s">
        <v>1036</v>
      </c>
      <c r="E311" s="554" t="s">
        <v>1032</v>
      </c>
      <c r="F311" s="555" t="s">
        <v>1035</v>
      </c>
      <c r="G311" s="555" t="s">
        <v>162</v>
      </c>
      <c r="H311" s="551" t="s">
        <v>1033</v>
      </c>
      <c r="I311" s="556" t="s">
        <v>1035</v>
      </c>
    </row>
    <row r="312" spans="2:9">
      <c r="B312" s="669">
        <v>45922</v>
      </c>
      <c r="C312" s="547" t="s">
        <v>404</v>
      </c>
      <c r="D312" s="548" t="s">
        <v>743</v>
      </c>
      <c r="E312" s="549" t="s">
        <v>1023</v>
      </c>
      <c r="F312" s="550" t="s">
        <v>1041</v>
      </c>
      <c r="G312" s="550" t="s">
        <v>162</v>
      </c>
      <c r="H312" s="551" t="s">
        <v>1021</v>
      </c>
      <c r="I312" s="552" t="s">
        <v>176</v>
      </c>
    </row>
    <row r="313" spans="2:9" ht="30">
      <c r="B313" s="670">
        <v>45922</v>
      </c>
      <c r="C313" s="547" t="s">
        <v>516</v>
      </c>
      <c r="D313" s="553" t="s">
        <v>323</v>
      </c>
      <c r="E313" s="554" t="s">
        <v>1022</v>
      </c>
      <c r="F313" s="555" t="s">
        <v>1041</v>
      </c>
      <c r="G313" s="555" t="s">
        <v>1054</v>
      </c>
      <c r="H313" s="551" t="s">
        <v>1055</v>
      </c>
      <c r="I313" s="557" t="s">
        <v>176</v>
      </c>
    </row>
    <row r="314" spans="2:9">
      <c r="B314" s="669">
        <v>45924</v>
      </c>
      <c r="C314" s="547" t="s">
        <v>324</v>
      </c>
      <c r="D314" s="548" t="s">
        <v>730</v>
      </c>
      <c r="E314" s="549" t="s">
        <v>1018</v>
      </c>
      <c r="F314" s="550" t="s">
        <v>47</v>
      </c>
      <c r="G314" s="550" t="s">
        <v>162</v>
      </c>
      <c r="H314" s="551" t="s">
        <v>1046</v>
      </c>
      <c r="I314" s="552" t="s">
        <v>171</v>
      </c>
    </row>
    <row r="315" spans="2:9">
      <c r="B315" s="670">
        <v>45925</v>
      </c>
      <c r="C315" s="547" t="s">
        <v>335</v>
      </c>
      <c r="D315" s="553" t="s">
        <v>730</v>
      </c>
      <c r="E315" s="554" t="s">
        <v>1040</v>
      </c>
      <c r="F315" s="555" t="s">
        <v>47</v>
      </c>
      <c r="G315" s="555" t="s">
        <v>162</v>
      </c>
      <c r="H315" s="551" t="s">
        <v>1042</v>
      </c>
      <c r="I315" s="557" t="s">
        <v>47</v>
      </c>
    </row>
    <row r="316" spans="2:9">
      <c r="B316" s="669">
        <v>45925</v>
      </c>
      <c r="C316" s="547" t="s">
        <v>756</v>
      </c>
      <c r="D316" s="548" t="s">
        <v>1043</v>
      </c>
      <c r="E316" s="549" t="s">
        <v>1044</v>
      </c>
      <c r="F316" s="550" t="s">
        <v>1041</v>
      </c>
      <c r="G316" s="550" t="s">
        <v>162</v>
      </c>
      <c r="H316" s="551" t="s">
        <v>1045</v>
      </c>
      <c r="I316" s="552" t="s">
        <v>171</v>
      </c>
    </row>
    <row r="317" spans="2:9">
      <c r="B317" s="670">
        <v>45925</v>
      </c>
      <c r="C317" s="547" t="s">
        <v>1047</v>
      </c>
      <c r="D317" s="553" t="s">
        <v>730</v>
      </c>
      <c r="E317" s="554" t="s">
        <v>1048</v>
      </c>
      <c r="F317" s="555" t="s">
        <v>47</v>
      </c>
      <c r="G317" s="558">
        <v>65000</v>
      </c>
      <c r="H317" s="551" t="s">
        <v>1049</v>
      </c>
      <c r="I317" s="557" t="s">
        <v>47</v>
      </c>
    </row>
    <row r="318" spans="2:9">
      <c r="B318" s="670">
        <v>45925</v>
      </c>
      <c r="C318" s="559" t="s">
        <v>888</v>
      </c>
      <c r="D318" s="548" t="s">
        <v>730</v>
      </c>
      <c r="E318" s="549" t="s">
        <v>1048</v>
      </c>
      <c r="F318" s="550" t="s">
        <v>47</v>
      </c>
      <c r="G318" s="549" t="s">
        <v>162</v>
      </c>
      <c r="H318" s="560" t="s">
        <v>1050</v>
      </c>
      <c r="I318" s="552" t="s">
        <v>47</v>
      </c>
    </row>
    <row r="319" spans="2:9">
      <c r="B319" s="669">
        <v>45925</v>
      </c>
      <c r="C319" s="561" t="s">
        <v>1051</v>
      </c>
      <c r="D319" s="562" t="s">
        <v>942</v>
      </c>
      <c r="E319" s="554" t="s">
        <v>1052</v>
      </c>
      <c r="F319" s="554" t="s">
        <v>1041</v>
      </c>
      <c r="G319" s="563" t="s">
        <v>162</v>
      </c>
      <c r="H319" s="547" t="s">
        <v>1053</v>
      </c>
      <c r="I319" s="557" t="s">
        <v>171</v>
      </c>
    </row>
    <row r="320" spans="2:9" ht="30">
      <c r="B320" s="669">
        <v>45926</v>
      </c>
      <c r="C320" s="553" t="s">
        <v>742</v>
      </c>
      <c r="D320" s="548" t="s">
        <v>191</v>
      </c>
      <c r="E320" s="549" t="s">
        <v>406</v>
      </c>
      <c r="F320" s="550" t="s">
        <v>1041</v>
      </c>
      <c r="G320" s="550" t="s">
        <v>1038</v>
      </c>
      <c r="H320" s="564" t="s">
        <v>1039</v>
      </c>
      <c r="I320" s="552" t="s">
        <v>176</v>
      </c>
    </row>
    <row r="321" spans="2:9" ht="30">
      <c r="B321" s="671">
        <v>45929</v>
      </c>
      <c r="C321" s="573" t="s">
        <v>409</v>
      </c>
      <c r="D321" s="574" t="s">
        <v>1073</v>
      </c>
      <c r="E321" s="575" t="s">
        <v>1074</v>
      </c>
      <c r="F321" s="576" t="s">
        <v>42</v>
      </c>
      <c r="G321" s="575" t="s">
        <v>162</v>
      </c>
      <c r="H321" s="577" t="s">
        <v>1075</v>
      </c>
      <c r="I321" s="578" t="s">
        <v>171</v>
      </c>
    </row>
    <row r="322" spans="2:9" ht="30">
      <c r="B322" s="671">
        <v>45930</v>
      </c>
      <c r="C322" s="579" t="s">
        <v>335</v>
      </c>
      <c r="D322" s="580" t="s">
        <v>1062</v>
      </c>
      <c r="E322" s="581" t="s">
        <v>1063</v>
      </c>
      <c r="F322" s="582" t="s">
        <v>42</v>
      </c>
      <c r="G322" s="582" t="s">
        <v>162</v>
      </c>
      <c r="H322" s="583" t="s">
        <v>1064</v>
      </c>
      <c r="I322" s="584" t="s">
        <v>171</v>
      </c>
    </row>
    <row r="323" spans="2:9" ht="30">
      <c r="B323" s="672">
        <v>45930</v>
      </c>
      <c r="C323" s="579" t="s">
        <v>1047</v>
      </c>
      <c r="D323" s="574" t="s">
        <v>263</v>
      </c>
      <c r="E323" s="575" t="s">
        <v>1063</v>
      </c>
      <c r="F323" s="576" t="s">
        <v>42</v>
      </c>
      <c r="G323" s="576" t="s">
        <v>162</v>
      </c>
      <c r="H323" s="583" t="s">
        <v>1065</v>
      </c>
      <c r="I323" s="578" t="s">
        <v>171</v>
      </c>
    </row>
    <row r="324" spans="2:9" ht="30">
      <c r="B324" s="671">
        <v>45930</v>
      </c>
      <c r="C324" s="579" t="s">
        <v>888</v>
      </c>
      <c r="D324" s="580" t="s">
        <v>1062</v>
      </c>
      <c r="E324" s="581" t="s">
        <v>1063</v>
      </c>
      <c r="F324" s="582" t="s">
        <v>42</v>
      </c>
      <c r="G324" s="582" t="s">
        <v>162</v>
      </c>
      <c r="H324" s="583" t="s">
        <v>1066</v>
      </c>
      <c r="I324" s="584" t="s">
        <v>171</v>
      </c>
    </row>
    <row r="325" spans="2:9" ht="30">
      <c r="B325" s="672">
        <v>45930</v>
      </c>
      <c r="C325" s="585" t="s">
        <v>112</v>
      </c>
      <c r="D325" s="574" t="s">
        <v>170</v>
      </c>
      <c r="E325" s="575" t="s">
        <v>1067</v>
      </c>
      <c r="F325" s="576" t="s">
        <v>1068</v>
      </c>
      <c r="G325" s="576" t="s">
        <v>162</v>
      </c>
      <c r="H325" s="583" t="s">
        <v>1076</v>
      </c>
      <c r="I325" s="578" t="s">
        <v>171</v>
      </c>
    </row>
    <row r="326" spans="2:9" ht="30">
      <c r="B326" s="671">
        <v>45930</v>
      </c>
      <c r="C326" s="579" t="s">
        <v>335</v>
      </c>
      <c r="D326" s="580" t="s">
        <v>1062</v>
      </c>
      <c r="E326" s="581" t="s">
        <v>1069</v>
      </c>
      <c r="F326" s="582" t="s">
        <v>42</v>
      </c>
      <c r="G326" s="582" t="s">
        <v>162</v>
      </c>
      <c r="H326" s="583" t="s">
        <v>1070</v>
      </c>
      <c r="I326" s="584" t="s">
        <v>171</v>
      </c>
    </row>
    <row r="327" spans="2:9">
      <c r="B327" s="672">
        <v>45930</v>
      </c>
      <c r="C327" s="579" t="s">
        <v>118</v>
      </c>
      <c r="D327" s="574" t="s">
        <v>1071</v>
      </c>
      <c r="E327" s="575" t="s">
        <v>254</v>
      </c>
      <c r="F327" s="576" t="s">
        <v>89</v>
      </c>
      <c r="G327" s="586" t="s">
        <v>162</v>
      </c>
      <c r="H327" s="583" t="s">
        <v>1072</v>
      </c>
      <c r="I327" s="578" t="s">
        <v>89</v>
      </c>
    </row>
    <row r="328" spans="2:9">
      <c r="B328" s="672">
        <v>45931</v>
      </c>
      <c r="C328" s="587" t="s">
        <v>1077</v>
      </c>
      <c r="D328" s="588" t="s">
        <v>804</v>
      </c>
      <c r="E328" s="581" t="s">
        <v>1015</v>
      </c>
      <c r="F328" s="581" t="s">
        <v>42</v>
      </c>
      <c r="G328" s="589" t="s">
        <v>162</v>
      </c>
      <c r="H328" s="579" t="s">
        <v>1078</v>
      </c>
      <c r="I328" s="584" t="s">
        <v>171</v>
      </c>
    </row>
    <row r="329" spans="2:9">
      <c r="B329" s="672">
        <v>45931</v>
      </c>
      <c r="C329" s="579" t="s">
        <v>159</v>
      </c>
      <c r="D329" s="574" t="s">
        <v>1079</v>
      </c>
      <c r="E329" s="575" t="s">
        <v>1015</v>
      </c>
      <c r="F329" s="575" t="s">
        <v>42</v>
      </c>
      <c r="G329" s="590" t="s">
        <v>162</v>
      </c>
      <c r="H329" s="583" t="s">
        <v>1080</v>
      </c>
      <c r="I329" s="578" t="s">
        <v>171</v>
      </c>
    </row>
    <row r="330" spans="2:9">
      <c r="B330" s="671">
        <v>45932</v>
      </c>
      <c r="C330" s="579" t="s">
        <v>403</v>
      </c>
      <c r="D330" s="580" t="s">
        <v>250</v>
      </c>
      <c r="E330" s="581" t="s">
        <v>1059</v>
      </c>
      <c r="F330" s="582" t="s">
        <v>88</v>
      </c>
      <c r="G330" s="582" t="s">
        <v>162</v>
      </c>
      <c r="H330" s="583" t="s">
        <v>1061</v>
      </c>
      <c r="I330" s="584" t="s">
        <v>88</v>
      </c>
    </row>
    <row r="331" spans="2:9">
      <c r="B331" s="672">
        <v>45933</v>
      </c>
      <c r="C331" s="580" t="s">
        <v>1047</v>
      </c>
      <c r="D331" s="574" t="s">
        <v>1058</v>
      </c>
      <c r="E331" s="575" t="s">
        <v>254</v>
      </c>
      <c r="F331" s="576" t="s">
        <v>47</v>
      </c>
      <c r="G331" s="576" t="s">
        <v>162</v>
      </c>
      <c r="H331" s="591" t="s">
        <v>1060</v>
      </c>
      <c r="I331" s="578" t="s">
        <v>47</v>
      </c>
    </row>
    <row r="332" spans="2:9">
      <c r="B332" s="671">
        <v>45933</v>
      </c>
      <c r="C332" s="588" t="s">
        <v>1082</v>
      </c>
      <c r="D332" s="588" t="s">
        <v>170</v>
      </c>
      <c r="E332" s="581" t="s">
        <v>1083</v>
      </c>
      <c r="F332" s="581" t="s">
        <v>42</v>
      </c>
      <c r="G332" s="589" t="s">
        <v>162</v>
      </c>
      <c r="H332" s="580" t="s">
        <v>1085</v>
      </c>
      <c r="I332" s="584" t="s">
        <v>176</v>
      </c>
    </row>
    <row r="333" spans="2:9">
      <c r="B333" s="672">
        <v>45933</v>
      </c>
      <c r="C333" s="580" t="s">
        <v>1084</v>
      </c>
      <c r="D333" s="574" t="s">
        <v>242</v>
      </c>
      <c r="E333" s="575" t="s">
        <v>1083</v>
      </c>
      <c r="F333" s="576" t="s">
        <v>42</v>
      </c>
      <c r="G333" s="576" t="s">
        <v>162</v>
      </c>
      <c r="H333" s="574" t="s">
        <v>1086</v>
      </c>
      <c r="I333" s="578" t="s">
        <v>176</v>
      </c>
    </row>
    <row r="334" spans="2:9">
      <c r="B334" s="671">
        <v>45933</v>
      </c>
      <c r="C334" s="580" t="s">
        <v>407</v>
      </c>
      <c r="D334" s="580" t="s">
        <v>373</v>
      </c>
      <c r="E334" s="581" t="s">
        <v>1083</v>
      </c>
      <c r="F334" s="582" t="s">
        <v>42</v>
      </c>
      <c r="G334" s="582" t="s">
        <v>162</v>
      </c>
      <c r="H334" s="580" t="s">
        <v>1087</v>
      </c>
      <c r="I334" s="584" t="s">
        <v>176</v>
      </c>
    </row>
    <row r="335" spans="2:9">
      <c r="B335" s="672">
        <v>45933</v>
      </c>
      <c r="C335" s="592" t="s">
        <v>1089</v>
      </c>
      <c r="D335" s="593" t="s">
        <v>323</v>
      </c>
      <c r="E335" s="575" t="s">
        <v>1083</v>
      </c>
      <c r="F335" s="576" t="s">
        <v>42</v>
      </c>
      <c r="G335" s="576" t="s">
        <v>162</v>
      </c>
      <c r="H335" s="574" t="s">
        <v>1088</v>
      </c>
      <c r="I335" s="578" t="s">
        <v>176</v>
      </c>
    </row>
    <row r="336" spans="2:9">
      <c r="B336" s="673">
        <v>45936</v>
      </c>
      <c r="C336" s="594" t="s">
        <v>1092</v>
      </c>
      <c r="D336" s="594" t="s">
        <v>1093</v>
      </c>
      <c r="E336" s="595" t="s">
        <v>1094</v>
      </c>
      <c r="F336" s="596" t="s">
        <v>252</v>
      </c>
      <c r="G336" s="597" t="s">
        <v>1095</v>
      </c>
      <c r="H336" s="597" t="s">
        <v>1096</v>
      </c>
      <c r="I336" s="682" t="s">
        <v>171</v>
      </c>
    </row>
    <row r="337" spans="2:9">
      <c r="B337" s="674">
        <v>45936</v>
      </c>
      <c r="C337" s="587" t="s">
        <v>309</v>
      </c>
      <c r="D337" s="598" t="s">
        <v>323</v>
      </c>
      <c r="E337" s="588" t="s">
        <v>399</v>
      </c>
      <c r="F337" s="599" t="s">
        <v>755</v>
      </c>
      <c r="G337" s="587" t="s">
        <v>162</v>
      </c>
      <c r="H337" s="600" t="s">
        <v>1110</v>
      </c>
      <c r="I337" s="683" t="s">
        <v>176</v>
      </c>
    </row>
    <row r="338" spans="2:9">
      <c r="B338" s="674">
        <v>45937</v>
      </c>
      <c r="C338" s="592" t="s">
        <v>118</v>
      </c>
      <c r="D338" s="592" t="s">
        <v>1073</v>
      </c>
      <c r="E338" s="596" t="s">
        <v>1090</v>
      </c>
      <c r="F338" s="573" t="s">
        <v>42</v>
      </c>
      <c r="G338" s="601" t="s">
        <v>162</v>
      </c>
      <c r="H338" s="601" t="s">
        <v>1091</v>
      </c>
      <c r="I338" s="682" t="s">
        <v>171</v>
      </c>
    </row>
    <row r="339" spans="2:9">
      <c r="B339" s="674">
        <v>45937</v>
      </c>
      <c r="C339" s="587" t="s">
        <v>118</v>
      </c>
      <c r="D339" s="587" t="s">
        <v>1073</v>
      </c>
      <c r="E339" s="602" t="s">
        <v>399</v>
      </c>
      <c r="F339" s="602" t="s">
        <v>755</v>
      </c>
      <c r="G339" s="600" t="s">
        <v>162</v>
      </c>
      <c r="H339" s="600" t="s">
        <v>745</v>
      </c>
      <c r="I339" s="683" t="s">
        <v>176</v>
      </c>
    </row>
    <row r="340" spans="2:9">
      <c r="B340" s="674">
        <v>45937</v>
      </c>
      <c r="C340" s="592" t="s">
        <v>409</v>
      </c>
      <c r="D340" s="592" t="s">
        <v>242</v>
      </c>
      <c r="E340" s="573" t="s">
        <v>1111</v>
      </c>
      <c r="F340" s="573" t="s">
        <v>42</v>
      </c>
      <c r="G340" s="601" t="s">
        <v>162</v>
      </c>
      <c r="H340" s="601" t="s">
        <v>1112</v>
      </c>
      <c r="I340" s="682" t="s">
        <v>176</v>
      </c>
    </row>
    <row r="341" spans="2:9">
      <c r="B341" s="674">
        <v>45937</v>
      </c>
      <c r="C341" s="587" t="s">
        <v>335</v>
      </c>
      <c r="D341" s="587" t="s">
        <v>1062</v>
      </c>
      <c r="E341" s="602" t="s">
        <v>1113</v>
      </c>
      <c r="F341" s="602" t="s">
        <v>47</v>
      </c>
      <c r="G341" s="600" t="s">
        <v>162</v>
      </c>
      <c r="H341" s="600" t="s">
        <v>745</v>
      </c>
      <c r="I341" s="683" t="s">
        <v>176</v>
      </c>
    </row>
    <row r="342" spans="2:9">
      <c r="B342" s="674">
        <v>45937</v>
      </c>
      <c r="C342" s="592" t="s">
        <v>90</v>
      </c>
      <c r="D342" s="592" t="s">
        <v>165</v>
      </c>
      <c r="E342" s="573" t="s">
        <v>399</v>
      </c>
      <c r="F342" s="573" t="s">
        <v>88</v>
      </c>
      <c r="G342" s="601" t="s">
        <v>162</v>
      </c>
      <c r="H342" s="601" t="s">
        <v>745</v>
      </c>
      <c r="I342" s="682" t="s">
        <v>176</v>
      </c>
    </row>
    <row r="343" spans="2:9" ht="45">
      <c r="B343" s="675">
        <v>45938</v>
      </c>
      <c r="C343" s="587" t="s">
        <v>335</v>
      </c>
      <c r="D343" s="587" t="s">
        <v>1062</v>
      </c>
      <c r="E343" s="600" t="s">
        <v>1097</v>
      </c>
      <c r="F343" s="600" t="s">
        <v>42</v>
      </c>
      <c r="G343" s="600" t="s">
        <v>162</v>
      </c>
      <c r="H343" s="603" t="s">
        <v>1119</v>
      </c>
      <c r="I343" s="683" t="s">
        <v>171</v>
      </c>
    </row>
    <row r="344" spans="2:9">
      <c r="B344" s="674">
        <v>45938</v>
      </c>
      <c r="C344" s="592" t="s">
        <v>888</v>
      </c>
      <c r="D344" s="592" t="s">
        <v>1062</v>
      </c>
      <c r="E344" s="573" t="s">
        <v>971</v>
      </c>
      <c r="F344" s="573" t="s">
        <v>47</v>
      </c>
      <c r="G344" s="601" t="s">
        <v>162</v>
      </c>
      <c r="H344" s="601" t="s">
        <v>1114</v>
      </c>
      <c r="I344" s="682" t="s">
        <v>171</v>
      </c>
    </row>
    <row r="345" spans="2:9">
      <c r="B345" s="674">
        <v>45939</v>
      </c>
      <c r="C345" s="587" t="s">
        <v>118</v>
      </c>
      <c r="D345" s="587" t="s">
        <v>165</v>
      </c>
      <c r="E345" s="602" t="s">
        <v>1099</v>
      </c>
      <c r="F345" s="602" t="s">
        <v>89</v>
      </c>
      <c r="G345" s="600" t="s">
        <v>162</v>
      </c>
      <c r="H345" s="600" t="s">
        <v>1098</v>
      </c>
      <c r="I345" s="683" t="s">
        <v>171</v>
      </c>
    </row>
    <row r="346" spans="2:9">
      <c r="B346" s="674">
        <v>45939</v>
      </c>
      <c r="C346" s="592" t="s">
        <v>299</v>
      </c>
      <c r="D346" s="592" t="s">
        <v>341</v>
      </c>
      <c r="E346" s="573" t="s">
        <v>1100</v>
      </c>
      <c r="F346" s="573" t="s">
        <v>42</v>
      </c>
      <c r="G346" s="601" t="s">
        <v>162</v>
      </c>
      <c r="H346" s="601" t="s">
        <v>1101</v>
      </c>
      <c r="I346" s="684" t="s">
        <v>171</v>
      </c>
    </row>
    <row r="347" spans="2:9">
      <c r="B347" s="674">
        <v>45939</v>
      </c>
      <c r="C347" s="587" t="s">
        <v>888</v>
      </c>
      <c r="D347" s="587" t="s">
        <v>1062</v>
      </c>
      <c r="E347" s="602" t="s">
        <v>1102</v>
      </c>
      <c r="F347" s="602" t="s">
        <v>42</v>
      </c>
      <c r="G347" s="600" t="s">
        <v>162</v>
      </c>
      <c r="H347" s="600" t="s">
        <v>1103</v>
      </c>
      <c r="I347" s="685" t="s">
        <v>171</v>
      </c>
    </row>
    <row r="348" spans="2:9">
      <c r="B348" s="674">
        <v>45939</v>
      </c>
      <c r="C348" s="592" t="s">
        <v>1106</v>
      </c>
      <c r="D348" s="592" t="s">
        <v>1107</v>
      </c>
      <c r="E348" s="573" t="s">
        <v>1108</v>
      </c>
      <c r="F348" s="573" t="s">
        <v>42</v>
      </c>
      <c r="G348" s="601" t="s">
        <v>162</v>
      </c>
      <c r="H348" s="601" t="s">
        <v>1109</v>
      </c>
      <c r="I348" s="684" t="s">
        <v>171</v>
      </c>
    </row>
    <row r="349" spans="2:9">
      <c r="B349" s="674">
        <v>45939</v>
      </c>
      <c r="C349" s="587" t="s">
        <v>321</v>
      </c>
      <c r="D349" s="587" t="s">
        <v>165</v>
      </c>
      <c r="E349" s="602" t="s">
        <v>399</v>
      </c>
      <c r="F349" s="602" t="s">
        <v>88</v>
      </c>
      <c r="G349" s="600" t="s">
        <v>162</v>
      </c>
      <c r="H349" s="600" t="s">
        <v>745</v>
      </c>
      <c r="I349" s="685" t="s">
        <v>176</v>
      </c>
    </row>
    <row r="350" spans="2:9">
      <c r="B350" s="674">
        <v>45940</v>
      </c>
      <c r="C350" s="592" t="s">
        <v>888</v>
      </c>
      <c r="D350" s="592" t="s">
        <v>1062</v>
      </c>
      <c r="E350" s="573" t="s">
        <v>1105</v>
      </c>
      <c r="F350" s="573" t="s">
        <v>47</v>
      </c>
      <c r="G350" s="601" t="s">
        <v>162</v>
      </c>
      <c r="H350" s="601" t="s">
        <v>1104</v>
      </c>
      <c r="I350" s="684" t="s">
        <v>171</v>
      </c>
    </row>
    <row r="351" spans="2:9">
      <c r="B351" s="676">
        <v>45940</v>
      </c>
      <c r="C351" s="588" t="s">
        <v>921</v>
      </c>
      <c r="D351" s="604" t="s">
        <v>1062</v>
      </c>
      <c r="E351" s="605" t="s">
        <v>1115</v>
      </c>
      <c r="F351" s="605" t="s">
        <v>1116</v>
      </c>
      <c r="G351" s="606" t="s">
        <v>162</v>
      </c>
      <c r="H351" s="606" t="s">
        <v>745</v>
      </c>
      <c r="I351" s="683" t="s">
        <v>176</v>
      </c>
    </row>
    <row r="352" spans="2:9">
      <c r="B352" s="612">
        <v>45943</v>
      </c>
      <c r="C352" s="612" t="s">
        <v>335</v>
      </c>
      <c r="D352" s="613" t="s">
        <v>1062</v>
      </c>
      <c r="E352" s="614" t="s">
        <v>1123</v>
      </c>
      <c r="F352" s="614" t="s">
        <v>47</v>
      </c>
      <c r="G352" s="615" t="s">
        <v>162</v>
      </c>
      <c r="H352" s="616" t="s">
        <v>745</v>
      </c>
      <c r="I352" s="617" t="s">
        <v>176</v>
      </c>
    </row>
    <row r="353" spans="2:9">
      <c r="B353" s="677">
        <v>45943</v>
      </c>
      <c r="C353" s="618" t="s">
        <v>888</v>
      </c>
      <c r="D353" s="618" t="s">
        <v>1062</v>
      </c>
      <c r="E353" s="619" t="s">
        <v>1123</v>
      </c>
      <c r="F353" s="619" t="s">
        <v>47</v>
      </c>
      <c r="G353" s="620" t="s">
        <v>162</v>
      </c>
      <c r="H353" s="621" t="s">
        <v>745</v>
      </c>
      <c r="I353" s="622" t="s">
        <v>176</v>
      </c>
    </row>
    <row r="354" spans="2:9">
      <c r="B354" s="612">
        <v>45943</v>
      </c>
      <c r="C354" s="623" t="s">
        <v>400</v>
      </c>
      <c r="D354" s="623" t="s">
        <v>341</v>
      </c>
      <c r="E354" s="614" t="s">
        <v>1128</v>
      </c>
      <c r="F354" s="614" t="s">
        <v>50</v>
      </c>
      <c r="G354" s="624" t="s">
        <v>162</v>
      </c>
      <c r="H354" s="616" t="s">
        <v>745</v>
      </c>
      <c r="I354" s="617" t="s">
        <v>176</v>
      </c>
    </row>
    <row r="355" spans="2:9">
      <c r="B355" s="612">
        <v>45943</v>
      </c>
      <c r="C355" s="625" t="s">
        <v>541</v>
      </c>
      <c r="D355" s="625" t="s">
        <v>323</v>
      </c>
      <c r="E355" s="619" t="s">
        <v>1128</v>
      </c>
      <c r="F355" s="619" t="s">
        <v>50</v>
      </c>
      <c r="G355" s="626" t="s">
        <v>162</v>
      </c>
      <c r="H355" s="621" t="s">
        <v>745</v>
      </c>
      <c r="I355" s="622" t="s">
        <v>176</v>
      </c>
    </row>
    <row r="356" spans="2:9">
      <c r="B356" s="677">
        <v>45943</v>
      </c>
      <c r="C356" s="623" t="s">
        <v>389</v>
      </c>
      <c r="D356" s="623" t="s">
        <v>242</v>
      </c>
      <c r="E356" s="614" t="s">
        <v>1128</v>
      </c>
      <c r="F356" s="614" t="s">
        <v>50</v>
      </c>
      <c r="G356" s="624" t="s">
        <v>162</v>
      </c>
      <c r="H356" s="616" t="s">
        <v>745</v>
      </c>
      <c r="I356" s="617" t="s">
        <v>176</v>
      </c>
    </row>
    <row r="357" spans="2:9">
      <c r="B357" s="677">
        <v>45943</v>
      </c>
      <c r="C357" s="618" t="s">
        <v>1125</v>
      </c>
      <c r="D357" s="618" t="s">
        <v>286</v>
      </c>
      <c r="E357" s="619" t="s">
        <v>1128</v>
      </c>
      <c r="F357" s="619" t="s">
        <v>50</v>
      </c>
      <c r="G357" s="626" t="s">
        <v>162</v>
      </c>
      <c r="H357" s="621" t="s">
        <v>745</v>
      </c>
      <c r="I357" s="622" t="s">
        <v>176</v>
      </c>
    </row>
    <row r="358" spans="2:9">
      <c r="B358" s="612">
        <v>45943</v>
      </c>
      <c r="C358" s="623" t="s">
        <v>742</v>
      </c>
      <c r="D358" s="613" t="s">
        <v>1127</v>
      </c>
      <c r="E358" s="614" t="s">
        <v>1128</v>
      </c>
      <c r="F358" s="614" t="s">
        <v>50</v>
      </c>
      <c r="G358" s="624" t="s">
        <v>162</v>
      </c>
      <c r="H358" s="616" t="s">
        <v>745</v>
      </c>
      <c r="I358" s="617" t="s">
        <v>176</v>
      </c>
    </row>
    <row r="359" spans="2:9">
      <c r="B359" s="677">
        <v>45943</v>
      </c>
      <c r="C359" s="618" t="s">
        <v>1126</v>
      </c>
      <c r="D359" s="618" t="s">
        <v>1134</v>
      </c>
      <c r="E359" s="619" t="s">
        <v>1128</v>
      </c>
      <c r="F359" s="619" t="s">
        <v>50</v>
      </c>
      <c r="G359" s="626" t="s">
        <v>162</v>
      </c>
      <c r="H359" s="621" t="s">
        <v>745</v>
      </c>
      <c r="I359" s="622" t="s">
        <v>176</v>
      </c>
    </row>
    <row r="360" spans="2:9">
      <c r="B360" s="677">
        <v>45943</v>
      </c>
      <c r="C360" s="613" t="s">
        <v>403</v>
      </c>
      <c r="D360" s="613" t="s">
        <v>286</v>
      </c>
      <c r="E360" s="614" t="s">
        <v>399</v>
      </c>
      <c r="F360" s="614" t="s">
        <v>88</v>
      </c>
      <c r="G360" s="615" t="s">
        <v>162</v>
      </c>
      <c r="H360" s="616" t="s">
        <v>745</v>
      </c>
      <c r="I360" s="617"/>
    </row>
    <row r="361" spans="2:9">
      <c r="B361" s="677">
        <v>45943</v>
      </c>
      <c r="C361" s="618" t="s">
        <v>407</v>
      </c>
      <c r="D361" s="618" t="s">
        <v>1146</v>
      </c>
      <c r="E361" s="619" t="s">
        <v>1123</v>
      </c>
      <c r="F361" s="619" t="s">
        <v>47</v>
      </c>
      <c r="G361" s="620" t="s">
        <v>162</v>
      </c>
      <c r="H361" s="621" t="s">
        <v>745</v>
      </c>
      <c r="I361" s="622" t="s">
        <v>176</v>
      </c>
    </row>
    <row r="362" spans="2:9">
      <c r="B362" s="677">
        <v>45944</v>
      </c>
      <c r="C362" s="613" t="s">
        <v>196</v>
      </c>
      <c r="D362" s="613" t="s">
        <v>165</v>
      </c>
      <c r="E362" s="614" t="s">
        <v>1130</v>
      </c>
      <c r="F362" s="614" t="s">
        <v>755</v>
      </c>
      <c r="G362" s="615" t="s">
        <v>162</v>
      </c>
      <c r="H362" s="616" t="s">
        <v>745</v>
      </c>
      <c r="I362" s="617" t="s">
        <v>176</v>
      </c>
    </row>
    <row r="363" spans="2:9">
      <c r="B363" s="612">
        <v>45944</v>
      </c>
      <c r="C363" s="618" t="s">
        <v>309</v>
      </c>
      <c r="D363" s="618" t="s">
        <v>1131</v>
      </c>
      <c r="E363" s="619" t="s">
        <v>1130</v>
      </c>
      <c r="F363" s="619" t="s">
        <v>755</v>
      </c>
      <c r="G363" s="620" t="s">
        <v>162</v>
      </c>
      <c r="H363" s="621" t="s">
        <v>745</v>
      </c>
      <c r="I363" s="622" t="s">
        <v>176</v>
      </c>
    </row>
    <row r="364" spans="2:9">
      <c r="B364" s="677">
        <v>45944</v>
      </c>
      <c r="C364" s="613" t="s">
        <v>943</v>
      </c>
      <c r="D364" s="613" t="s">
        <v>286</v>
      </c>
      <c r="E364" s="614" t="s">
        <v>1132</v>
      </c>
      <c r="F364" s="614" t="s">
        <v>50</v>
      </c>
      <c r="G364" s="615" t="s">
        <v>162</v>
      </c>
      <c r="H364" s="616" t="s">
        <v>745</v>
      </c>
      <c r="I364" s="617" t="s">
        <v>176</v>
      </c>
    </row>
    <row r="365" spans="2:9">
      <c r="B365" s="677">
        <v>45944</v>
      </c>
      <c r="C365" s="625" t="s">
        <v>389</v>
      </c>
      <c r="D365" s="625" t="s">
        <v>242</v>
      </c>
      <c r="E365" s="619" t="s">
        <v>1132</v>
      </c>
      <c r="F365" s="619" t="s">
        <v>50</v>
      </c>
      <c r="G365" s="620" t="s">
        <v>162</v>
      </c>
      <c r="H365" s="621" t="s">
        <v>745</v>
      </c>
      <c r="I365" s="622" t="s">
        <v>176</v>
      </c>
    </row>
    <row r="366" spans="2:9">
      <c r="B366" s="612">
        <v>45944</v>
      </c>
      <c r="C366" s="613" t="s">
        <v>1003</v>
      </c>
      <c r="D366" s="613" t="s">
        <v>165</v>
      </c>
      <c r="E366" s="614" t="s">
        <v>1132</v>
      </c>
      <c r="F366" s="614" t="s">
        <v>50</v>
      </c>
      <c r="G366" s="615" t="s">
        <v>162</v>
      </c>
      <c r="H366" s="616" t="s">
        <v>745</v>
      </c>
      <c r="I366" s="617" t="s">
        <v>176</v>
      </c>
    </row>
    <row r="367" spans="2:9">
      <c r="B367" s="677">
        <v>45944</v>
      </c>
      <c r="C367" s="618" t="s">
        <v>309</v>
      </c>
      <c r="D367" s="618" t="s">
        <v>1131</v>
      </c>
      <c r="E367" s="619" t="s">
        <v>1132</v>
      </c>
      <c r="F367" s="619" t="s">
        <v>50</v>
      </c>
      <c r="G367" s="620" t="s">
        <v>162</v>
      </c>
      <c r="H367" s="621" t="s">
        <v>745</v>
      </c>
      <c r="I367" s="622" t="s">
        <v>176</v>
      </c>
    </row>
    <row r="368" spans="2:9">
      <c r="B368" s="677">
        <v>45944</v>
      </c>
      <c r="C368" s="613" t="s">
        <v>90</v>
      </c>
      <c r="D368" s="613" t="s">
        <v>165</v>
      </c>
      <c r="E368" s="614" t="s">
        <v>1132</v>
      </c>
      <c r="F368" s="614" t="s">
        <v>50</v>
      </c>
      <c r="G368" s="615" t="s">
        <v>162</v>
      </c>
      <c r="H368" s="616" t="s">
        <v>745</v>
      </c>
      <c r="I368" s="617" t="s">
        <v>176</v>
      </c>
    </row>
    <row r="369" spans="2:9">
      <c r="B369" s="678">
        <v>45944</v>
      </c>
      <c r="C369" s="627" t="s">
        <v>1126</v>
      </c>
      <c r="D369" s="627" t="s">
        <v>1135</v>
      </c>
      <c r="E369" s="628" t="s">
        <v>1132</v>
      </c>
      <c r="F369" s="629" t="s">
        <v>50</v>
      </c>
      <c r="G369" s="630" t="s">
        <v>162</v>
      </c>
      <c r="H369" s="631" t="s">
        <v>745</v>
      </c>
      <c r="I369" s="622" t="s">
        <v>176</v>
      </c>
    </row>
    <row r="370" spans="2:9">
      <c r="B370" s="612">
        <v>45945</v>
      </c>
      <c r="C370" s="613" t="s">
        <v>896</v>
      </c>
      <c r="D370" s="613" t="s">
        <v>1136</v>
      </c>
      <c r="E370" s="613" t="s">
        <v>1129</v>
      </c>
      <c r="F370" s="614" t="s">
        <v>47</v>
      </c>
      <c r="G370" s="615" t="s">
        <v>162</v>
      </c>
      <c r="H370" s="632" t="s">
        <v>745</v>
      </c>
      <c r="I370" s="617" t="s">
        <v>176</v>
      </c>
    </row>
    <row r="371" spans="2:9">
      <c r="B371" s="677">
        <v>45945</v>
      </c>
      <c r="C371" s="618" t="s">
        <v>1137</v>
      </c>
      <c r="D371" s="618" t="s">
        <v>1138</v>
      </c>
      <c r="E371" s="619" t="s">
        <v>1139</v>
      </c>
      <c r="F371" s="619" t="s">
        <v>1140</v>
      </c>
      <c r="G371" s="620" t="s">
        <v>162</v>
      </c>
      <c r="H371" s="621" t="s">
        <v>745</v>
      </c>
      <c r="I371" s="622" t="s">
        <v>176</v>
      </c>
    </row>
    <row r="372" spans="2:9">
      <c r="B372" s="612">
        <v>45945</v>
      </c>
      <c r="C372" s="613" t="s">
        <v>541</v>
      </c>
      <c r="D372" s="613" t="s">
        <v>1141</v>
      </c>
      <c r="E372" s="614" t="s">
        <v>1142</v>
      </c>
      <c r="F372" s="614" t="s">
        <v>1143</v>
      </c>
      <c r="G372" s="615" t="s">
        <v>162</v>
      </c>
      <c r="H372" s="616" t="s">
        <v>745</v>
      </c>
      <c r="I372" s="617" t="s">
        <v>176</v>
      </c>
    </row>
    <row r="373" spans="2:9">
      <c r="B373" s="677">
        <v>45945</v>
      </c>
      <c r="C373" s="627" t="s">
        <v>335</v>
      </c>
      <c r="D373" s="627" t="s">
        <v>1062</v>
      </c>
      <c r="E373" s="628" t="s">
        <v>1144</v>
      </c>
      <c r="F373" s="629" t="s">
        <v>1145</v>
      </c>
      <c r="G373" s="630" t="s">
        <v>162</v>
      </c>
      <c r="H373" s="631" t="s">
        <v>745</v>
      </c>
      <c r="I373" s="622" t="s">
        <v>176</v>
      </c>
    </row>
    <row r="374" spans="2:9">
      <c r="B374" s="612">
        <v>45945</v>
      </c>
      <c r="C374" s="613" t="s">
        <v>324</v>
      </c>
      <c r="D374" s="613" t="s">
        <v>1150</v>
      </c>
      <c r="E374" s="614" t="s">
        <v>1154</v>
      </c>
      <c r="F374" s="614" t="s">
        <v>47</v>
      </c>
      <c r="G374" s="615" t="s">
        <v>162</v>
      </c>
      <c r="H374" s="616" t="s">
        <v>745</v>
      </c>
      <c r="I374" s="617"/>
    </row>
    <row r="375" spans="2:9">
      <c r="B375" s="612">
        <v>45946</v>
      </c>
      <c r="C375" s="618" t="s">
        <v>896</v>
      </c>
      <c r="D375" s="618" t="s">
        <v>1136</v>
      </c>
      <c r="E375" s="618" t="s">
        <v>1129</v>
      </c>
      <c r="F375" s="619" t="s">
        <v>47</v>
      </c>
      <c r="G375" s="620" t="s">
        <v>162</v>
      </c>
      <c r="H375" s="633" t="s">
        <v>1124</v>
      </c>
      <c r="I375" s="622" t="s">
        <v>176</v>
      </c>
    </row>
    <row r="376" spans="2:9">
      <c r="B376" s="612">
        <v>45946</v>
      </c>
      <c r="C376" s="613" t="s">
        <v>1147</v>
      </c>
      <c r="D376" s="613" t="s">
        <v>1148</v>
      </c>
      <c r="E376" s="614" t="s">
        <v>1123</v>
      </c>
      <c r="F376" s="614" t="s">
        <v>47</v>
      </c>
      <c r="G376" s="615" t="s">
        <v>162</v>
      </c>
      <c r="H376" s="616" t="s">
        <v>1124</v>
      </c>
      <c r="I376" s="617" t="s">
        <v>176</v>
      </c>
    </row>
    <row r="377" spans="2:9">
      <c r="B377" s="677">
        <v>45946</v>
      </c>
      <c r="C377" s="618" t="s">
        <v>1126</v>
      </c>
      <c r="D377" s="618" t="s">
        <v>1135</v>
      </c>
      <c r="E377" s="619" t="s">
        <v>1132</v>
      </c>
      <c r="F377" s="619" t="s">
        <v>50</v>
      </c>
      <c r="G377" s="620" t="s">
        <v>162</v>
      </c>
      <c r="H377" s="621" t="s">
        <v>1124</v>
      </c>
      <c r="I377" s="622" t="s">
        <v>176</v>
      </c>
    </row>
    <row r="378" spans="2:9">
      <c r="B378" s="677">
        <v>45946</v>
      </c>
      <c r="C378" s="613" t="s">
        <v>324</v>
      </c>
      <c r="D378" s="613" t="s">
        <v>1150</v>
      </c>
      <c r="E378" s="614" t="s">
        <v>1151</v>
      </c>
      <c r="F378" s="634" t="s">
        <v>1149</v>
      </c>
      <c r="G378" s="635" t="s">
        <v>162</v>
      </c>
      <c r="H378" s="616" t="s">
        <v>1133</v>
      </c>
      <c r="I378" s="617" t="s">
        <v>176</v>
      </c>
    </row>
    <row r="379" spans="2:9">
      <c r="B379" s="612">
        <v>45946</v>
      </c>
      <c r="C379" s="618" t="s">
        <v>403</v>
      </c>
      <c r="D379" s="618" t="s">
        <v>286</v>
      </c>
      <c r="E379" s="636" t="s">
        <v>399</v>
      </c>
      <c r="F379" s="619" t="s">
        <v>88</v>
      </c>
      <c r="G379" s="637" t="s">
        <v>162</v>
      </c>
      <c r="H379" s="621" t="s">
        <v>745</v>
      </c>
      <c r="I379" s="622"/>
    </row>
    <row r="380" spans="2:9">
      <c r="B380" s="612">
        <v>45947</v>
      </c>
      <c r="C380" s="613" t="s">
        <v>1147</v>
      </c>
      <c r="D380" s="613" t="s">
        <v>1148</v>
      </c>
      <c r="E380" s="614" t="s">
        <v>1153</v>
      </c>
      <c r="F380" s="613" t="s">
        <v>50</v>
      </c>
      <c r="G380" s="638" t="s">
        <v>162</v>
      </c>
      <c r="H380" s="616" t="s">
        <v>745</v>
      </c>
      <c r="I380" s="639" t="s">
        <v>176</v>
      </c>
    </row>
    <row r="381" spans="2:9">
      <c r="B381" s="612">
        <v>45947</v>
      </c>
      <c r="C381" s="618" t="s">
        <v>1147</v>
      </c>
      <c r="D381" s="618" t="s">
        <v>1148</v>
      </c>
      <c r="E381" s="618" t="s">
        <v>1152</v>
      </c>
      <c r="F381" s="619" t="s">
        <v>50</v>
      </c>
      <c r="G381" s="637" t="s">
        <v>162</v>
      </c>
      <c r="H381" s="621" t="s">
        <v>745</v>
      </c>
      <c r="I381" s="640" t="s">
        <v>176</v>
      </c>
    </row>
    <row r="382" spans="2:9">
      <c r="B382" s="674">
        <v>45950</v>
      </c>
      <c r="C382" s="594" t="s">
        <v>309</v>
      </c>
      <c r="D382" s="594" t="s">
        <v>323</v>
      </c>
      <c r="E382" s="596" t="s">
        <v>399</v>
      </c>
      <c r="F382" s="596" t="s">
        <v>1157</v>
      </c>
      <c r="G382" s="643" t="s">
        <v>162</v>
      </c>
      <c r="H382" s="574" t="s">
        <v>745</v>
      </c>
      <c r="I382" s="644" t="s">
        <v>176</v>
      </c>
    </row>
    <row r="383" spans="2:9">
      <c r="B383" s="674">
        <v>45950</v>
      </c>
      <c r="C383" s="604" t="s">
        <v>1147</v>
      </c>
      <c r="D383" s="604" t="s">
        <v>1158</v>
      </c>
      <c r="E383" s="605" t="s">
        <v>1159</v>
      </c>
      <c r="F383" s="605" t="s">
        <v>42</v>
      </c>
      <c r="G383" s="606" t="s">
        <v>162</v>
      </c>
      <c r="H383" s="580" t="s">
        <v>745</v>
      </c>
      <c r="I383" s="645" t="s">
        <v>176</v>
      </c>
    </row>
    <row r="384" spans="2:9">
      <c r="B384" s="679">
        <v>45951</v>
      </c>
      <c r="C384" s="592" t="s">
        <v>1089</v>
      </c>
      <c r="D384" s="592" t="s">
        <v>242</v>
      </c>
      <c r="E384" s="573" t="s">
        <v>1160</v>
      </c>
      <c r="F384" s="573" t="s">
        <v>42</v>
      </c>
      <c r="G384" s="646" t="s">
        <v>162</v>
      </c>
      <c r="H384" s="574" t="s">
        <v>1161</v>
      </c>
      <c r="I384" s="647" t="s">
        <v>176</v>
      </c>
    </row>
    <row r="385" spans="2:9">
      <c r="B385" s="679">
        <v>45951</v>
      </c>
      <c r="C385" s="587" t="s">
        <v>389</v>
      </c>
      <c r="D385" s="587" t="s">
        <v>242</v>
      </c>
      <c r="E385" s="602" t="s">
        <v>399</v>
      </c>
      <c r="F385" s="602" t="s">
        <v>83</v>
      </c>
      <c r="G385" s="648" t="s">
        <v>162</v>
      </c>
      <c r="H385" s="580" t="s">
        <v>745</v>
      </c>
      <c r="I385" s="645" t="s">
        <v>83</v>
      </c>
    </row>
    <row r="386" spans="2:9">
      <c r="B386" s="674">
        <v>45951</v>
      </c>
      <c r="C386" s="592" t="s">
        <v>1147</v>
      </c>
      <c r="D386" s="592" t="s">
        <v>1158</v>
      </c>
      <c r="E386" s="573" t="s">
        <v>1162</v>
      </c>
      <c r="F386" s="573" t="s">
        <v>42</v>
      </c>
      <c r="G386" s="646" t="s">
        <v>162</v>
      </c>
      <c r="H386" s="574" t="s">
        <v>1168</v>
      </c>
      <c r="I386" s="647" t="s">
        <v>176</v>
      </c>
    </row>
    <row r="387" spans="2:9">
      <c r="B387" s="679">
        <v>45951</v>
      </c>
      <c r="C387" s="587" t="s">
        <v>335</v>
      </c>
      <c r="D387" s="587" t="s">
        <v>1150</v>
      </c>
      <c r="E387" s="602" t="s">
        <v>1162</v>
      </c>
      <c r="F387" s="602" t="s">
        <v>42</v>
      </c>
      <c r="G387" s="648" t="s">
        <v>162</v>
      </c>
      <c r="H387" s="580" t="s">
        <v>1163</v>
      </c>
      <c r="I387" s="645" t="s">
        <v>176</v>
      </c>
    </row>
    <row r="388" spans="2:9">
      <c r="B388" s="674">
        <v>45951</v>
      </c>
      <c r="C388" s="592" t="s">
        <v>90</v>
      </c>
      <c r="D388" s="592" t="s">
        <v>191</v>
      </c>
      <c r="E388" s="573" t="s">
        <v>1180</v>
      </c>
      <c r="F388" s="573" t="s">
        <v>88</v>
      </c>
      <c r="G388" s="646" t="s">
        <v>162</v>
      </c>
      <c r="H388" s="574" t="s">
        <v>1181</v>
      </c>
      <c r="I388" s="647" t="s">
        <v>88</v>
      </c>
    </row>
    <row r="389" spans="2:9">
      <c r="B389" s="674">
        <v>45951</v>
      </c>
      <c r="C389" s="587" t="s">
        <v>541</v>
      </c>
      <c r="D389" s="587" t="s">
        <v>242</v>
      </c>
      <c r="E389" s="602" t="s">
        <v>1191</v>
      </c>
      <c r="F389" s="602" t="s">
        <v>42</v>
      </c>
      <c r="G389" s="648" t="s">
        <v>162</v>
      </c>
      <c r="H389" s="580" t="s">
        <v>1192</v>
      </c>
      <c r="I389" s="645" t="s">
        <v>171</v>
      </c>
    </row>
    <row r="390" spans="2:9">
      <c r="B390" s="674">
        <v>45951</v>
      </c>
      <c r="C390" s="592" t="s">
        <v>1193</v>
      </c>
      <c r="D390" s="592" t="s">
        <v>242</v>
      </c>
      <c r="E390" s="573" t="s">
        <v>1194</v>
      </c>
      <c r="F390" s="573" t="s">
        <v>83</v>
      </c>
      <c r="G390" s="646" t="s">
        <v>162</v>
      </c>
      <c r="H390" s="574" t="s">
        <v>1195</v>
      </c>
      <c r="I390" s="647" t="s">
        <v>83</v>
      </c>
    </row>
    <row r="391" spans="2:9">
      <c r="B391" s="674">
        <v>45951</v>
      </c>
      <c r="C391" s="587" t="s">
        <v>273</v>
      </c>
      <c r="D391" s="587" t="s">
        <v>1196</v>
      </c>
      <c r="E391" s="602" t="s">
        <v>1197</v>
      </c>
      <c r="F391" s="602" t="s">
        <v>88</v>
      </c>
      <c r="G391" s="648" t="s">
        <v>162</v>
      </c>
      <c r="H391" s="580" t="s">
        <v>1198</v>
      </c>
      <c r="I391" s="645" t="s">
        <v>88</v>
      </c>
    </row>
    <row r="392" spans="2:9">
      <c r="B392" s="674">
        <v>45952</v>
      </c>
      <c r="C392" s="592" t="s">
        <v>1156</v>
      </c>
      <c r="D392" s="592" t="s">
        <v>1150</v>
      </c>
      <c r="E392" s="573" t="s">
        <v>399</v>
      </c>
      <c r="F392" s="573" t="s">
        <v>47</v>
      </c>
      <c r="G392" s="646" t="s">
        <v>162</v>
      </c>
      <c r="H392" s="574" t="s">
        <v>745</v>
      </c>
      <c r="I392" s="647" t="s">
        <v>47</v>
      </c>
    </row>
    <row r="393" spans="2:9">
      <c r="B393" s="674">
        <v>45952</v>
      </c>
      <c r="C393" s="587" t="s">
        <v>1156</v>
      </c>
      <c r="D393" s="587" t="s">
        <v>1150</v>
      </c>
      <c r="E393" s="602" t="s">
        <v>399</v>
      </c>
      <c r="F393" s="602" t="s">
        <v>47</v>
      </c>
      <c r="G393" s="648" t="s">
        <v>162</v>
      </c>
      <c r="H393" s="580" t="s">
        <v>745</v>
      </c>
      <c r="I393" s="645" t="s">
        <v>47</v>
      </c>
    </row>
    <row r="394" spans="2:9">
      <c r="B394" s="679">
        <v>45952</v>
      </c>
      <c r="C394" s="592" t="s">
        <v>742</v>
      </c>
      <c r="D394" s="592" t="s">
        <v>242</v>
      </c>
      <c r="E394" s="573" t="s">
        <v>1164</v>
      </c>
      <c r="F394" s="573" t="s">
        <v>42</v>
      </c>
      <c r="G394" s="646" t="s">
        <v>162</v>
      </c>
      <c r="H394" s="574" t="s">
        <v>745</v>
      </c>
      <c r="I394" s="647" t="s">
        <v>176</v>
      </c>
    </row>
    <row r="395" spans="2:9">
      <c r="B395" s="679">
        <v>45952</v>
      </c>
      <c r="C395" s="587" t="s">
        <v>403</v>
      </c>
      <c r="D395" s="587" t="s">
        <v>286</v>
      </c>
      <c r="E395" s="602" t="s">
        <v>399</v>
      </c>
      <c r="F395" s="602" t="s">
        <v>88</v>
      </c>
      <c r="G395" s="648" t="s">
        <v>162</v>
      </c>
      <c r="H395" s="580" t="s">
        <v>745</v>
      </c>
      <c r="I395" s="645" t="s">
        <v>88</v>
      </c>
    </row>
    <row r="396" spans="2:9">
      <c r="B396" s="679">
        <v>45952</v>
      </c>
      <c r="C396" s="592" t="s">
        <v>400</v>
      </c>
      <c r="D396" s="592" t="s">
        <v>341</v>
      </c>
      <c r="E396" s="573" t="s">
        <v>399</v>
      </c>
      <c r="F396" s="573" t="s">
        <v>88</v>
      </c>
      <c r="G396" s="646" t="s">
        <v>162</v>
      </c>
      <c r="H396" s="574" t="s">
        <v>1165</v>
      </c>
      <c r="I396" s="647" t="s">
        <v>88</v>
      </c>
    </row>
    <row r="397" spans="2:9">
      <c r="B397" s="674">
        <v>45952</v>
      </c>
      <c r="C397" s="587" t="s">
        <v>324</v>
      </c>
      <c r="D397" s="587" t="s">
        <v>1150</v>
      </c>
      <c r="E397" s="602" t="s">
        <v>1166</v>
      </c>
      <c r="F397" s="602" t="s">
        <v>47</v>
      </c>
      <c r="G397" s="600" t="s">
        <v>162</v>
      </c>
      <c r="H397" s="580" t="s">
        <v>1165</v>
      </c>
      <c r="I397" s="645" t="s">
        <v>47</v>
      </c>
    </row>
    <row r="398" spans="2:9">
      <c r="B398" s="679">
        <v>45952</v>
      </c>
      <c r="C398" s="592" t="s">
        <v>1147</v>
      </c>
      <c r="D398" s="592" t="s">
        <v>1158</v>
      </c>
      <c r="E398" s="573" t="s">
        <v>1162</v>
      </c>
      <c r="F398" s="573" t="s">
        <v>42</v>
      </c>
      <c r="G398" s="601" t="s">
        <v>162</v>
      </c>
      <c r="H398" s="574" t="s">
        <v>1169</v>
      </c>
      <c r="I398" s="649" t="s">
        <v>176</v>
      </c>
    </row>
    <row r="399" spans="2:9">
      <c r="B399" s="676">
        <v>45952</v>
      </c>
      <c r="C399" s="587" t="s">
        <v>1106</v>
      </c>
      <c r="D399" s="587" t="s">
        <v>776</v>
      </c>
      <c r="E399" s="602" t="s">
        <v>1176</v>
      </c>
      <c r="F399" s="602" t="s">
        <v>42</v>
      </c>
      <c r="G399" s="600" t="s">
        <v>162</v>
      </c>
      <c r="H399" s="580" t="s">
        <v>1177</v>
      </c>
      <c r="I399" s="650" t="s">
        <v>171</v>
      </c>
    </row>
    <row r="400" spans="2:9">
      <c r="B400" s="679">
        <v>45952</v>
      </c>
      <c r="C400" s="592" t="s">
        <v>403</v>
      </c>
      <c r="D400" s="592" t="s">
        <v>1178</v>
      </c>
      <c r="E400" s="573" t="s">
        <v>1176</v>
      </c>
      <c r="F400" s="573" t="s">
        <v>42</v>
      </c>
      <c r="G400" s="601" t="s">
        <v>162</v>
      </c>
      <c r="H400" s="574" t="s">
        <v>1179</v>
      </c>
      <c r="I400" s="649" t="s">
        <v>171</v>
      </c>
    </row>
    <row r="401" spans="2:9">
      <c r="B401" s="674">
        <v>45953</v>
      </c>
      <c r="C401" s="587" t="s">
        <v>309</v>
      </c>
      <c r="D401" s="587" t="s">
        <v>1173</v>
      </c>
      <c r="E401" s="602" t="s">
        <v>1171</v>
      </c>
      <c r="F401" s="602" t="s">
        <v>42</v>
      </c>
      <c r="G401" s="600" t="s">
        <v>162</v>
      </c>
      <c r="H401" s="580" t="s">
        <v>1172</v>
      </c>
      <c r="I401" s="650" t="s">
        <v>171</v>
      </c>
    </row>
    <row r="402" spans="2:9">
      <c r="B402" s="679">
        <v>45953</v>
      </c>
      <c r="C402" s="651" t="s">
        <v>389</v>
      </c>
      <c r="D402" s="592" t="s">
        <v>242</v>
      </c>
      <c r="E402" s="573" t="s">
        <v>1174</v>
      </c>
      <c r="F402" s="573" t="s">
        <v>1035</v>
      </c>
      <c r="G402" s="601" t="s">
        <v>162</v>
      </c>
      <c r="H402" s="574" t="s">
        <v>1175</v>
      </c>
      <c r="I402" s="649" t="s">
        <v>1035</v>
      </c>
    </row>
    <row r="403" spans="2:9">
      <c r="B403" s="679">
        <v>45953</v>
      </c>
      <c r="C403" s="587" t="s">
        <v>1031</v>
      </c>
      <c r="D403" s="587" t="s">
        <v>1036</v>
      </c>
      <c r="E403" s="602" t="s">
        <v>1184</v>
      </c>
      <c r="F403" s="602" t="s">
        <v>1035</v>
      </c>
      <c r="G403" s="600" t="s">
        <v>162</v>
      </c>
      <c r="H403" s="580" t="s">
        <v>1182</v>
      </c>
      <c r="I403" s="650" t="s">
        <v>1035</v>
      </c>
    </row>
    <row r="404" spans="2:9">
      <c r="B404" s="674">
        <v>45953</v>
      </c>
      <c r="C404" s="592" t="s">
        <v>742</v>
      </c>
      <c r="D404" s="592" t="s">
        <v>341</v>
      </c>
      <c r="E404" s="573" t="s">
        <v>1184</v>
      </c>
      <c r="F404" s="573" t="s">
        <v>1035</v>
      </c>
      <c r="G404" s="601" t="s">
        <v>162</v>
      </c>
      <c r="H404" s="574" t="s">
        <v>1183</v>
      </c>
      <c r="I404" s="649" t="s">
        <v>1035</v>
      </c>
    </row>
    <row r="405" spans="2:9">
      <c r="B405" s="674">
        <v>45953</v>
      </c>
      <c r="C405" s="587" t="s">
        <v>90</v>
      </c>
      <c r="D405" s="587" t="s">
        <v>191</v>
      </c>
      <c r="E405" s="602" t="s">
        <v>1083</v>
      </c>
      <c r="F405" s="602" t="s">
        <v>42</v>
      </c>
      <c r="G405" s="600" t="s">
        <v>162</v>
      </c>
      <c r="H405" s="580" t="s">
        <v>1185</v>
      </c>
      <c r="I405" s="650" t="s">
        <v>176</v>
      </c>
    </row>
    <row r="406" spans="2:9">
      <c r="B406" s="679">
        <v>45953</v>
      </c>
      <c r="C406" s="592" t="s">
        <v>400</v>
      </c>
      <c r="D406" s="592" t="s">
        <v>341</v>
      </c>
      <c r="E406" s="573" t="s">
        <v>1083</v>
      </c>
      <c r="F406" s="573" t="s">
        <v>42</v>
      </c>
      <c r="G406" s="601" t="s">
        <v>162</v>
      </c>
      <c r="H406" s="574" t="s">
        <v>1186</v>
      </c>
      <c r="I406" s="649" t="s">
        <v>176</v>
      </c>
    </row>
    <row r="407" spans="2:9">
      <c r="B407" s="679">
        <v>45953</v>
      </c>
      <c r="C407" s="587" t="s">
        <v>1031</v>
      </c>
      <c r="D407" s="587" t="s">
        <v>286</v>
      </c>
      <c r="E407" s="602" t="s">
        <v>1083</v>
      </c>
      <c r="F407" s="602" t="s">
        <v>42</v>
      </c>
      <c r="G407" s="600" t="s">
        <v>162</v>
      </c>
      <c r="H407" s="580" t="s">
        <v>1186</v>
      </c>
      <c r="I407" s="650" t="s">
        <v>176</v>
      </c>
    </row>
    <row r="408" spans="2:9">
      <c r="B408" s="679">
        <v>45953</v>
      </c>
      <c r="C408" s="592" t="s">
        <v>1126</v>
      </c>
      <c r="D408" s="592" t="s">
        <v>1187</v>
      </c>
      <c r="E408" s="573" t="s">
        <v>1083</v>
      </c>
      <c r="F408" s="573" t="s">
        <v>42</v>
      </c>
      <c r="G408" s="601" t="s">
        <v>162</v>
      </c>
      <c r="H408" s="574" t="s">
        <v>1186</v>
      </c>
      <c r="I408" s="649" t="s">
        <v>176</v>
      </c>
    </row>
    <row r="409" spans="2:9">
      <c r="B409" s="679">
        <v>45953</v>
      </c>
      <c r="C409" s="587" t="s">
        <v>90</v>
      </c>
      <c r="D409" s="587" t="s">
        <v>191</v>
      </c>
      <c r="E409" s="602" t="s">
        <v>1083</v>
      </c>
      <c r="F409" s="602" t="s">
        <v>42</v>
      </c>
      <c r="G409" s="600" t="s">
        <v>162</v>
      </c>
      <c r="H409" s="580" t="s">
        <v>1188</v>
      </c>
      <c r="I409" s="650" t="s">
        <v>176</v>
      </c>
    </row>
    <row r="410" spans="2:9">
      <c r="B410" s="679">
        <v>45953</v>
      </c>
      <c r="C410" s="592" t="s">
        <v>1031</v>
      </c>
      <c r="D410" s="592" t="s">
        <v>286</v>
      </c>
      <c r="E410" s="573" t="s">
        <v>1083</v>
      </c>
      <c r="F410" s="573" t="s">
        <v>42</v>
      </c>
      <c r="G410" s="601" t="s">
        <v>162</v>
      </c>
      <c r="H410" s="574" t="s">
        <v>1189</v>
      </c>
      <c r="I410" s="649" t="s">
        <v>176</v>
      </c>
    </row>
    <row r="411" spans="2:9">
      <c r="B411" s="674">
        <v>45953</v>
      </c>
      <c r="C411" s="587" t="s">
        <v>273</v>
      </c>
      <c r="D411" s="587" t="s">
        <v>1196</v>
      </c>
      <c r="E411" s="602" t="s">
        <v>1197</v>
      </c>
      <c r="F411" s="602" t="s">
        <v>88</v>
      </c>
      <c r="G411" s="600" t="s">
        <v>162</v>
      </c>
      <c r="H411" s="580" t="s">
        <v>1199</v>
      </c>
      <c r="I411" s="650" t="s">
        <v>88</v>
      </c>
    </row>
    <row r="412" spans="2:9" ht="30">
      <c r="B412" s="680">
        <v>45954</v>
      </c>
      <c r="C412" s="592" t="s">
        <v>888</v>
      </c>
      <c r="D412" s="592" t="s">
        <v>1150</v>
      </c>
      <c r="E412" s="601" t="s">
        <v>1170</v>
      </c>
      <c r="F412" s="601" t="s">
        <v>42</v>
      </c>
      <c r="G412" s="601" t="s">
        <v>162</v>
      </c>
      <c r="H412" s="652" t="s">
        <v>1190</v>
      </c>
      <c r="I412" s="647" t="s">
        <v>171</v>
      </c>
    </row>
    <row r="413" spans="2:9">
      <c r="B413" s="750">
        <v>45903</v>
      </c>
      <c r="C413" s="751" t="s">
        <v>196</v>
      </c>
      <c r="D413" s="752" t="s">
        <v>1204</v>
      </c>
      <c r="E413" s="753" t="s">
        <v>841</v>
      </c>
      <c r="F413" s="750" t="s">
        <v>89</v>
      </c>
      <c r="G413" s="751" t="s">
        <v>162</v>
      </c>
      <c r="H413" s="752" t="s">
        <v>1208</v>
      </c>
      <c r="I413" s="754" t="s">
        <v>89</v>
      </c>
    </row>
    <row r="414" spans="2:9">
      <c r="B414" s="750">
        <v>45937</v>
      </c>
      <c r="C414" s="752" t="s">
        <v>196</v>
      </c>
      <c r="D414" s="752" t="s">
        <v>1205</v>
      </c>
      <c r="E414" s="753" t="s">
        <v>1206</v>
      </c>
      <c r="F414" s="750" t="s">
        <v>89</v>
      </c>
      <c r="G414" s="752" t="s">
        <v>162</v>
      </c>
      <c r="H414" s="752" t="s">
        <v>1209</v>
      </c>
      <c r="I414" s="754" t="s">
        <v>89</v>
      </c>
    </row>
    <row r="415" spans="2:9">
      <c r="B415" s="750">
        <v>45943</v>
      </c>
      <c r="C415" s="752" t="s">
        <v>196</v>
      </c>
      <c r="D415" s="752" t="s">
        <v>1204</v>
      </c>
      <c r="E415" s="753" t="s">
        <v>1207</v>
      </c>
      <c r="F415" s="750" t="s">
        <v>89</v>
      </c>
      <c r="G415" s="752" t="s">
        <v>162</v>
      </c>
      <c r="H415" s="752" t="s">
        <v>1210</v>
      </c>
      <c r="I415" s="754" t="s">
        <v>89</v>
      </c>
    </row>
    <row r="416" spans="2:9">
      <c r="B416" s="755">
        <v>45953</v>
      </c>
      <c r="C416" s="756" t="s">
        <v>196</v>
      </c>
      <c r="D416" s="756" t="s">
        <v>818</v>
      </c>
      <c r="E416" s="756" t="s">
        <v>833</v>
      </c>
      <c r="F416" s="756" t="s">
        <v>89</v>
      </c>
      <c r="G416" s="757" t="s">
        <v>162</v>
      </c>
      <c r="H416" s="756" t="s">
        <v>1211</v>
      </c>
      <c r="I416" s="754" t="s">
        <v>89</v>
      </c>
    </row>
    <row r="417" spans="2:9">
      <c r="B417" s="750">
        <v>45957</v>
      </c>
      <c r="C417" s="752" t="s">
        <v>81</v>
      </c>
      <c r="D417" s="752" t="s">
        <v>286</v>
      </c>
      <c r="E417" s="753" t="s">
        <v>1212</v>
      </c>
      <c r="F417" s="750" t="s">
        <v>50</v>
      </c>
      <c r="G417" s="752" t="s">
        <v>162</v>
      </c>
      <c r="H417" s="752" t="s">
        <v>1165</v>
      </c>
      <c r="I417" s="754" t="s">
        <v>176</v>
      </c>
    </row>
    <row r="418" spans="2:9">
      <c r="B418" s="750">
        <v>45957</v>
      </c>
      <c r="C418" s="751" t="s">
        <v>90</v>
      </c>
      <c r="D418" s="752" t="s">
        <v>749</v>
      </c>
      <c r="E418" s="753" t="s">
        <v>1212</v>
      </c>
      <c r="F418" s="750" t="s">
        <v>50</v>
      </c>
      <c r="G418" s="752" t="s">
        <v>162</v>
      </c>
      <c r="H418" s="752" t="s">
        <v>1165</v>
      </c>
      <c r="I418" s="754" t="s">
        <v>176</v>
      </c>
    </row>
    <row r="419" spans="2:9">
      <c r="B419" s="750">
        <v>45957</v>
      </c>
      <c r="C419" s="758" t="s">
        <v>90</v>
      </c>
      <c r="D419" s="758" t="s">
        <v>433</v>
      </c>
      <c r="E419" s="753" t="s">
        <v>1212</v>
      </c>
      <c r="F419" s="750" t="s">
        <v>50</v>
      </c>
      <c r="G419" s="752" t="s">
        <v>162</v>
      </c>
      <c r="H419" s="752" t="s">
        <v>1165</v>
      </c>
      <c r="I419" s="754" t="s">
        <v>176</v>
      </c>
    </row>
    <row r="420" spans="2:9">
      <c r="B420" s="750">
        <v>45957</v>
      </c>
      <c r="C420" s="759" t="s">
        <v>45</v>
      </c>
      <c r="D420" s="760" t="s">
        <v>1214</v>
      </c>
      <c r="E420" s="753" t="s">
        <v>1212</v>
      </c>
      <c r="F420" s="750" t="s">
        <v>50</v>
      </c>
      <c r="G420" s="752" t="s">
        <v>162</v>
      </c>
      <c r="H420" s="752" t="s">
        <v>1165</v>
      </c>
      <c r="I420" s="754" t="s">
        <v>176</v>
      </c>
    </row>
    <row r="421" spans="2:9">
      <c r="B421" s="750">
        <v>45957</v>
      </c>
      <c r="C421" s="761" t="s">
        <v>235</v>
      </c>
      <c r="D421" s="761" t="s">
        <v>263</v>
      </c>
      <c r="E421" s="756" t="s">
        <v>1015</v>
      </c>
      <c r="F421" s="756" t="s">
        <v>42</v>
      </c>
      <c r="G421" s="757" t="s">
        <v>162</v>
      </c>
      <c r="H421" s="762" t="s">
        <v>1233</v>
      </c>
      <c r="I421" s="763" t="s">
        <v>171</v>
      </c>
    </row>
    <row r="422" spans="2:9">
      <c r="B422" s="750">
        <v>45957</v>
      </c>
      <c r="C422" s="758" t="s">
        <v>164</v>
      </c>
      <c r="D422" s="764" t="s">
        <v>165</v>
      </c>
      <c r="E422" s="765" t="s">
        <v>589</v>
      </c>
      <c r="F422" s="765" t="s">
        <v>1068</v>
      </c>
      <c r="G422" s="766" t="s">
        <v>1234</v>
      </c>
      <c r="H422" s="767" t="s">
        <v>1235</v>
      </c>
      <c r="I422" s="763" t="s">
        <v>171</v>
      </c>
    </row>
    <row r="423" spans="2:9">
      <c r="B423" s="750">
        <v>45957</v>
      </c>
      <c r="C423" s="758" t="s">
        <v>309</v>
      </c>
      <c r="D423" s="758" t="s">
        <v>1236</v>
      </c>
      <c r="E423" s="753" t="s">
        <v>1222</v>
      </c>
      <c r="F423" s="753" t="s">
        <v>42</v>
      </c>
      <c r="G423" s="768" t="s">
        <v>162</v>
      </c>
      <c r="H423" s="769" t="s">
        <v>1237</v>
      </c>
      <c r="I423" s="763" t="s">
        <v>171</v>
      </c>
    </row>
    <row r="424" spans="2:9">
      <c r="B424" s="750">
        <v>45958</v>
      </c>
      <c r="C424" s="753" t="s">
        <v>82</v>
      </c>
      <c r="D424" s="753" t="s">
        <v>242</v>
      </c>
      <c r="E424" s="753" t="s">
        <v>399</v>
      </c>
      <c r="F424" s="753" t="s">
        <v>83</v>
      </c>
      <c r="G424" s="768" t="s">
        <v>162</v>
      </c>
      <c r="H424" s="757" t="s">
        <v>1165</v>
      </c>
      <c r="I424" s="763" t="s">
        <v>1215</v>
      </c>
    </row>
    <row r="425" spans="2:9">
      <c r="B425" s="750">
        <v>45958</v>
      </c>
      <c r="C425" s="758" t="s">
        <v>90</v>
      </c>
      <c r="D425" s="752" t="s">
        <v>1213</v>
      </c>
      <c r="E425" s="753" t="s">
        <v>399</v>
      </c>
      <c r="F425" s="753" t="s">
        <v>83</v>
      </c>
      <c r="G425" s="768" t="s">
        <v>162</v>
      </c>
      <c r="H425" s="756" t="s">
        <v>1165</v>
      </c>
      <c r="I425" s="763" t="s">
        <v>1215</v>
      </c>
    </row>
    <row r="426" spans="2:9">
      <c r="B426" s="750">
        <v>45958</v>
      </c>
      <c r="C426" s="758" t="s">
        <v>90</v>
      </c>
      <c r="D426" s="758" t="s">
        <v>433</v>
      </c>
      <c r="E426" s="753" t="s">
        <v>1238</v>
      </c>
      <c r="F426" s="753" t="s">
        <v>42</v>
      </c>
      <c r="G426" s="768" t="s">
        <v>162</v>
      </c>
      <c r="H426" s="769" t="s">
        <v>1165</v>
      </c>
      <c r="I426" s="763" t="s">
        <v>176</v>
      </c>
    </row>
    <row r="427" spans="2:9">
      <c r="B427" s="750">
        <v>45958</v>
      </c>
      <c r="C427" s="770" t="s">
        <v>196</v>
      </c>
      <c r="D427" s="758" t="s">
        <v>815</v>
      </c>
      <c r="E427" s="753" t="s">
        <v>1238</v>
      </c>
      <c r="F427" s="753" t="s">
        <v>42</v>
      </c>
      <c r="G427" s="768" t="s">
        <v>162</v>
      </c>
      <c r="H427" s="769" t="s">
        <v>1165</v>
      </c>
      <c r="I427" s="763" t="s">
        <v>176</v>
      </c>
    </row>
    <row r="428" spans="2:9">
      <c r="B428" s="750">
        <v>45958</v>
      </c>
      <c r="C428" s="758" t="s">
        <v>742</v>
      </c>
      <c r="D428" s="758" t="s">
        <v>988</v>
      </c>
      <c r="E428" s="753" t="s">
        <v>1238</v>
      </c>
      <c r="F428" s="753" t="s">
        <v>42</v>
      </c>
      <c r="G428" s="752" t="s">
        <v>162</v>
      </c>
      <c r="H428" s="769" t="s">
        <v>1165</v>
      </c>
      <c r="I428" s="763" t="s">
        <v>176</v>
      </c>
    </row>
    <row r="429" spans="2:9">
      <c r="B429" s="750">
        <v>45958</v>
      </c>
      <c r="C429" s="758" t="s">
        <v>324</v>
      </c>
      <c r="D429" s="758" t="s">
        <v>1240</v>
      </c>
      <c r="E429" s="753" t="s">
        <v>1239</v>
      </c>
      <c r="F429" s="753" t="s">
        <v>42</v>
      </c>
      <c r="G429" s="752" t="s">
        <v>162</v>
      </c>
      <c r="H429" s="769" t="s">
        <v>1165</v>
      </c>
      <c r="I429" s="763" t="s">
        <v>47</v>
      </c>
    </row>
    <row r="430" spans="2:9">
      <c r="B430" s="771">
        <v>45958</v>
      </c>
      <c r="C430" s="758" t="s">
        <v>1047</v>
      </c>
      <c r="D430" s="758" t="s">
        <v>1241</v>
      </c>
      <c r="E430" s="753" t="s">
        <v>1242</v>
      </c>
      <c r="F430" s="753" t="s">
        <v>50</v>
      </c>
      <c r="G430" s="752" t="s">
        <v>1243</v>
      </c>
      <c r="H430" s="769" t="s">
        <v>1244</v>
      </c>
      <c r="I430" s="763" t="s">
        <v>176</v>
      </c>
    </row>
    <row r="431" spans="2:9">
      <c r="B431" s="750">
        <v>45959</v>
      </c>
      <c r="C431" s="758" t="s">
        <v>309</v>
      </c>
      <c r="D431" s="758" t="s">
        <v>1230</v>
      </c>
      <c r="E431" s="753" t="s">
        <v>1222</v>
      </c>
      <c r="F431" s="753" t="s">
        <v>42</v>
      </c>
      <c r="G431" s="752" t="s">
        <v>162</v>
      </c>
      <c r="H431" s="769" t="s">
        <v>1231</v>
      </c>
      <c r="I431" s="763" t="s">
        <v>171</v>
      </c>
    </row>
    <row r="432" spans="2:9">
      <c r="B432" s="750">
        <v>45959</v>
      </c>
      <c r="C432" s="758" t="s">
        <v>1125</v>
      </c>
      <c r="D432" s="758" t="s">
        <v>1221</v>
      </c>
      <c r="E432" s="753" t="s">
        <v>1222</v>
      </c>
      <c r="F432" s="753" t="s">
        <v>1035</v>
      </c>
      <c r="G432" s="752" t="s">
        <v>162</v>
      </c>
      <c r="H432" s="769" t="s">
        <v>1232</v>
      </c>
      <c r="I432" s="754" t="s">
        <v>171</v>
      </c>
    </row>
    <row r="433" spans="2:9">
      <c r="B433" s="750">
        <v>45959</v>
      </c>
      <c r="C433" s="758" t="s">
        <v>1125</v>
      </c>
      <c r="D433" s="758" t="s">
        <v>191</v>
      </c>
      <c r="E433" s="753" t="s">
        <v>1246</v>
      </c>
      <c r="F433" s="753" t="s">
        <v>1035</v>
      </c>
      <c r="G433" s="752" t="s">
        <v>162</v>
      </c>
      <c r="H433" s="769" t="s">
        <v>1165</v>
      </c>
      <c r="I433" s="754" t="s">
        <v>1252</v>
      </c>
    </row>
    <row r="434" spans="2:9">
      <c r="B434" s="750">
        <v>45959</v>
      </c>
      <c r="C434" s="758" t="s">
        <v>742</v>
      </c>
      <c r="D434" s="758" t="s">
        <v>1245</v>
      </c>
      <c r="E434" s="753" t="s">
        <v>1246</v>
      </c>
      <c r="F434" s="753" t="s">
        <v>1035</v>
      </c>
      <c r="G434" s="752" t="s">
        <v>162</v>
      </c>
      <c r="H434" s="769" t="s">
        <v>1165</v>
      </c>
      <c r="I434" s="754" t="s">
        <v>1252</v>
      </c>
    </row>
    <row r="435" spans="2:9">
      <c r="B435" s="750">
        <v>45959</v>
      </c>
      <c r="C435" s="758" t="s">
        <v>389</v>
      </c>
      <c r="D435" s="758" t="s">
        <v>242</v>
      </c>
      <c r="E435" s="753" t="s">
        <v>1246</v>
      </c>
      <c r="F435" s="753" t="s">
        <v>1035</v>
      </c>
      <c r="G435" s="752" t="s">
        <v>162</v>
      </c>
      <c r="H435" s="769" t="s">
        <v>1165</v>
      </c>
      <c r="I435" s="754" t="s">
        <v>1252</v>
      </c>
    </row>
    <row r="436" spans="2:9">
      <c r="B436" s="750">
        <v>45959</v>
      </c>
      <c r="C436" s="758" t="s">
        <v>335</v>
      </c>
      <c r="D436" s="758" t="s">
        <v>1240</v>
      </c>
      <c r="E436" s="753" t="s">
        <v>1144</v>
      </c>
      <c r="F436" s="753" t="s">
        <v>1249</v>
      </c>
      <c r="G436" s="752" t="s">
        <v>162</v>
      </c>
      <c r="H436" s="769" t="s">
        <v>1247</v>
      </c>
      <c r="I436" s="754" t="s">
        <v>176</v>
      </c>
    </row>
    <row r="437" spans="2:9">
      <c r="B437" s="750">
        <v>45959</v>
      </c>
      <c r="C437" s="758" t="s">
        <v>896</v>
      </c>
      <c r="D437" s="758" t="s">
        <v>1240</v>
      </c>
      <c r="E437" s="753" t="s">
        <v>1144</v>
      </c>
      <c r="F437" s="753" t="s">
        <v>1249</v>
      </c>
      <c r="G437" s="752" t="s">
        <v>162</v>
      </c>
      <c r="H437" s="769" t="s">
        <v>1248</v>
      </c>
      <c r="I437" s="754" t="s">
        <v>176</v>
      </c>
    </row>
    <row r="438" spans="2:9">
      <c r="B438" s="750">
        <v>45959</v>
      </c>
      <c r="C438" s="758" t="s">
        <v>309</v>
      </c>
      <c r="D438" s="758" t="s">
        <v>323</v>
      </c>
      <c r="E438" s="753" t="s">
        <v>399</v>
      </c>
      <c r="F438" s="753" t="s">
        <v>755</v>
      </c>
      <c r="G438" s="752" t="s">
        <v>162</v>
      </c>
      <c r="H438" s="769" t="s">
        <v>1165</v>
      </c>
      <c r="I438" s="754" t="s">
        <v>1250</v>
      </c>
    </row>
    <row r="439" spans="2:9" ht="30">
      <c r="B439" s="751">
        <v>45960</v>
      </c>
      <c r="C439" s="758" t="s">
        <v>1125</v>
      </c>
      <c r="D439" s="758" t="s">
        <v>1221</v>
      </c>
      <c r="E439" s="752" t="s">
        <v>1222</v>
      </c>
      <c r="F439" s="752" t="s">
        <v>1035</v>
      </c>
      <c r="G439" s="752" t="s">
        <v>162</v>
      </c>
      <c r="H439" s="772" t="s">
        <v>1223</v>
      </c>
      <c r="I439" s="754" t="s">
        <v>171</v>
      </c>
    </row>
    <row r="440" spans="2:9">
      <c r="B440" s="750">
        <v>45960</v>
      </c>
      <c r="C440" s="758" t="s">
        <v>400</v>
      </c>
      <c r="D440" s="758" t="s">
        <v>1224</v>
      </c>
      <c r="E440" s="753" t="s">
        <v>1222</v>
      </c>
      <c r="F440" s="753" t="s">
        <v>42</v>
      </c>
      <c r="G440" s="752" t="s">
        <v>387</v>
      </c>
      <c r="H440" s="769" t="s">
        <v>1225</v>
      </c>
      <c r="I440" s="754" t="s">
        <v>171</v>
      </c>
    </row>
    <row r="441" spans="2:9">
      <c r="B441" s="750">
        <v>45960</v>
      </c>
      <c r="C441" s="758" t="s">
        <v>541</v>
      </c>
      <c r="D441" s="758" t="s">
        <v>433</v>
      </c>
      <c r="E441" s="753" t="s">
        <v>1222</v>
      </c>
      <c r="F441" s="753" t="s">
        <v>42</v>
      </c>
      <c r="G441" s="752" t="s">
        <v>387</v>
      </c>
      <c r="H441" s="769" t="s">
        <v>1226</v>
      </c>
      <c r="I441" s="754" t="s">
        <v>171</v>
      </c>
    </row>
    <row r="442" spans="2:9">
      <c r="B442" s="750">
        <v>45960</v>
      </c>
      <c r="C442" s="758" t="s">
        <v>335</v>
      </c>
      <c r="D442" s="758" t="s">
        <v>1227</v>
      </c>
      <c r="E442" s="753" t="s">
        <v>1228</v>
      </c>
      <c r="F442" s="753" t="s">
        <v>47</v>
      </c>
      <c r="G442" s="752" t="s">
        <v>162</v>
      </c>
      <c r="H442" s="769" t="s">
        <v>1229</v>
      </c>
      <c r="I442" s="754" t="s">
        <v>171</v>
      </c>
    </row>
    <row r="443" spans="2:9">
      <c r="B443" s="751">
        <v>45960</v>
      </c>
      <c r="C443" s="758" t="s">
        <v>324</v>
      </c>
      <c r="D443" s="758" t="s">
        <v>1240</v>
      </c>
      <c r="E443" s="752" t="s">
        <v>1251</v>
      </c>
      <c r="F443" s="752" t="s">
        <v>47</v>
      </c>
      <c r="G443" s="752" t="s">
        <v>162</v>
      </c>
      <c r="H443" s="769" t="s">
        <v>1165</v>
      </c>
      <c r="I443" s="763" t="s">
        <v>47</v>
      </c>
    </row>
    <row r="444" spans="2:9">
      <c r="B444" s="750">
        <v>45961</v>
      </c>
      <c r="C444" s="758" t="s">
        <v>82</v>
      </c>
      <c r="D444" s="758" t="s">
        <v>242</v>
      </c>
      <c r="E444" s="753" t="s">
        <v>399</v>
      </c>
      <c r="F444" s="753" t="s">
        <v>83</v>
      </c>
      <c r="G444" s="752" t="s">
        <v>162</v>
      </c>
      <c r="H444" s="769" t="s">
        <v>1247</v>
      </c>
      <c r="I444" s="763" t="s">
        <v>1215</v>
      </c>
    </row>
    <row r="445" spans="2:9">
      <c r="B445" s="751">
        <v>45961</v>
      </c>
      <c r="C445" s="764" t="s">
        <v>90</v>
      </c>
      <c r="D445" s="764" t="s">
        <v>1213</v>
      </c>
      <c r="E445" s="773" t="s">
        <v>399</v>
      </c>
      <c r="F445" s="765" t="s">
        <v>83</v>
      </c>
      <c r="G445" s="774" t="s">
        <v>162</v>
      </c>
      <c r="H445" s="775" t="s">
        <v>1247</v>
      </c>
      <c r="I445" s="763" t="s">
        <v>1215</v>
      </c>
    </row>
  </sheetData>
  <sheetProtection selectLockedCells="1"/>
  <mergeCells count="1">
    <mergeCell ref="C1:I1"/>
  </mergeCells>
  <phoneticPr fontId="19" type="noConversion"/>
  <hyperlinks>
    <hyperlink ref="E229" r:id="rId1" xr:uid="{87ACD731-C152-432B-992E-40E078CCA485}"/>
    <hyperlink ref="E234" r:id="rId2" xr:uid="{91BD267B-1667-4990-BBF3-BCF25D882E6F}"/>
    <hyperlink ref="E232" r:id="rId3" xr:uid="{F41FE86C-E2D7-4C0A-888A-7706150123C8}"/>
    <hyperlink ref="E233" r:id="rId4" xr:uid="{F5EC290C-68B2-4E45-95CB-406282CBEDAC}"/>
  </hyperlinks>
  <pageMargins left="0.98425196850393704" right="0.98425196850393704" top="0.98425196850393704" bottom="0.98425196850393704" header="0.51181102362204722" footer="0.51181102362204722"/>
  <pageSetup paperSize="9" scale="39" fitToHeight="0" orientation="landscape" r:id="rId5"/>
  <headerFooter>
    <oddHeader xml:space="preserve">&amp;C&amp;"Arial,Bold"&amp;16Inspection Schedule
</oddHeader>
  </headerFooter>
  <ignoredErrors>
    <ignoredError sqref="G2" unlockedFormula="1"/>
  </ignoredErrors>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2:AX27"/>
  <sheetViews>
    <sheetView zoomScale="110" zoomScaleNormal="110" zoomScaleSheetLayoutView="120" zoomScalePageLayoutView="130" workbookViewId="0">
      <pane xSplit="4" topLeftCell="AX1" activePane="topRight" state="frozen"/>
      <selection activeCell="AY23" activeCellId="1" sqref="B7:E7 AY23"/>
      <selection pane="topRight" activeCell="AX6" sqref="AX6"/>
    </sheetView>
  </sheetViews>
  <sheetFormatPr defaultColWidth="9" defaultRowHeight="12.75"/>
  <cols>
    <col min="1" max="1" width="1.875" style="9" customWidth="1"/>
    <col min="2" max="2" width="19.125" style="9" customWidth="1"/>
    <col min="3" max="3" width="2.75" style="9" customWidth="1"/>
    <col min="4" max="4" width="3.125" style="9" customWidth="1"/>
    <col min="5" max="5" width="0.125" style="9" customWidth="1"/>
    <col min="6" max="7" width="9.25" style="9" hidden="1" customWidth="1"/>
    <col min="8" max="8" width="9.875" style="9" hidden="1" customWidth="1"/>
    <col min="9" max="21" width="9.25" style="9" hidden="1" customWidth="1"/>
    <col min="22" max="22" width="11.625" style="9" hidden="1" customWidth="1"/>
    <col min="23" max="23" width="9.25" style="9" hidden="1" customWidth="1"/>
    <col min="24" max="33" width="9.25" style="9" bestFit="1" customWidth="1"/>
    <col min="34" max="34" width="9.25" style="9" customWidth="1"/>
    <col min="35" max="36" width="9.25" style="9" bestFit="1" customWidth="1"/>
    <col min="37" max="16384" width="9" style="9"/>
  </cols>
  <sheetData>
    <row r="2" spans="2:50">
      <c r="F2" s="97"/>
      <c r="G2" s="97"/>
    </row>
    <row r="3" spans="2:50">
      <c r="B3" s="12" t="s">
        <v>72</v>
      </c>
      <c r="F3" s="56" t="s">
        <v>34</v>
      </c>
      <c r="G3" s="56" t="s">
        <v>34</v>
      </c>
      <c r="H3" s="56" t="s">
        <v>34</v>
      </c>
      <c r="I3" s="56" t="s">
        <v>34</v>
      </c>
      <c r="J3" s="56" t="s">
        <v>34</v>
      </c>
      <c r="K3" s="56" t="s">
        <v>34</v>
      </c>
      <c r="L3" s="56" t="s">
        <v>34</v>
      </c>
      <c r="M3" s="56" t="s">
        <v>34</v>
      </c>
      <c r="N3" s="56" t="s">
        <v>34</v>
      </c>
      <c r="O3" s="56" t="s">
        <v>34</v>
      </c>
      <c r="P3" s="56" t="s">
        <v>34</v>
      </c>
      <c r="Q3" s="56" t="s">
        <v>34</v>
      </c>
      <c r="R3" s="56" t="s">
        <v>34</v>
      </c>
      <c r="S3" s="56" t="s">
        <v>34</v>
      </c>
      <c r="T3" s="56" t="s">
        <v>34</v>
      </c>
      <c r="U3" s="56" t="s">
        <v>34</v>
      </c>
      <c r="V3" s="56" t="s">
        <v>34</v>
      </c>
      <c r="W3" s="56" t="s">
        <v>34</v>
      </c>
      <c r="X3" s="56" t="s">
        <v>34</v>
      </c>
      <c r="Y3" s="56" t="s">
        <v>34</v>
      </c>
      <c r="Z3" s="56" t="s">
        <v>34</v>
      </c>
      <c r="AA3" s="9" t="s">
        <v>34</v>
      </c>
      <c r="AB3" s="9" t="s">
        <v>34</v>
      </c>
      <c r="AC3" s="9" t="s">
        <v>34</v>
      </c>
      <c r="AD3" s="9" t="s">
        <v>34</v>
      </c>
      <c r="AE3" s="9" t="s">
        <v>34</v>
      </c>
      <c r="AF3" s="9" t="s">
        <v>34</v>
      </c>
      <c r="AG3" s="9" t="s">
        <v>34</v>
      </c>
      <c r="AH3" s="9" t="s">
        <v>34</v>
      </c>
      <c r="AI3" s="9" t="s">
        <v>34</v>
      </c>
      <c r="AJ3" s="9" t="s">
        <v>34</v>
      </c>
      <c r="AK3" s="9" t="s">
        <v>34</v>
      </c>
      <c r="AL3" s="9" t="s">
        <v>34</v>
      </c>
      <c r="AM3" s="9" t="s">
        <v>34</v>
      </c>
      <c r="AN3" s="9" t="s">
        <v>34</v>
      </c>
      <c r="AO3" s="9" t="s">
        <v>34</v>
      </c>
      <c r="AP3" s="9" t="s">
        <v>34</v>
      </c>
      <c r="AQ3" s="9" t="s">
        <v>34</v>
      </c>
      <c r="AR3" s="9" t="s">
        <v>34</v>
      </c>
      <c r="AS3" s="9" t="s">
        <v>34</v>
      </c>
      <c r="AT3" s="9" t="s">
        <v>34</v>
      </c>
      <c r="AU3" s="9" t="s">
        <v>34</v>
      </c>
      <c r="AV3" s="9" t="s">
        <v>34</v>
      </c>
      <c r="AW3" s="9" t="s">
        <v>34</v>
      </c>
      <c r="AX3" s="9" t="s">
        <v>75</v>
      </c>
    </row>
    <row r="4" spans="2:50">
      <c r="B4" s="45"/>
      <c r="C4" s="46"/>
      <c r="D4" s="46"/>
      <c r="E4" s="38"/>
      <c r="F4" s="97">
        <v>45660</v>
      </c>
      <c r="G4" s="64">
        <f t="shared" ref="G4:AB4" si="0">F4+7</f>
        <v>45667</v>
      </c>
      <c r="H4" s="64">
        <f t="shared" si="0"/>
        <v>45674</v>
      </c>
      <c r="I4" s="64">
        <f t="shared" si="0"/>
        <v>45681</v>
      </c>
      <c r="J4" s="64">
        <f t="shared" si="0"/>
        <v>45688</v>
      </c>
      <c r="K4" s="64">
        <f t="shared" si="0"/>
        <v>45695</v>
      </c>
      <c r="L4" s="64">
        <f t="shared" si="0"/>
        <v>45702</v>
      </c>
      <c r="M4" s="64">
        <f t="shared" si="0"/>
        <v>45709</v>
      </c>
      <c r="N4" s="64">
        <f t="shared" si="0"/>
        <v>45716</v>
      </c>
      <c r="O4" s="64">
        <f t="shared" si="0"/>
        <v>45723</v>
      </c>
      <c r="P4" s="64">
        <f t="shared" si="0"/>
        <v>45730</v>
      </c>
      <c r="Q4" s="64">
        <f t="shared" si="0"/>
        <v>45737</v>
      </c>
      <c r="R4" s="64">
        <f t="shared" si="0"/>
        <v>45744</v>
      </c>
      <c r="S4" s="64">
        <f t="shared" si="0"/>
        <v>45751</v>
      </c>
      <c r="T4" s="64">
        <f t="shared" si="0"/>
        <v>45758</v>
      </c>
      <c r="U4" s="64">
        <f t="shared" si="0"/>
        <v>45765</v>
      </c>
      <c r="V4" s="64">
        <f t="shared" si="0"/>
        <v>45772</v>
      </c>
      <c r="W4" s="64">
        <f t="shared" si="0"/>
        <v>45779</v>
      </c>
      <c r="X4" s="64">
        <f t="shared" si="0"/>
        <v>45786</v>
      </c>
      <c r="Y4" s="64">
        <f t="shared" si="0"/>
        <v>45793</v>
      </c>
      <c r="Z4" s="64">
        <f t="shared" si="0"/>
        <v>45800</v>
      </c>
      <c r="AA4" s="64">
        <f t="shared" si="0"/>
        <v>45807</v>
      </c>
      <c r="AB4" s="64">
        <f t="shared" si="0"/>
        <v>45814</v>
      </c>
      <c r="AC4" s="64">
        <f>AB4+7</f>
        <v>45821</v>
      </c>
      <c r="AD4" s="64">
        <f>AC4+7</f>
        <v>45828</v>
      </c>
      <c r="AE4" s="64">
        <f>AD4+7</f>
        <v>45835</v>
      </c>
      <c r="AF4" s="64">
        <f>AE4+7</f>
        <v>45842</v>
      </c>
      <c r="AG4" s="64">
        <f>AF4+7</f>
        <v>45849</v>
      </c>
      <c r="AH4" s="64">
        <f t="shared" ref="AH4:AX4" si="1">AG4+7</f>
        <v>45856</v>
      </c>
      <c r="AI4" s="64">
        <f t="shared" si="1"/>
        <v>45863</v>
      </c>
      <c r="AJ4" s="64">
        <f t="shared" si="1"/>
        <v>45870</v>
      </c>
      <c r="AK4" s="64">
        <f t="shared" si="1"/>
        <v>45877</v>
      </c>
      <c r="AL4" s="64">
        <v>45884</v>
      </c>
      <c r="AM4" s="64">
        <f t="shared" si="1"/>
        <v>45891</v>
      </c>
      <c r="AN4" s="64">
        <f t="shared" si="1"/>
        <v>45898</v>
      </c>
      <c r="AO4" s="64">
        <f t="shared" si="1"/>
        <v>45905</v>
      </c>
      <c r="AP4" s="64">
        <f t="shared" si="1"/>
        <v>45912</v>
      </c>
      <c r="AQ4" s="64">
        <f t="shared" si="1"/>
        <v>45919</v>
      </c>
      <c r="AR4" s="64">
        <f t="shared" si="1"/>
        <v>45926</v>
      </c>
      <c r="AS4" s="64">
        <f t="shared" si="1"/>
        <v>45933</v>
      </c>
      <c r="AT4" s="64">
        <f t="shared" si="1"/>
        <v>45940</v>
      </c>
      <c r="AU4" s="64">
        <f t="shared" si="1"/>
        <v>45947</v>
      </c>
      <c r="AV4" s="64">
        <f t="shared" si="1"/>
        <v>45954</v>
      </c>
      <c r="AW4" s="64">
        <f t="shared" si="1"/>
        <v>45961</v>
      </c>
      <c r="AX4" s="64">
        <f t="shared" si="1"/>
        <v>45968</v>
      </c>
    </row>
    <row r="5" spans="2:50">
      <c r="B5" s="814" t="s">
        <v>73</v>
      </c>
      <c r="C5" s="814"/>
      <c r="D5" s="814"/>
      <c r="E5" s="814"/>
      <c r="F5" s="48">
        <v>0</v>
      </c>
      <c r="G5" s="48">
        <v>4</v>
      </c>
      <c r="H5" s="48">
        <v>4</v>
      </c>
      <c r="I5" s="48">
        <v>5</v>
      </c>
      <c r="J5" s="48">
        <v>7</v>
      </c>
      <c r="K5" s="48">
        <v>7</v>
      </c>
      <c r="L5" s="48">
        <v>10</v>
      </c>
      <c r="M5" s="48">
        <v>12</v>
      </c>
      <c r="N5" s="48">
        <v>15</v>
      </c>
      <c r="O5" s="48">
        <v>15</v>
      </c>
      <c r="P5" s="48">
        <v>15</v>
      </c>
      <c r="Q5" s="48">
        <v>16</v>
      </c>
      <c r="R5" s="48">
        <v>17</v>
      </c>
      <c r="S5" s="48">
        <v>18</v>
      </c>
      <c r="T5" s="48">
        <v>18</v>
      </c>
      <c r="U5" s="48">
        <v>19</v>
      </c>
      <c r="V5" s="48">
        <v>20</v>
      </c>
      <c r="W5" s="48">
        <v>20</v>
      </c>
      <c r="X5" s="48">
        <v>20</v>
      </c>
      <c r="Y5" s="48">
        <v>21</v>
      </c>
      <c r="Z5" s="48">
        <v>21</v>
      </c>
      <c r="AA5" s="48">
        <v>23</v>
      </c>
      <c r="AB5" s="48">
        <v>23</v>
      </c>
      <c r="AC5" s="48">
        <v>23</v>
      </c>
      <c r="AD5" s="48">
        <v>24</v>
      </c>
      <c r="AE5" s="48">
        <v>25</v>
      </c>
      <c r="AF5" s="48">
        <v>25</v>
      </c>
      <c r="AG5" s="48">
        <v>25</v>
      </c>
      <c r="AH5" s="48">
        <v>27</v>
      </c>
      <c r="AI5" s="48">
        <v>27</v>
      </c>
      <c r="AJ5" s="48">
        <v>27</v>
      </c>
      <c r="AK5" s="48">
        <v>27</v>
      </c>
      <c r="AL5" s="48">
        <v>29</v>
      </c>
      <c r="AM5" s="48">
        <v>31</v>
      </c>
      <c r="AN5" s="48">
        <v>31</v>
      </c>
      <c r="AO5" s="48">
        <v>32</v>
      </c>
      <c r="AP5" s="48">
        <v>32</v>
      </c>
      <c r="AQ5" s="48">
        <v>34</v>
      </c>
      <c r="AR5" s="48">
        <v>34</v>
      </c>
      <c r="AS5" s="48">
        <v>34</v>
      </c>
      <c r="AT5" s="48">
        <v>35</v>
      </c>
      <c r="AU5" s="48">
        <v>35</v>
      </c>
      <c r="AV5" s="48">
        <v>36</v>
      </c>
      <c r="AW5" s="48">
        <v>40</v>
      </c>
      <c r="AX5" s="48">
        <f>AW5 + COUNTIFS('Letting Progress'!$D5:$D72, "NL", 'Letting Progress'!$Q5:$Q72, "Yes")</f>
        <v>41</v>
      </c>
    </row>
    <row r="6" spans="2:50">
      <c r="B6" s="814" t="s">
        <v>17</v>
      </c>
      <c r="C6" s="814"/>
      <c r="D6" s="814"/>
      <c r="E6" s="814"/>
      <c r="F6" s="47">
        <v>0</v>
      </c>
      <c r="G6" s="47">
        <v>0</v>
      </c>
      <c r="H6" s="47">
        <v>0</v>
      </c>
      <c r="I6" s="47">
        <v>1</v>
      </c>
      <c r="J6" s="47">
        <v>2</v>
      </c>
      <c r="K6" s="47">
        <v>2</v>
      </c>
      <c r="L6" s="47">
        <v>2</v>
      </c>
      <c r="M6" s="47">
        <v>2</v>
      </c>
      <c r="N6" s="47">
        <v>2</v>
      </c>
      <c r="O6" s="47">
        <v>2</v>
      </c>
      <c r="P6" s="47">
        <v>2</v>
      </c>
      <c r="Q6" s="47">
        <v>2</v>
      </c>
      <c r="R6" s="47">
        <v>2</v>
      </c>
      <c r="S6" s="47">
        <v>2</v>
      </c>
      <c r="T6" s="47">
        <v>2</v>
      </c>
      <c r="U6" s="47">
        <v>2</v>
      </c>
      <c r="V6" s="47">
        <f>U6 + COUNTIFS('Letting Progress'!$D5:$D72, "TL", 'Letting Progress'!$Q5:$Q72, "Yes")</f>
        <v>2</v>
      </c>
      <c r="W6" s="47">
        <v>2</v>
      </c>
      <c r="X6" s="47">
        <v>2</v>
      </c>
      <c r="Y6" s="47">
        <v>2</v>
      </c>
      <c r="Z6" s="47">
        <v>2</v>
      </c>
      <c r="AA6" s="47">
        <v>2</v>
      </c>
      <c r="AB6" s="47">
        <v>2</v>
      </c>
      <c r="AC6" s="47">
        <v>2</v>
      </c>
      <c r="AD6" s="47">
        <v>2</v>
      </c>
      <c r="AE6" s="47">
        <v>2</v>
      </c>
      <c r="AF6" s="47">
        <v>2</v>
      </c>
      <c r="AG6" s="48">
        <v>2</v>
      </c>
      <c r="AH6" s="47">
        <v>2</v>
      </c>
      <c r="AI6" s="47">
        <v>2</v>
      </c>
      <c r="AJ6" s="47">
        <v>2</v>
      </c>
      <c r="AK6" s="48">
        <v>2</v>
      </c>
      <c r="AL6" s="48">
        <v>2</v>
      </c>
      <c r="AM6" s="48">
        <v>2</v>
      </c>
      <c r="AN6" s="48">
        <v>2</v>
      </c>
      <c r="AO6" s="48">
        <v>2</v>
      </c>
      <c r="AP6" s="48">
        <v>2</v>
      </c>
      <c r="AQ6" s="48">
        <v>3</v>
      </c>
      <c r="AR6" s="48">
        <v>3</v>
      </c>
      <c r="AS6" s="48">
        <v>3</v>
      </c>
      <c r="AT6" s="48">
        <v>3</v>
      </c>
      <c r="AU6" s="48">
        <v>3</v>
      </c>
      <c r="AV6" s="48">
        <v>3</v>
      </c>
      <c r="AW6" s="48">
        <v>3</v>
      </c>
      <c r="AX6" s="48">
        <f>AW6 + COUNTIFS('Letting Progress'!$D6:$D72, "STL", 'Letting Progress'!$Q6:$Q72, "Yes")</f>
        <v>3</v>
      </c>
    </row>
    <row r="7" spans="2:50">
      <c r="B7" s="814" t="s">
        <v>74</v>
      </c>
      <c r="C7" s="814"/>
      <c r="D7" s="814"/>
      <c r="E7" s="814"/>
      <c r="F7" s="48">
        <v>0</v>
      </c>
      <c r="G7" s="48">
        <v>1</v>
      </c>
      <c r="H7" s="48">
        <v>2</v>
      </c>
      <c r="I7" s="48">
        <v>2</v>
      </c>
      <c r="J7" s="48">
        <v>2</v>
      </c>
      <c r="K7" s="48">
        <v>3</v>
      </c>
      <c r="L7" s="48">
        <v>4</v>
      </c>
      <c r="M7" s="48">
        <v>4</v>
      </c>
      <c r="N7" s="48">
        <v>4</v>
      </c>
      <c r="O7" s="48">
        <v>4</v>
      </c>
      <c r="P7" s="48">
        <v>4</v>
      </c>
      <c r="Q7" s="48">
        <v>4</v>
      </c>
      <c r="R7" s="48">
        <v>4</v>
      </c>
      <c r="S7" s="48">
        <v>4</v>
      </c>
      <c r="T7" s="48">
        <v>5</v>
      </c>
      <c r="U7" s="48">
        <v>8</v>
      </c>
      <c r="V7" s="48">
        <v>8</v>
      </c>
      <c r="W7" s="48">
        <v>11</v>
      </c>
      <c r="X7" s="48">
        <v>11</v>
      </c>
      <c r="Y7" s="48">
        <v>12</v>
      </c>
      <c r="Z7" s="48">
        <v>14</v>
      </c>
      <c r="AA7" s="48">
        <v>14</v>
      </c>
      <c r="AB7" s="48">
        <v>14</v>
      </c>
      <c r="AC7" s="48">
        <v>14</v>
      </c>
      <c r="AD7" s="48">
        <v>14</v>
      </c>
      <c r="AE7" s="48">
        <v>14</v>
      </c>
      <c r="AF7" s="48">
        <v>14</v>
      </c>
      <c r="AG7" s="48">
        <v>14</v>
      </c>
      <c r="AH7" s="48">
        <v>15</v>
      </c>
      <c r="AI7" s="48">
        <v>17</v>
      </c>
      <c r="AJ7" s="48">
        <v>17</v>
      </c>
      <c r="AK7" s="48">
        <v>17</v>
      </c>
      <c r="AL7" s="48">
        <v>18</v>
      </c>
      <c r="AM7" s="48">
        <v>18</v>
      </c>
      <c r="AN7" s="48">
        <v>19</v>
      </c>
      <c r="AO7" s="48">
        <v>19</v>
      </c>
      <c r="AP7" s="48">
        <v>21</v>
      </c>
      <c r="AQ7" s="48">
        <v>23</v>
      </c>
      <c r="AR7" s="48">
        <v>23</v>
      </c>
      <c r="AS7" s="48">
        <v>24</v>
      </c>
      <c r="AT7" s="48">
        <v>24</v>
      </c>
      <c r="AU7" s="48">
        <v>24</v>
      </c>
      <c r="AV7" s="48">
        <v>24</v>
      </c>
      <c r="AW7" s="48">
        <v>24</v>
      </c>
      <c r="AX7" s="48">
        <f>AW7 + COUNTIFS('Letting Progress'!$D7:$D72, "LR", 'Letting Progress'!$Q7:$Q72, "Yes")</f>
        <v>24</v>
      </c>
    </row>
    <row r="8" spans="2:50">
      <c r="B8" s="813" t="s">
        <v>19</v>
      </c>
      <c r="C8" s="813"/>
      <c r="D8" s="813"/>
      <c r="E8" s="813"/>
      <c r="F8" s="71">
        <f t="shared" ref="F8:G8" si="2">SUM(F5:F7)</f>
        <v>0</v>
      </c>
      <c r="G8" s="71">
        <f t="shared" si="2"/>
        <v>5</v>
      </c>
      <c r="H8" s="71">
        <f t="shared" ref="H8:I8" si="3">SUM(H5:H7)</f>
        <v>6</v>
      </c>
      <c r="I8" s="71">
        <f t="shared" si="3"/>
        <v>8</v>
      </c>
      <c r="J8" s="71">
        <f t="shared" ref="J8:K8" si="4">SUM(J5:J7)</f>
        <v>11</v>
      </c>
      <c r="K8" s="71">
        <f t="shared" si="4"/>
        <v>12</v>
      </c>
      <c r="L8" s="71">
        <f t="shared" ref="L8:M8" si="5">SUM(L5:L7)</f>
        <v>16</v>
      </c>
      <c r="M8" s="71">
        <f t="shared" si="5"/>
        <v>18</v>
      </c>
      <c r="N8" s="71">
        <f t="shared" ref="N8:O8" si="6">SUM(N5:N7)</f>
        <v>21</v>
      </c>
      <c r="O8" s="71">
        <f t="shared" si="6"/>
        <v>21</v>
      </c>
      <c r="P8" s="71">
        <f t="shared" ref="P8:Q8" si="7">SUM(P5:P7)</f>
        <v>21</v>
      </c>
      <c r="Q8" s="71">
        <f t="shared" si="7"/>
        <v>22</v>
      </c>
      <c r="R8" s="71">
        <f t="shared" ref="R8:S8" si="8">SUM(R5:R7)</f>
        <v>23</v>
      </c>
      <c r="S8" s="71">
        <f t="shared" si="8"/>
        <v>24</v>
      </c>
      <c r="T8" s="71">
        <f t="shared" ref="T8:U8" si="9">SUM(T5:T7)</f>
        <v>25</v>
      </c>
      <c r="U8" s="71">
        <f t="shared" si="9"/>
        <v>29</v>
      </c>
      <c r="V8" s="71">
        <f t="shared" ref="V8:W8" si="10">SUM(V5:V7)</f>
        <v>30</v>
      </c>
      <c r="W8" s="71">
        <f t="shared" si="10"/>
        <v>33</v>
      </c>
      <c r="X8" s="71">
        <f t="shared" ref="X8:Y8" si="11">SUM(X5:X7)</f>
        <v>33</v>
      </c>
      <c r="Y8" s="71">
        <f t="shared" si="11"/>
        <v>35</v>
      </c>
      <c r="Z8" s="71">
        <f t="shared" ref="Z8:AA8" si="12">SUM(Z5:Z7)</f>
        <v>37</v>
      </c>
      <c r="AA8" s="71">
        <f t="shared" si="12"/>
        <v>39</v>
      </c>
      <c r="AB8" s="71">
        <f t="shared" ref="AB8" si="13">SUM(AB5:AB7)</f>
        <v>39</v>
      </c>
      <c r="AC8" s="71">
        <f t="shared" ref="AC8:AD8" si="14">SUM(AC5:AC7)</f>
        <v>39</v>
      </c>
      <c r="AD8" s="71">
        <f t="shared" si="14"/>
        <v>40</v>
      </c>
      <c r="AE8" s="71">
        <f t="shared" ref="AE8:AF8" si="15">SUM(AE5:AE7)</f>
        <v>41</v>
      </c>
      <c r="AF8" s="71">
        <f t="shared" si="15"/>
        <v>41</v>
      </c>
      <c r="AG8" s="71">
        <f t="shared" ref="AG8:AJ8" si="16">SUM(AG5:AG7)</f>
        <v>41</v>
      </c>
      <c r="AH8" s="71">
        <f t="shared" si="16"/>
        <v>44</v>
      </c>
      <c r="AI8" s="71">
        <f t="shared" si="16"/>
        <v>46</v>
      </c>
      <c r="AJ8" s="71">
        <f t="shared" si="16"/>
        <v>46</v>
      </c>
      <c r="AK8" s="71">
        <f t="shared" ref="AK8:AL8" si="17">SUM(AK5:AK7)</f>
        <v>46</v>
      </c>
      <c r="AL8" s="71">
        <f t="shared" si="17"/>
        <v>49</v>
      </c>
      <c r="AM8" s="71">
        <f t="shared" ref="AM8" si="18">SUM(AM5:AM7)</f>
        <v>51</v>
      </c>
      <c r="AN8" s="71">
        <f t="shared" ref="AN8:AO8" si="19">SUM(AN5:AN7)</f>
        <v>52</v>
      </c>
      <c r="AO8" s="71">
        <f t="shared" si="19"/>
        <v>53</v>
      </c>
      <c r="AP8" s="71">
        <f t="shared" ref="AP8:AQ8" si="20">SUM(AP5:AP7)</f>
        <v>55</v>
      </c>
      <c r="AQ8" s="71">
        <f t="shared" si="20"/>
        <v>60</v>
      </c>
      <c r="AR8" s="71">
        <f t="shared" ref="AR8:AS8" si="21">SUM(AR5:AR7)</f>
        <v>60</v>
      </c>
      <c r="AS8" s="71">
        <f t="shared" si="21"/>
        <v>61</v>
      </c>
      <c r="AT8" s="567">
        <f>SUM(AT5:AT7)</f>
        <v>62</v>
      </c>
      <c r="AU8" s="567">
        <f>SUM(AU5:AU7)</f>
        <v>62</v>
      </c>
      <c r="AV8" s="567">
        <f>SUM(AV5:AV7)</f>
        <v>63</v>
      </c>
      <c r="AW8" s="567">
        <f>SUM(AW5:AW7)</f>
        <v>67</v>
      </c>
      <c r="AX8" s="567">
        <f>SUM(AX5:AX7)</f>
        <v>68</v>
      </c>
    </row>
    <row r="11" spans="2:50">
      <c r="B11" s="812" t="s">
        <v>9</v>
      </c>
      <c r="C11" s="812"/>
      <c r="D11" s="812"/>
      <c r="E11" s="812"/>
      <c r="F11" s="56" t="s">
        <v>34</v>
      </c>
      <c r="G11" s="56" t="s">
        <v>34</v>
      </c>
      <c r="H11" s="56" t="s">
        <v>34</v>
      </c>
      <c r="I11" s="56" t="s">
        <v>34</v>
      </c>
      <c r="J11" s="56" t="s">
        <v>34</v>
      </c>
      <c r="K11" s="56" t="s">
        <v>34</v>
      </c>
      <c r="L11" s="56" t="s">
        <v>34</v>
      </c>
      <c r="M11" s="56" t="s">
        <v>34</v>
      </c>
      <c r="N11" s="56" t="s">
        <v>34</v>
      </c>
      <c r="O11" s="56" t="s">
        <v>34</v>
      </c>
      <c r="P11" s="56" t="s">
        <v>34</v>
      </c>
      <c r="Q11" s="56" t="s">
        <v>34</v>
      </c>
      <c r="R11" s="56" t="s">
        <v>34</v>
      </c>
      <c r="S11" s="56" t="s">
        <v>34</v>
      </c>
      <c r="T11" s="56" t="s">
        <v>34</v>
      </c>
      <c r="U11" s="56" t="s">
        <v>34</v>
      </c>
      <c r="V11" s="56" t="s">
        <v>34</v>
      </c>
      <c r="W11" s="56" t="s">
        <v>34</v>
      </c>
      <c r="X11" s="56" t="s">
        <v>34</v>
      </c>
      <c r="Y11" s="56" t="s">
        <v>34</v>
      </c>
      <c r="Z11" s="56" t="s">
        <v>34</v>
      </c>
      <c r="AA11" s="9" t="s">
        <v>34</v>
      </c>
      <c r="AB11" s="9" t="s">
        <v>34</v>
      </c>
      <c r="AC11" s="9" t="s">
        <v>34</v>
      </c>
      <c r="AD11" s="9" t="s">
        <v>34</v>
      </c>
      <c r="AE11" s="9" t="s">
        <v>34</v>
      </c>
      <c r="AF11" s="9" t="s">
        <v>34</v>
      </c>
      <c r="AG11" s="9" t="s">
        <v>34</v>
      </c>
      <c r="AH11" s="9" t="s">
        <v>34</v>
      </c>
      <c r="AI11" s="9" t="s">
        <v>34</v>
      </c>
      <c r="AJ11" s="9" t="s">
        <v>34</v>
      </c>
      <c r="AK11" s="9" t="s">
        <v>34</v>
      </c>
      <c r="AL11" s="9" t="s">
        <v>34</v>
      </c>
      <c r="AM11" s="9" t="s">
        <v>34</v>
      </c>
      <c r="AN11" s="9" t="s">
        <v>34</v>
      </c>
      <c r="AO11" s="9" t="s">
        <v>34</v>
      </c>
      <c r="AP11" s="9" t="s">
        <v>34</v>
      </c>
      <c r="AQ11" s="9" t="s">
        <v>34</v>
      </c>
      <c r="AR11" s="9" t="s">
        <v>34</v>
      </c>
      <c r="AS11" s="9" t="s">
        <v>34</v>
      </c>
      <c r="AT11" s="9" t="s">
        <v>34</v>
      </c>
      <c r="AU11" s="9" t="s">
        <v>34</v>
      </c>
      <c r="AV11" s="9" t="s">
        <v>34</v>
      </c>
      <c r="AW11" s="9" t="s">
        <v>34</v>
      </c>
      <c r="AX11" s="9" t="s">
        <v>75</v>
      </c>
    </row>
    <row r="12" spans="2:50">
      <c r="B12" s="45"/>
      <c r="C12" s="46"/>
      <c r="D12" s="46"/>
      <c r="E12" s="46"/>
      <c r="F12" s="97">
        <v>45660</v>
      </c>
      <c r="G12" s="64">
        <f t="shared" ref="G12:AB12" si="22">F12+7</f>
        <v>45667</v>
      </c>
      <c r="H12" s="64">
        <f t="shared" si="22"/>
        <v>45674</v>
      </c>
      <c r="I12" s="64">
        <f t="shared" si="22"/>
        <v>45681</v>
      </c>
      <c r="J12" s="64">
        <f t="shared" si="22"/>
        <v>45688</v>
      </c>
      <c r="K12" s="64">
        <f t="shared" si="22"/>
        <v>45695</v>
      </c>
      <c r="L12" s="64">
        <f t="shared" si="22"/>
        <v>45702</v>
      </c>
      <c r="M12" s="64">
        <f t="shared" si="22"/>
        <v>45709</v>
      </c>
      <c r="N12" s="64">
        <f t="shared" si="22"/>
        <v>45716</v>
      </c>
      <c r="O12" s="64">
        <f t="shared" si="22"/>
        <v>45723</v>
      </c>
      <c r="P12" s="64">
        <f t="shared" si="22"/>
        <v>45730</v>
      </c>
      <c r="Q12" s="64">
        <f t="shared" si="22"/>
        <v>45737</v>
      </c>
      <c r="R12" s="64">
        <f t="shared" si="22"/>
        <v>45744</v>
      </c>
      <c r="S12" s="64">
        <f t="shared" si="22"/>
        <v>45751</v>
      </c>
      <c r="T12" s="64">
        <f t="shared" si="22"/>
        <v>45758</v>
      </c>
      <c r="U12" s="64">
        <f t="shared" si="22"/>
        <v>45765</v>
      </c>
      <c r="V12" s="64">
        <f t="shared" si="22"/>
        <v>45772</v>
      </c>
      <c r="W12" s="64">
        <f t="shared" si="22"/>
        <v>45779</v>
      </c>
      <c r="X12" s="64">
        <f t="shared" si="22"/>
        <v>45786</v>
      </c>
      <c r="Y12" s="64">
        <f t="shared" si="22"/>
        <v>45793</v>
      </c>
      <c r="Z12" s="64">
        <f t="shared" si="22"/>
        <v>45800</v>
      </c>
      <c r="AA12" s="64">
        <f t="shared" si="22"/>
        <v>45807</v>
      </c>
      <c r="AB12" s="64">
        <f t="shared" si="22"/>
        <v>45814</v>
      </c>
      <c r="AC12" s="64">
        <f>AB12+7</f>
        <v>45821</v>
      </c>
      <c r="AD12" s="64">
        <f>AC12+7</f>
        <v>45828</v>
      </c>
      <c r="AE12" s="64">
        <f>AD12+7</f>
        <v>45835</v>
      </c>
      <c r="AF12" s="64">
        <f>AE12+7</f>
        <v>45842</v>
      </c>
      <c r="AG12" s="64">
        <f>AF12+7</f>
        <v>45849</v>
      </c>
      <c r="AH12" s="64">
        <f t="shared" ref="AH12:AX12" si="23">AG12+7</f>
        <v>45856</v>
      </c>
      <c r="AI12" s="64">
        <f t="shared" si="23"/>
        <v>45863</v>
      </c>
      <c r="AJ12" s="64">
        <f t="shared" si="23"/>
        <v>45870</v>
      </c>
      <c r="AK12" s="64">
        <f t="shared" si="23"/>
        <v>45877</v>
      </c>
      <c r="AL12" s="64">
        <v>45884</v>
      </c>
      <c r="AM12" s="64">
        <f t="shared" si="23"/>
        <v>45891</v>
      </c>
      <c r="AN12" s="64">
        <f t="shared" si="23"/>
        <v>45898</v>
      </c>
      <c r="AO12" s="64">
        <f t="shared" si="23"/>
        <v>45905</v>
      </c>
      <c r="AP12" s="64">
        <f t="shared" si="23"/>
        <v>45912</v>
      </c>
      <c r="AQ12" s="64">
        <f t="shared" si="23"/>
        <v>45919</v>
      </c>
      <c r="AR12" s="64">
        <f t="shared" si="23"/>
        <v>45926</v>
      </c>
      <c r="AS12" s="64">
        <f t="shared" si="23"/>
        <v>45933</v>
      </c>
      <c r="AT12" s="64">
        <f t="shared" si="23"/>
        <v>45940</v>
      </c>
      <c r="AU12" s="64">
        <f t="shared" si="23"/>
        <v>45947</v>
      </c>
      <c r="AV12" s="64">
        <f t="shared" si="23"/>
        <v>45954</v>
      </c>
      <c r="AW12" s="64">
        <f t="shared" si="23"/>
        <v>45961</v>
      </c>
      <c r="AX12" s="64">
        <f t="shared" si="23"/>
        <v>45968</v>
      </c>
    </row>
    <row r="13" spans="2:50" hidden="1">
      <c r="B13" s="45"/>
      <c r="C13" s="46"/>
      <c r="D13" s="46"/>
      <c r="E13" s="46"/>
    </row>
    <row r="14" spans="2:50">
      <c r="B14" s="806" t="s">
        <v>73</v>
      </c>
      <c r="C14" s="807"/>
      <c r="D14" s="807"/>
      <c r="E14" s="808"/>
      <c r="F14" s="65">
        <v>0</v>
      </c>
      <c r="G14" s="65">
        <v>332971</v>
      </c>
      <c r="H14" s="99">
        <v>332971</v>
      </c>
      <c r="I14" s="65">
        <v>332971</v>
      </c>
      <c r="J14" s="65">
        <v>592971</v>
      </c>
      <c r="K14" s="65">
        <v>592971</v>
      </c>
      <c r="L14" s="65">
        <v>1005040</v>
      </c>
      <c r="M14" s="65">
        <v>1725040</v>
      </c>
      <c r="N14" s="65">
        <v>2145480</v>
      </c>
      <c r="O14" s="65">
        <v>2145480</v>
      </c>
      <c r="P14" s="65">
        <v>2145480</v>
      </c>
      <c r="Q14" s="65">
        <v>2273480</v>
      </c>
      <c r="R14" s="65">
        <v>2273480</v>
      </c>
      <c r="S14" s="65">
        <v>2453480</v>
      </c>
      <c r="T14" s="65">
        <v>2453480</v>
      </c>
      <c r="U14" s="101">
        <v>2539930</v>
      </c>
      <c r="V14" s="103">
        <v>2568537</v>
      </c>
      <c r="W14" s="65">
        <v>2568537</v>
      </c>
      <c r="X14" s="65">
        <v>2568537</v>
      </c>
      <c r="Y14" s="65">
        <v>2929787</v>
      </c>
      <c r="Z14" s="65">
        <v>2929787</v>
      </c>
      <c r="AA14" s="65">
        <v>3865787</v>
      </c>
      <c r="AB14" s="65">
        <v>3865787</v>
      </c>
      <c r="AC14" s="65">
        <v>3865787</v>
      </c>
      <c r="AD14" s="65">
        <v>3920787</v>
      </c>
      <c r="AE14" s="65">
        <v>4011387</v>
      </c>
      <c r="AF14" s="65">
        <v>4011387</v>
      </c>
      <c r="AG14" s="65">
        <v>4011387</v>
      </c>
      <c r="AH14" s="65">
        <v>4295347</v>
      </c>
      <c r="AI14" s="65">
        <v>4295347</v>
      </c>
      <c r="AJ14" s="65">
        <v>4295347</v>
      </c>
      <c r="AK14" s="65">
        <v>4295347</v>
      </c>
      <c r="AL14" s="65">
        <v>4365347</v>
      </c>
      <c r="AM14" s="65">
        <v>4365347</v>
      </c>
      <c r="AN14" s="65">
        <v>4435347</v>
      </c>
      <c r="AO14" s="65">
        <v>4435347</v>
      </c>
      <c r="AP14" s="65">
        <v>4435347</v>
      </c>
      <c r="AQ14" s="65">
        <v>4519072</v>
      </c>
      <c r="AR14" s="65">
        <v>4519072</v>
      </c>
      <c r="AS14" s="65">
        <v>4519072</v>
      </c>
      <c r="AT14" s="65">
        <v>4625857</v>
      </c>
      <c r="AU14" s="65">
        <v>4625857</v>
      </c>
      <c r="AV14" s="65">
        <v>4735857</v>
      </c>
      <c r="AW14" s="65">
        <v>5175525</v>
      </c>
      <c r="AX14" s="65">
        <f>AW14 + SUMIFS('Letting Progress'!$K5:$K74,
               'Letting Progress'!$D5:$D74, "NL",
               'Letting Progress'!$Q5:$Q74, "Yes")</f>
        <v>5510541</v>
      </c>
    </row>
    <row r="15" spans="2:50">
      <c r="B15" s="806" t="s">
        <v>17</v>
      </c>
      <c r="C15" s="807"/>
      <c r="D15" s="807"/>
      <c r="E15" s="808"/>
      <c r="F15" s="65">
        <v>0</v>
      </c>
      <c r="G15" s="65">
        <v>0</v>
      </c>
      <c r="H15" s="65">
        <v>0</v>
      </c>
      <c r="I15" s="65">
        <v>0</v>
      </c>
      <c r="J15" s="65">
        <v>48300</v>
      </c>
      <c r="K15" s="65">
        <v>48300</v>
      </c>
      <c r="L15" s="65">
        <v>48300</v>
      </c>
      <c r="M15" s="65">
        <v>48300</v>
      </c>
      <c r="N15" s="65">
        <v>48300</v>
      </c>
      <c r="O15" s="65">
        <v>48300</v>
      </c>
      <c r="P15" s="65">
        <v>48300</v>
      </c>
      <c r="Q15" s="65">
        <v>48300</v>
      </c>
      <c r="R15" s="65">
        <v>48300</v>
      </c>
      <c r="S15" s="65">
        <v>48300</v>
      </c>
      <c r="T15" s="65">
        <v>48300</v>
      </c>
      <c r="U15" s="102">
        <v>48300</v>
      </c>
      <c r="V15" s="104">
        <v>48300</v>
      </c>
      <c r="W15" s="65">
        <v>48300</v>
      </c>
      <c r="X15" s="65">
        <v>48300</v>
      </c>
      <c r="Y15" s="65">
        <v>48300</v>
      </c>
      <c r="Z15" s="65">
        <v>48300</v>
      </c>
      <c r="AA15" s="65">
        <v>48300</v>
      </c>
      <c r="AB15" s="65">
        <v>48300</v>
      </c>
      <c r="AC15" s="65">
        <v>48300</v>
      </c>
      <c r="AD15" s="65">
        <v>48300</v>
      </c>
      <c r="AE15" s="65">
        <v>48300</v>
      </c>
      <c r="AF15" s="65">
        <v>48300</v>
      </c>
      <c r="AG15" s="65">
        <v>48300</v>
      </c>
      <c r="AH15" s="65">
        <v>48300</v>
      </c>
      <c r="AI15" s="65">
        <v>48300</v>
      </c>
      <c r="AJ15" s="65">
        <v>48300</v>
      </c>
      <c r="AK15" s="65">
        <v>48300</v>
      </c>
      <c r="AL15" s="65">
        <v>48300</v>
      </c>
      <c r="AM15" s="65">
        <v>48300</v>
      </c>
      <c r="AN15" s="65">
        <v>48300</v>
      </c>
      <c r="AO15" s="65">
        <v>48300</v>
      </c>
      <c r="AP15" s="65">
        <v>48300</v>
      </c>
      <c r="AQ15" s="65">
        <v>48300</v>
      </c>
      <c r="AR15" s="65">
        <v>48300</v>
      </c>
      <c r="AS15" s="65">
        <v>48300</v>
      </c>
      <c r="AT15" s="65">
        <v>48300</v>
      </c>
      <c r="AU15" s="65">
        <v>48300</v>
      </c>
      <c r="AV15" s="65">
        <v>48300</v>
      </c>
      <c r="AW15" s="65">
        <v>48300</v>
      </c>
      <c r="AX15" s="65">
        <f>AW15 + SUMIFS('Letting Progress'!$K5:$K72,
               'Letting Progress'!$D5:$D72, "TL",
               'Letting Progress'!$Q5:$Q72, "Yes")</f>
        <v>48300</v>
      </c>
    </row>
    <row r="16" spans="2:50">
      <c r="B16" s="806" t="s">
        <v>74</v>
      </c>
      <c r="C16" s="807"/>
      <c r="D16" s="807"/>
      <c r="E16" s="808"/>
      <c r="F16" s="65">
        <v>0</v>
      </c>
      <c r="G16" s="65">
        <v>130000</v>
      </c>
      <c r="H16" s="65">
        <v>130000</v>
      </c>
      <c r="I16" s="65">
        <f ca="1">H16+SUMIF('Letting Progress'!$Q5:$Q14, "Yes",'Letting Progress'!$K5:$K9)</f>
        <v>465016</v>
      </c>
      <c r="J16" s="65">
        <v>130000</v>
      </c>
      <c r="K16" s="65">
        <v>130000</v>
      </c>
      <c r="L16" s="65">
        <v>137848</v>
      </c>
      <c r="M16" s="65">
        <v>137848</v>
      </c>
      <c r="N16" s="65">
        <v>137848</v>
      </c>
      <c r="O16" s="65">
        <v>137848</v>
      </c>
      <c r="P16" s="65">
        <v>137848</v>
      </c>
      <c r="Q16" s="65">
        <v>137848</v>
      </c>
      <c r="R16" s="65">
        <v>137848</v>
      </c>
      <c r="S16" s="65">
        <v>137848</v>
      </c>
      <c r="T16" s="65">
        <v>138298</v>
      </c>
      <c r="U16" s="102">
        <v>139600</v>
      </c>
      <c r="V16" s="103">
        <v>139600</v>
      </c>
      <c r="W16" s="65">
        <v>153100</v>
      </c>
      <c r="X16" s="65">
        <v>153100</v>
      </c>
      <c r="Y16" s="65">
        <v>155100</v>
      </c>
      <c r="Z16" s="65">
        <v>156000</v>
      </c>
      <c r="AA16" s="65">
        <v>156000</v>
      </c>
      <c r="AB16" s="65">
        <v>156000</v>
      </c>
      <c r="AC16" s="65">
        <v>156000</v>
      </c>
      <c r="AD16" s="65">
        <v>156000</v>
      </c>
      <c r="AE16" s="65">
        <v>156000</v>
      </c>
      <c r="AF16" s="65">
        <v>156000</v>
      </c>
      <c r="AG16" s="65">
        <v>156000</v>
      </c>
      <c r="AH16" s="65">
        <v>376000</v>
      </c>
      <c r="AI16" s="65">
        <v>376000</v>
      </c>
      <c r="AJ16" s="65">
        <v>376000</v>
      </c>
      <c r="AK16" s="65">
        <v>390100</v>
      </c>
      <c r="AL16" s="65">
        <v>390100</v>
      </c>
      <c r="AM16" s="65">
        <v>390100</v>
      </c>
      <c r="AN16" s="65">
        <v>398560</v>
      </c>
      <c r="AO16" s="65">
        <v>454882</v>
      </c>
      <c r="AP16" s="65">
        <v>473402</v>
      </c>
      <c r="AQ16" s="65">
        <v>487239.5</v>
      </c>
      <c r="AR16" s="65">
        <v>487239.5</v>
      </c>
      <c r="AS16" s="65">
        <v>487239.5</v>
      </c>
      <c r="AT16" s="65">
        <v>487239.5</v>
      </c>
      <c r="AU16" s="65">
        <v>487239.5</v>
      </c>
      <c r="AV16" s="65">
        <v>487239.5</v>
      </c>
      <c r="AW16" s="65">
        <v>487239.5</v>
      </c>
      <c r="AX16" s="65">
        <f>AW16 + SUMIFS('Letting Progress'!$K5:$K77,
               'Letting Progress'!$D5:$D77, "LR",
               'Letting Progress'!$Q5:$Q77, "Yes")</f>
        <v>487239.5</v>
      </c>
    </row>
    <row r="17" spans="1:50">
      <c r="B17" s="809" t="s">
        <v>19</v>
      </c>
      <c r="C17" s="810"/>
      <c r="D17" s="810"/>
      <c r="E17" s="811"/>
      <c r="F17" s="72">
        <f t="shared" ref="F17:G17" si="24">SUM(F14:F16)</f>
        <v>0</v>
      </c>
      <c r="G17" s="72">
        <f t="shared" si="24"/>
        <v>462971</v>
      </c>
      <c r="H17" s="72">
        <f t="shared" ref="H17:I17" si="25">SUM(H14:H16)</f>
        <v>462971</v>
      </c>
      <c r="I17" s="72">
        <f t="shared" ca="1" si="25"/>
        <v>797987</v>
      </c>
      <c r="J17" s="72">
        <f t="shared" ref="J17:K17" si="26">SUM(J14:J16)</f>
        <v>771271</v>
      </c>
      <c r="K17" s="72">
        <f t="shared" si="26"/>
        <v>771271</v>
      </c>
      <c r="L17" s="72">
        <f t="shared" ref="L17:M17" si="27">SUM(L14:L16)</f>
        <v>1191188</v>
      </c>
      <c r="M17" s="72">
        <f t="shared" si="27"/>
        <v>1911188</v>
      </c>
      <c r="N17" s="72">
        <f t="shared" ref="N17:O17" si="28">SUM(N14:N16)</f>
        <v>2331628</v>
      </c>
      <c r="O17" s="72">
        <f t="shared" si="28"/>
        <v>2331628</v>
      </c>
      <c r="P17" s="72">
        <f t="shared" ref="P17:Q17" si="29">SUM(P14:P16)</f>
        <v>2331628</v>
      </c>
      <c r="Q17" s="72">
        <f t="shared" si="29"/>
        <v>2459628</v>
      </c>
      <c r="R17" s="72">
        <f t="shared" ref="R17:S17" si="30">SUM(R14:R16)</f>
        <v>2459628</v>
      </c>
      <c r="S17" s="72">
        <f t="shared" si="30"/>
        <v>2639628</v>
      </c>
      <c r="T17" s="72">
        <f t="shared" ref="T17:U17" si="31">SUM(T14:T16)</f>
        <v>2640078</v>
      </c>
      <c r="U17" s="72">
        <f t="shared" si="31"/>
        <v>2727830</v>
      </c>
      <c r="V17" s="72">
        <f t="shared" ref="V17:W17" si="32">SUM(V14:V16)</f>
        <v>2756437</v>
      </c>
      <c r="W17" s="72">
        <f t="shared" si="32"/>
        <v>2769937</v>
      </c>
      <c r="X17" s="72">
        <f t="shared" ref="X17:Y17" si="33">SUM(X14:X16)</f>
        <v>2769937</v>
      </c>
      <c r="Y17" s="72">
        <f t="shared" si="33"/>
        <v>3133187</v>
      </c>
      <c r="Z17" s="72">
        <f t="shared" ref="Z17:AA17" si="34">SUM(Z14:Z16)</f>
        <v>3134087</v>
      </c>
      <c r="AA17" s="72">
        <f t="shared" si="34"/>
        <v>4070087</v>
      </c>
      <c r="AB17" s="72">
        <f t="shared" ref="AB17" si="35">SUM(AB14:AB16)</f>
        <v>4070087</v>
      </c>
      <c r="AC17" s="72">
        <f t="shared" ref="AC17:AD17" si="36">SUM(AC14:AC16)</f>
        <v>4070087</v>
      </c>
      <c r="AD17" s="72">
        <f t="shared" si="36"/>
        <v>4125087</v>
      </c>
      <c r="AE17" s="72">
        <f t="shared" ref="AE17:AF17" si="37">SUM(AE14:AE16)</f>
        <v>4215687</v>
      </c>
      <c r="AF17" s="72">
        <f t="shared" si="37"/>
        <v>4215687</v>
      </c>
      <c r="AG17" s="72">
        <f t="shared" ref="AG17:AJ17" si="38">SUM(AG14:AG16)</f>
        <v>4215687</v>
      </c>
      <c r="AH17" s="72">
        <f t="shared" si="38"/>
        <v>4719647</v>
      </c>
      <c r="AI17" s="72">
        <f t="shared" si="38"/>
        <v>4719647</v>
      </c>
      <c r="AJ17" s="72">
        <f t="shared" si="38"/>
        <v>4719647</v>
      </c>
      <c r="AK17" s="72">
        <f t="shared" ref="AK17:AL17" si="39">SUM(AK14:AK16)</f>
        <v>4733747</v>
      </c>
      <c r="AL17" s="72">
        <f t="shared" si="39"/>
        <v>4803747</v>
      </c>
      <c r="AM17" s="72">
        <f>SUM(AM14:AM16)</f>
        <v>4803747</v>
      </c>
      <c r="AN17" s="72">
        <f t="shared" ref="AN17:AO17" si="40">SUM(AN14:AN16)</f>
        <v>4882207</v>
      </c>
      <c r="AO17" s="72">
        <f t="shared" si="40"/>
        <v>4938529</v>
      </c>
      <c r="AP17" s="72">
        <f t="shared" ref="AP17:AQ17" si="41">SUM(AP14:AP16)</f>
        <v>4957049</v>
      </c>
      <c r="AQ17" s="72">
        <f t="shared" si="41"/>
        <v>5054611.5</v>
      </c>
      <c r="AR17" s="72">
        <f t="shared" ref="AR17:AS17" si="42">SUM(AR14:AR16)</f>
        <v>5054611.5</v>
      </c>
      <c r="AS17" s="72">
        <f t="shared" si="42"/>
        <v>5054611.5</v>
      </c>
      <c r="AT17" s="72">
        <f t="shared" ref="AT17:AU17" si="43">SUM(AT14:AT16)</f>
        <v>5161396.5</v>
      </c>
      <c r="AU17" s="72">
        <f t="shared" si="43"/>
        <v>5161396.5</v>
      </c>
      <c r="AV17" s="72">
        <f t="shared" ref="AV17:AW17" si="44">SUM(AV14:AV16)</f>
        <v>5271396.5</v>
      </c>
      <c r="AW17" s="72">
        <f t="shared" si="44"/>
        <v>5711064.5</v>
      </c>
      <c r="AX17" s="72">
        <f t="shared" ref="AX17" si="45">SUM(AX14:AX16)</f>
        <v>6046080.5</v>
      </c>
    </row>
    <row r="18" spans="1:50">
      <c r="A18" s="9" t="s">
        <v>6</v>
      </c>
    </row>
    <row r="19" spans="1:50">
      <c r="B19" s="49"/>
    </row>
    <row r="21" spans="1:50">
      <c r="D21" s="44"/>
    </row>
    <row r="22" spans="1:50">
      <c r="D22" s="44"/>
      <c r="J22" s="99"/>
    </row>
    <row r="26" spans="1:50" ht="15" customHeight="1"/>
    <row r="27" spans="1:50" ht="15" customHeight="1"/>
  </sheetData>
  <mergeCells count="9">
    <mergeCell ref="B15:E15"/>
    <mergeCell ref="B17:E17"/>
    <mergeCell ref="B11:E11"/>
    <mergeCell ref="B8:E8"/>
    <mergeCell ref="B5:E5"/>
    <mergeCell ref="B7:E7"/>
    <mergeCell ref="B6:E6"/>
    <mergeCell ref="B14:E14"/>
    <mergeCell ref="B16:E16"/>
  </mergeCells>
  <phoneticPr fontId="19" type="noConversion"/>
  <conditionalFormatting sqref="AH6:AJ6 F17:AX17">
    <cfRule type="cellIs" dxfId="44" priority="1" operator="equal">
      <formula>"Yes"</formula>
    </cfRule>
    <cfRule type="expression" dxfId="43" priority="2">
      <formula>"Completed"</formula>
    </cfRule>
  </conditionalFormatting>
  <conditionalFormatting sqref="AY5:XFD7 F6:AF6">
    <cfRule type="cellIs" dxfId="42" priority="3" operator="equal">
      <formula>"Yes"</formula>
    </cfRule>
    <cfRule type="expression" dxfId="41" priority="4">
      <formula>"Completed"</formula>
    </cfRule>
  </conditionalFormatting>
  <pageMargins left="0.70866141732283472" right="0.70866141732283472" top="0.74803149606299213" bottom="0.74803149606299213" header="0.31496062992125984" footer="0.31496062992125984"/>
  <pageSetup paperSize="9" fitToWidth="0" orientation="landscape" r:id="rId1"/>
  <colBreaks count="2" manualBreakCount="2">
    <brk id="23" max="25" man="1"/>
    <brk id="33" max="25" man="1"/>
  </colBreaks>
  <extLst>
    <ext xmlns:mx="http://schemas.microsoft.com/office/mac/excel/2008/main" uri="{64002731-A6B0-56B0-2670-7721B7C09600}">
      <mx:PLV Mode="1" OnePage="0" WScale="10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0F32-BD85-49A7-99F7-5AD9A38A6853}">
  <dimension ref="A2:X111"/>
  <sheetViews>
    <sheetView topLeftCell="A54" zoomScale="70" zoomScaleNormal="70" workbookViewId="0">
      <selection activeCell="D83" sqref="D83"/>
    </sheetView>
  </sheetViews>
  <sheetFormatPr defaultRowHeight="15.75"/>
  <cols>
    <col min="3" max="3" width="10.75" customWidth="1"/>
    <col min="7" max="7" width="10.375" customWidth="1"/>
    <col min="8" max="8" width="10.25" style="342" customWidth="1"/>
    <col min="9" max="9" width="20" customWidth="1"/>
    <col min="19" max="19" width="36.875" customWidth="1"/>
    <col min="21" max="21" width="11.625" customWidth="1"/>
    <col min="23" max="23" width="11.75" customWidth="1"/>
  </cols>
  <sheetData>
    <row r="2" spans="1:24">
      <c r="B2" s="156" t="s">
        <v>435</v>
      </c>
    </row>
    <row r="3" spans="1:24">
      <c r="D3" s="157"/>
    </row>
    <row r="5" spans="1:24">
      <c r="B5" s="156" t="s">
        <v>436</v>
      </c>
    </row>
    <row r="6" spans="1:24" ht="38.25">
      <c r="B6" s="37" t="s">
        <v>24</v>
      </c>
      <c r="C6" s="37" t="s">
        <v>24</v>
      </c>
      <c r="D6" s="37" t="s">
        <v>218</v>
      </c>
      <c r="E6" s="37" t="s">
        <v>215</v>
      </c>
      <c r="F6" s="158" t="s">
        <v>25</v>
      </c>
      <c r="G6" s="37" t="s">
        <v>26</v>
      </c>
      <c r="H6" s="37" t="s">
        <v>27</v>
      </c>
      <c r="I6" s="37" t="s">
        <v>28</v>
      </c>
      <c r="J6" s="37" t="s">
        <v>437</v>
      </c>
      <c r="K6" s="159" t="s">
        <v>85</v>
      </c>
      <c r="L6" s="37" t="s">
        <v>86</v>
      </c>
      <c r="M6" s="159" t="s">
        <v>48</v>
      </c>
      <c r="N6" s="159" t="s">
        <v>49</v>
      </c>
      <c r="O6" s="159" t="s">
        <v>78</v>
      </c>
      <c r="P6" s="37" t="s">
        <v>29</v>
      </c>
      <c r="Q6" s="37" t="s">
        <v>30</v>
      </c>
      <c r="R6" s="37" t="s">
        <v>31</v>
      </c>
      <c r="S6" s="37" t="s">
        <v>32</v>
      </c>
      <c r="T6" s="37" t="s">
        <v>33</v>
      </c>
      <c r="U6" s="63" t="s">
        <v>34</v>
      </c>
    </row>
    <row r="7" spans="1:24" ht="36" hidden="1">
      <c r="B7" s="160">
        <v>1</v>
      </c>
      <c r="C7" s="161" t="s">
        <v>82</v>
      </c>
      <c r="D7" s="161" t="s">
        <v>438</v>
      </c>
      <c r="E7" s="161"/>
      <c r="F7" s="161"/>
      <c r="G7" s="162">
        <v>45499</v>
      </c>
      <c r="H7" s="163" t="s">
        <v>439</v>
      </c>
      <c r="I7" s="164" t="s">
        <v>440</v>
      </c>
      <c r="J7" s="165">
        <v>61425</v>
      </c>
      <c r="K7" s="166">
        <v>55700</v>
      </c>
      <c r="L7" s="322">
        <f>J7-K7</f>
        <v>5725</v>
      </c>
      <c r="M7" s="167">
        <v>58.5</v>
      </c>
      <c r="N7" s="167"/>
      <c r="O7" s="167"/>
      <c r="P7" s="161" t="s">
        <v>35</v>
      </c>
      <c r="Q7" s="169" t="s">
        <v>35</v>
      </c>
      <c r="R7" s="170" t="s">
        <v>441</v>
      </c>
      <c r="S7" s="161" t="s">
        <v>442</v>
      </c>
      <c r="T7" s="171" t="s">
        <v>36</v>
      </c>
      <c r="U7" s="172">
        <v>45555</v>
      </c>
    </row>
    <row r="8" spans="1:24" ht="36" hidden="1">
      <c r="B8" s="160">
        <v>2</v>
      </c>
      <c r="C8" s="161" t="s">
        <v>403</v>
      </c>
      <c r="D8" s="161" t="s">
        <v>443</v>
      </c>
      <c r="E8" s="161"/>
      <c r="F8" s="161"/>
      <c r="G8" s="162">
        <v>45538</v>
      </c>
      <c r="H8" s="173" t="s">
        <v>444</v>
      </c>
      <c r="I8" s="168" t="s">
        <v>445</v>
      </c>
      <c r="J8" s="165">
        <v>41250</v>
      </c>
      <c r="K8" s="166">
        <v>39200</v>
      </c>
      <c r="L8" s="323">
        <f>J8-K8</f>
        <v>2050</v>
      </c>
      <c r="M8" s="165">
        <v>55</v>
      </c>
      <c r="N8" s="165"/>
      <c r="O8" s="165"/>
      <c r="P8" s="161" t="s">
        <v>446</v>
      </c>
      <c r="Q8" s="169" t="s">
        <v>40</v>
      </c>
      <c r="R8" s="170" t="s">
        <v>441</v>
      </c>
      <c r="S8" s="161" t="s">
        <v>442</v>
      </c>
      <c r="T8" s="171" t="s">
        <v>44</v>
      </c>
      <c r="U8" s="174">
        <v>45555</v>
      </c>
    </row>
    <row r="9" spans="1:24" ht="48" hidden="1">
      <c r="B9" s="160">
        <v>3</v>
      </c>
      <c r="C9" s="161" t="s">
        <v>447</v>
      </c>
      <c r="D9" s="161" t="s">
        <v>448</v>
      </c>
      <c r="E9" s="161"/>
      <c r="F9" s="161"/>
      <c r="G9" s="162">
        <v>45541</v>
      </c>
      <c r="H9" s="173" t="s">
        <v>449</v>
      </c>
      <c r="I9" s="168" t="s">
        <v>450</v>
      </c>
      <c r="J9" s="165">
        <v>42000</v>
      </c>
      <c r="K9" s="166">
        <v>26496</v>
      </c>
      <c r="L9" s="166"/>
      <c r="M9" s="175">
        <v>72.41</v>
      </c>
      <c r="N9" s="175"/>
      <c r="O9" s="175"/>
      <c r="P9" s="161" t="s">
        <v>451</v>
      </c>
      <c r="Q9" s="169" t="s">
        <v>451</v>
      </c>
      <c r="R9" s="170" t="s">
        <v>441</v>
      </c>
      <c r="S9" s="161" t="s">
        <v>442</v>
      </c>
      <c r="T9" s="171" t="s">
        <v>46</v>
      </c>
      <c r="U9" s="172">
        <v>45548</v>
      </c>
    </row>
    <row r="10" spans="1:24" ht="36" hidden="1">
      <c r="A10" s="6"/>
      <c r="B10" s="160">
        <v>4</v>
      </c>
      <c r="C10" s="173" t="s">
        <v>45</v>
      </c>
      <c r="D10" s="173" t="s">
        <v>452</v>
      </c>
      <c r="E10" s="173"/>
      <c r="F10" s="173"/>
      <c r="G10" s="176">
        <v>45510</v>
      </c>
      <c r="H10" s="173" t="s">
        <v>453</v>
      </c>
      <c r="I10" s="163" t="s">
        <v>454</v>
      </c>
      <c r="J10" s="177">
        <v>47250</v>
      </c>
      <c r="K10" s="178">
        <v>35000</v>
      </c>
      <c r="L10" s="178"/>
      <c r="M10" s="179">
        <v>68.67</v>
      </c>
      <c r="N10" s="179"/>
      <c r="O10" s="179"/>
      <c r="P10" s="161" t="s">
        <v>35</v>
      </c>
      <c r="Q10" s="169" t="s">
        <v>40</v>
      </c>
      <c r="R10" s="170" t="s">
        <v>441</v>
      </c>
      <c r="S10" s="161" t="s">
        <v>31</v>
      </c>
      <c r="T10" s="171" t="s">
        <v>46</v>
      </c>
      <c r="U10" s="172">
        <v>45562</v>
      </c>
      <c r="V10" s="6"/>
      <c r="W10" s="6"/>
      <c r="X10" s="6"/>
    </row>
    <row r="11" spans="1:24" ht="60" hidden="1">
      <c r="B11" s="160">
        <v>5</v>
      </c>
      <c r="C11" s="173" t="s">
        <v>43</v>
      </c>
      <c r="D11" s="173" t="s">
        <v>455</v>
      </c>
      <c r="E11" s="173"/>
      <c r="F11" s="173"/>
      <c r="G11" s="180">
        <v>45464</v>
      </c>
      <c r="H11" s="173" t="s">
        <v>456</v>
      </c>
      <c r="I11" s="163" t="s">
        <v>457</v>
      </c>
      <c r="J11" s="177">
        <v>300000</v>
      </c>
      <c r="K11" s="178">
        <v>255000</v>
      </c>
      <c r="L11" s="178"/>
      <c r="M11" s="178">
        <v>53</v>
      </c>
      <c r="N11" s="178"/>
      <c r="O11" s="178"/>
      <c r="P11" s="171" t="s">
        <v>458</v>
      </c>
      <c r="Q11" s="181" t="s">
        <v>40</v>
      </c>
      <c r="R11" s="182" t="s">
        <v>441</v>
      </c>
      <c r="S11" s="161" t="s">
        <v>459</v>
      </c>
      <c r="T11" s="171" t="s">
        <v>36</v>
      </c>
      <c r="U11" s="174">
        <v>45569</v>
      </c>
    </row>
    <row r="12" spans="1:24" ht="48" hidden="1">
      <c r="A12" s="6"/>
      <c r="B12" s="160">
        <v>6</v>
      </c>
      <c r="C12" s="183" t="s">
        <v>460</v>
      </c>
      <c r="D12" s="184" t="s">
        <v>461</v>
      </c>
      <c r="E12" s="184"/>
      <c r="F12" s="184"/>
      <c r="G12" s="185">
        <v>45274</v>
      </c>
      <c r="H12" s="186" t="s">
        <v>462</v>
      </c>
      <c r="I12" s="187" t="s">
        <v>463</v>
      </c>
      <c r="J12" s="188">
        <v>46800</v>
      </c>
      <c r="K12" s="189">
        <v>37700</v>
      </c>
      <c r="L12" s="189"/>
      <c r="M12" s="189">
        <v>40.479999999999997</v>
      </c>
      <c r="N12" s="189"/>
      <c r="O12" s="189"/>
      <c r="P12" s="190" t="s">
        <v>35</v>
      </c>
      <c r="Q12" s="191" t="s">
        <v>36</v>
      </c>
      <c r="R12" s="192" t="s">
        <v>441</v>
      </c>
      <c r="S12" s="193"/>
      <c r="T12" s="190" t="s">
        <v>38</v>
      </c>
      <c r="U12" s="172">
        <v>45575</v>
      </c>
      <c r="V12" s="6"/>
      <c r="W12" s="6"/>
      <c r="X12" s="6"/>
    </row>
    <row r="13" spans="1:24" ht="48" hidden="1">
      <c r="B13" s="160">
        <v>7</v>
      </c>
      <c r="C13" s="173" t="s">
        <v>464</v>
      </c>
      <c r="D13" s="173" t="s">
        <v>465</v>
      </c>
      <c r="E13" s="173"/>
      <c r="F13" s="173"/>
      <c r="G13" s="180">
        <v>45499</v>
      </c>
      <c r="H13" s="173" t="s">
        <v>76</v>
      </c>
      <c r="I13" s="194" t="s">
        <v>466</v>
      </c>
      <c r="J13" s="177">
        <v>117500</v>
      </c>
      <c r="K13" s="178">
        <v>115000</v>
      </c>
      <c r="L13" s="178"/>
      <c r="M13" s="178">
        <v>68</v>
      </c>
      <c r="N13" s="178"/>
      <c r="O13" s="178"/>
      <c r="P13" s="195" t="s">
        <v>35</v>
      </c>
      <c r="Q13" s="196" t="s">
        <v>40</v>
      </c>
      <c r="R13" s="197" t="s">
        <v>441</v>
      </c>
      <c r="S13" s="173" t="s">
        <v>31</v>
      </c>
      <c r="T13" s="195" t="s">
        <v>38</v>
      </c>
      <c r="U13" s="172">
        <v>45590</v>
      </c>
    </row>
    <row r="14" spans="1:24" ht="36" hidden="1">
      <c r="B14" s="160">
        <v>8</v>
      </c>
      <c r="C14" s="173" t="s">
        <v>81</v>
      </c>
      <c r="D14" s="173" t="s">
        <v>467</v>
      </c>
      <c r="E14" s="173"/>
      <c r="F14" s="173"/>
      <c r="G14" s="180">
        <v>45562</v>
      </c>
      <c r="H14" s="173" t="s">
        <v>468</v>
      </c>
      <c r="I14" s="163" t="s">
        <v>469</v>
      </c>
      <c r="J14" s="177">
        <v>28050</v>
      </c>
      <c r="K14" s="178">
        <v>26500</v>
      </c>
      <c r="L14" s="178"/>
      <c r="M14" s="198">
        <v>55</v>
      </c>
      <c r="N14" s="198"/>
      <c r="O14" s="198"/>
      <c r="P14" s="195" t="s">
        <v>35</v>
      </c>
      <c r="Q14" s="181" t="s">
        <v>36</v>
      </c>
      <c r="R14" s="197" t="s">
        <v>441</v>
      </c>
      <c r="S14" s="173" t="s">
        <v>470</v>
      </c>
      <c r="T14" s="195" t="s">
        <v>36</v>
      </c>
      <c r="U14" s="172">
        <v>45591</v>
      </c>
    </row>
    <row r="15" spans="1:24" ht="48" hidden="1">
      <c r="B15" s="160">
        <v>9</v>
      </c>
      <c r="C15" s="173" t="s">
        <v>471</v>
      </c>
      <c r="D15" s="173" t="s">
        <v>472</v>
      </c>
      <c r="E15" s="173"/>
      <c r="F15" s="173"/>
      <c r="G15" s="180">
        <v>45303</v>
      </c>
      <c r="H15" s="195" t="s">
        <v>473</v>
      </c>
      <c r="I15" s="163" t="s">
        <v>474</v>
      </c>
      <c r="J15" s="177">
        <v>520000</v>
      </c>
      <c r="K15" s="178">
        <v>522500</v>
      </c>
      <c r="L15" s="178"/>
      <c r="M15" s="178">
        <v>160</v>
      </c>
      <c r="N15" s="178"/>
      <c r="O15" s="178"/>
      <c r="P15" s="195" t="s">
        <v>39</v>
      </c>
      <c r="Q15" s="196" t="s">
        <v>40</v>
      </c>
      <c r="R15" s="197" t="s">
        <v>441</v>
      </c>
      <c r="S15" s="173" t="s">
        <v>475</v>
      </c>
      <c r="T15" s="171" t="s">
        <v>41</v>
      </c>
      <c r="U15" s="199" t="s">
        <v>476</v>
      </c>
    </row>
    <row r="16" spans="1:24" ht="48" hidden="1">
      <c r="B16" s="160">
        <v>10</v>
      </c>
      <c r="C16" s="173" t="s">
        <v>477</v>
      </c>
      <c r="D16" s="173" t="s">
        <v>478</v>
      </c>
      <c r="E16" s="173"/>
      <c r="F16" s="173"/>
      <c r="G16" s="180">
        <v>45534</v>
      </c>
      <c r="H16" s="195" t="s">
        <v>479</v>
      </c>
      <c r="I16" s="163" t="s">
        <v>480</v>
      </c>
      <c r="J16" s="177">
        <v>41875</v>
      </c>
      <c r="K16" s="178">
        <v>36600</v>
      </c>
      <c r="L16" s="178"/>
      <c r="M16" s="178">
        <v>62.5</v>
      </c>
      <c r="N16" s="178"/>
      <c r="O16" s="178"/>
      <c r="P16" s="195" t="s">
        <v>35</v>
      </c>
      <c r="Q16" s="196" t="s">
        <v>36</v>
      </c>
      <c r="R16" s="197" t="s">
        <v>430</v>
      </c>
      <c r="S16" s="173" t="s">
        <v>481</v>
      </c>
      <c r="T16" s="195" t="s">
        <v>36</v>
      </c>
      <c r="U16" s="174">
        <v>45618</v>
      </c>
    </row>
    <row r="17" spans="2:21" ht="36" hidden="1">
      <c r="B17" s="160">
        <v>11</v>
      </c>
      <c r="C17" s="173" t="s">
        <v>389</v>
      </c>
      <c r="D17" s="173" t="s">
        <v>482</v>
      </c>
      <c r="E17" s="173"/>
      <c r="F17" s="173"/>
      <c r="G17" s="180">
        <v>45581</v>
      </c>
      <c r="H17" s="195" t="s">
        <v>483</v>
      </c>
      <c r="I17" s="173" t="s">
        <v>484</v>
      </c>
      <c r="J17" s="177">
        <v>71875</v>
      </c>
      <c r="K17" s="178">
        <v>60400</v>
      </c>
      <c r="L17" s="178"/>
      <c r="M17" s="198">
        <v>63.95</v>
      </c>
      <c r="N17" s="198"/>
      <c r="O17" s="198"/>
      <c r="P17" s="195" t="s">
        <v>485</v>
      </c>
      <c r="Q17" s="196" t="s">
        <v>36</v>
      </c>
      <c r="R17" s="197" t="s">
        <v>441</v>
      </c>
      <c r="S17" s="173" t="s">
        <v>31</v>
      </c>
      <c r="T17" s="195" t="s">
        <v>36</v>
      </c>
      <c r="U17" s="172">
        <v>45618</v>
      </c>
    </row>
    <row r="18" spans="2:21" ht="60" hidden="1">
      <c r="B18" s="160">
        <v>12</v>
      </c>
      <c r="C18" s="173" t="s">
        <v>486</v>
      </c>
      <c r="D18" s="173" t="s">
        <v>487</v>
      </c>
      <c r="E18" s="173"/>
      <c r="F18" s="173"/>
      <c r="G18" s="180">
        <v>45427</v>
      </c>
      <c r="H18" s="200" t="s">
        <v>488</v>
      </c>
      <c r="I18" s="163" t="s">
        <v>489</v>
      </c>
      <c r="J18" s="201">
        <v>80400</v>
      </c>
      <c r="K18" s="178">
        <v>73700</v>
      </c>
      <c r="L18" s="178"/>
      <c r="M18" s="178">
        <v>60</v>
      </c>
      <c r="N18" s="178"/>
      <c r="O18" s="178"/>
      <c r="P18" s="195" t="s">
        <v>490</v>
      </c>
      <c r="Q18" s="196" t="s">
        <v>36</v>
      </c>
      <c r="R18" s="197" t="s">
        <v>441</v>
      </c>
      <c r="S18" s="173" t="s">
        <v>491</v>
      </c>
      <c r="T18" s="195" t="s">
        <v>38</v>
      </c>
      <c r="U18" s="172">
        <v>45624</v>
      </c>
    </row>
    <row r="19" spans="2:21" ht="60" hidden="1">
      <c r="B19" s="202">
        <v>13</v>
      </c>
      <c r="C19" s="203" t="s">
        <v>43</v>
      </c>
      <c r="D19" s="203" t="s">
        <v>492</v>
      </c>
      <c r="E19" s="203"/>
      <c r="F19" s="203"/>
      <c r="G19" s="204">
        <v>45539</v>
      </c>
      <c r="H19" s="205" t="s">
        <v>493</v>
      </c>
      <c r="I19" s="206" t="s">
        <v>494</v>
      </c>
      <c r="J19" s="207">
        <v>108680</v>
      </c>
      <c r="K19" s="208" t="s">
        <v>50</v>
      </c>
      <c r="L19" s="208"/>
      <c r="M19" s="208">
        <v>71.5</v>
      </c>
      <c r="N19" s="208"/>
      <c r="O19" s="208"/>
      <c r="P19" s="205" t="s">
        <v>39</v>
      </c>
      <c r="Q19" s="209" t="s">
        <v>40</v>
      </c>
      <c r="R19" s="210" t="s">
        <v>430</v>
      </c>
      <c r="S19" s="203" t="s">
        <v>495</v>
      </c>
      <c r="T19" s="205" t="s">
        <v>36</v>
      </c>
      <c r="U19" s="211">
        <v>45621</v>
      </c>
    </row>
    <row r="20" spans="2:21" ht="36" hidden="1">
      <c r="B20" s="160">
        <v>14</v>
      </c>
      <c r="C20" s="212" t="s">
        <v>496</v>
      </c>
      <c r="D20" s="212" t="s">
        <v>497</v>
      </c>
      <c r="E20" s="212"/>
      <c r="F20" s="212"/>
      <c r="G20" s="213" t="s">
        <v>87</v>
      </c>
      <c r="H20" s="214" t="s">
        <v>498</v>
      </c>
      <c r="I20" s="212" t="s">
        <v>499</v>
      </c>
      <c r="J20" s="215">
        <v>25200</v>
      </c>
      <c r="K20" s="216">
        <v>27000</v>
      </c>
      <c r="L20" s="216"/>
      <c r="M20" s="217">
        <v>58.65</v>
      </c>
      <c r="N20" s="217"/>
      <c r="O20" s="217"/>
      <c r="P20" s="218" t="s">
        <v>87</v>
      </c>
      <c r="Q20" s="197" t="s">
        <v>87</v>
      </c>
      <c r="R20" s="197" t="s">
        <v>441</v>
      </c>
      <c r="S20" s="218" t="s">
        <v>500</v>
      </c>
      <c r="T20" s="218" t="s">
        <v>46</v>
      </c>
      <c r="U20" s="219">
        <v>45639</v>
      </c>
    </row>
    <row r="21" spans="2:21" ht="48" hidden="1">
      <c r="B21" s="160">
        <v>9</v>
      </c>
      <c r="C21" s="212" t="s">
        <v>501</v>
      </c>
      <c r="D21" s="212" t="s">
        <v>502</v>
      </c>
      <c r="E21" s="212"/>
      <c r="F21" s="212"/>
      <c r="G21" s="213">
        <v>45583</v>
      </c>
      <c r="H21" s="218" t="s">
        <v>503</v>
      </c>
      <c r="I21" s="212" t="s">
        <v>504</v>
      </c>
      <c r="J21" s="215">
        <v>18000</v>
      </c>
      <c r="K21" s="216">
        <v>11700</v>
      </c>
      <c r="L21" s="216"/>
      <c r="M21" s="217">
        <v>68</v>
      </c>
      <c r="N21" s="217"/>
      <c r="O21" s="217"/>
      <c r="P21" s="218" t="s">
        <v>35</v>
      </c>
      <c r="Q21" s="197" t="s">
        <v>36</v>
      </c>
      <c r="R21" s="197" t="s">
        <v>430</v>
      </c>
      <c r="S21" s="212" t="s">
        <v>505</v>
      </c>
      <c r="T21" s="218" t="s">
        <v>44</v>
      </c>
      <c r="U21" s="219">
        <v>45646</v>
      </c>
    </row>
    <row r="22" spans="2:21">
      <c r="B22" s="220">
        <v>2025</v>
      </c>
      <c r="C22" s="220">
        <v>2025</v>
      </c>
      <c r="D22" s="220">
        <v>2025</v>
      </c>
      <c r="E22" s="220"/>
      <c r="F22" s="220"/>
      <c r="G22" s="220">
        <v>2025</v>
      </c>
      <c r="H22" s="343">
        <v>2025</v>
      </c>
      <c r="I22" s="220">
        <v>2025</v>
      </c>
      <c r="J22" s="220">
        <v>2025</v>
      </c>
      <c r="K22" s="220">
        <v>2025</v>
      </c>
      <c r="L22" s="220"/>
      <c r="M22" s="220">
        <v>2025</v>
      </c>
      <c r="N22" s="220"/>
      <c r="O22" s="220"/>
      <c r="P22" s="220">
        <v>2025</v>
      </c>
      <c r="Q22" s="220">
        <v>2025</v>
      </c>
      <c r="R22" s="220">
        <v>2025</v>
      </c>
      <c r="S22" s="220">
        <v>2025</v>
      </c>
      <c r="T22" s="220">
        <v>2025</v>
      </c>
      <c r="U22" s="220">
        <v>2025</v>
      </c>
    </row>
    <row r="23" spans="2:21" ht="60">
      <c r="B23" s="160">
        <v>1</v>
      </c>
      <c r="C23" s="212" t="s">
        <v>43</v>
      </c>
      <c r="D23" s="212" t="s">
        <v>506</v>
      </c>
      <c r="E23" s="212" t="s">
        <v>217</v>
      </c>
      <c r="F23" s="212"/>
      <c r="G23" s="213">
        <v>45540</v>
      </c>
      <c r="H23" s="218" t="s">
        <v>507</v>
      </c>
      <c r="I23" s="221" t="s">
        <v>508</v>
      </c>
      <c r="J23" s="215">
        <v>114253</v>
      </c>
      <c r="K23" s="216">
        <v>115800</v>
      </c>
      <c r="L23" s="216">
        <f>J23-K23</f>
        <v>-1547</v>
      </c>
      <c r="M23" s="217">
        <v>58.38</v>
      </c>
      <c r="N23" s="217"/>
      <c r="O23" s="217"/>
      <c r="P23" s="218" t="s">
        <v>509</v>
      </c>
      <c r="Q23" s="197" t="s">
        <v>36</v>
      </c>
      <c r="R23" s="197" t="s">
        <v>441</v>
      </c>
      <c r="S23" s="212" t="s">
        <v>31</v>
      </c>
      <c r="T23" s="218" t="s">
        <v>36</v>
      </c>
      <c r="U23" s="222">
        <v>45667</v>
      </c>
    </row>
    <row r="24" spans="2:21" ht="60">
      <c r="B24" s="160">
        <v>2</v>
      </c>
      <c r="C24" s="212" t="s">
        <v>43</v>
      </c>
      <c r="D24" s="212" t="s">
        <v>510</v>
      </c>
      <c r="E24" s="212" t="s">
        <v>217</v>
      </c>
      <c r="F24" s="212"/>
      <c r="G24" s="213">
        <v>45540</v>
      </c>
      <c r="H24" s="218" t="s">
        <v>507</v>
      </c>
      <c r="I24" s="221" t="s">
        <v>511</v>
      </c>
      <c r="J24" s="215">
        <v>90090</v>
      </c>
      <c r="K24" s="216">
        <v>90100</v>
      </c>
      <c r="L24" s="216">
        <f t="shared" ref="L24:L47" si="0">J24-K24</f>
        <v>-10</v>
      </c>
      <c r="M24" s="217">
        <v>58.19</v>
      </c>
      <c r="N24" s="217"/>
      <c r="O24" s="217"/>
      <c r="P24" s="218" t="s">
        <v>509</v>
      </c>
      <c r="Q24" s="197" t="s">
        <v>36</v>
      </c>
      <c r="R24" s="197" t="s">
        <v>441</v>
      </c>
      <c r="S24" s="212" t="s">
        <v>31</v>
      </c>
      <c r="T24" s="218" t="s">
        <v>36</v>
      </c>
      <c r="U24" s="222">
        <v>45667</v>
      </c>
    </row>
    <row r="25" spans="2:21" ht="60">
      <c r="B25" s="160">
        <v>3</v>
      </c>
      <c r="C25" s="212" t="s">
        <v>43</v>
      </c>
      <c r="D25" s="212" t="s">
        <v>512</v>
      </c>
      <c r="E25" s="212" t="s">
        <v>217</v>
      </c>
      <c r="F25" s="212"/>
      <c r="G25" s="213">
        <v>45540</v>
      </c>
      <c r="H25" s="218" t="s">
        <v>513</v>
      </c>
      <c r="I25" s="221" t="s">
        <v>514</v>
      </c>
      <c r="J25" s="215">
        <v>66700</v>
      </c>
      <c r="K25" s="216">
        <v>66.7</v>
      </c>
      <c r="L25" s="216">
        <f t="shared" si="0"/>
        <v>66633.3</v>
      </c>
      <c r="M25" s="217">
        <v>53.23</v>
      </c>
      <c r="N25" s="217"/>
      <c r="O25" s="217"/>
      <c r="P25" s="218" t="s">
        <v>515</v>
      </c>
      <c r="Q25" s="197" t="s">
        <v>36</v>
      </c>
      <c r="R25" s="197" t="s">
        <v>441</v>
      </c>
      <c r="S25" s="212" t="s">
        <v>31</v>
      </c>
      <c r="T25" s="218" t="s">
        <v>36</v>
      </c>
      <c r="U25" s="222">
        <v>45667</v>
      </c>
    </row>
    <row r="26" spans="2:21" ht="36">
      <c r="B26" s="160">
        <v>4</v>
      </c>
      <c r="C26" s="212" t="s">
        <v>516</v>
      </c>
      <c r="D26" s="212" t="s">
        <v>517</v>
      </c>
      <c r="E26" s="212" t="s">
        <v>217</v>
      </c>
      <c r="F26" s="212"/>
      <c r="G26" s="213">
        <v>45540</v>
      </c>
      <c r="H26" s="218" t="s">
        <v>507</v>
      </c>
      <c r="I26" s="221" t="s">
        <v>514</v>
      </c>
      <c r="J26" s="215">
        <v>61928</v>
      </c>
      <c r="K26" s="216">
        <v>61200</v>
      </c>
      <c r="L26" s="216">
        <f t="shared" si="0"/>
        <v>728</v>
      </c>
      <c r="M26" s="217">
        <v>62.24</v>
      </c>
      <c r="N26" s="217"/>
      <c r="O26" s="217"/>
      <c r="P26" s="218" t="s">
        <v>509</v>
      </c>
      <c r="Q26" s="197" t="s">
        <v>36</v>
      </c>
      <c r="R26" s="197" t="s">
        <v>441</v>
      </c>
      <c r="S26" s="212" t="s">
        <v>31</v>
      </c>
      <c r="T26" s="218" t="s">
        <v>36</v>
      </c>
      <c r="U26" s="222">
        <v>45667</v>
      </c>
    </row>
    <row r="27" spans="2:21" ht="36">
      <c r="B27" s="160">
        <v>5</v>
      </c>
      <c r="C27" s="212" t="s">
        <v>90</v>
      </c>
      <c r="D27" s="212" t="s">
        <v>518</v>
      </c>
      <c r="E27" s="212" t="s">
        <v>217</v>
      </c>
      <c r="F27" s="212"/>
      <c r="G27" s="213">
        <v>45593</v>
      </c>
      <c r="H27" s="214" t="s">
        <v>519</v>
      </c>
      <c r="I27" s="212" t="s">
        <v>520</v>
      </c>
      <c r="J27" s="215">
        <v>21060</v>
      </c>
      <c r="K27" s="216">
        <v>19500</v>
      </c>
      <c r="L27" s="216">
        <f t="shared" si="0"/>
        <v>1560</v>
      </c>
      <c r="M27" s="217">
        <v>54</v>
      </c>
      <c r="N27" s="217"/>
      <c r="O27" s="217"/>
      <c r="P27" s="218" t="s">
        <v>521</v>
      </c>
      <c r="Q27" s="197" t="s">
        <v>36</v>
      </c>
      <c r="R27" s="197" t="s">
        <v>441</v>
      </c>
      <c r="S27" s="218" t="s">
        <v>31</v>
      </c>
      <c r="T27" s="218" t="s">
        <v>36</v>
      </c>
      <c r="U27" s="223">
        <v>45681</v>
      </c>
    </row>
    <row r="28" spans="2:21" ht="48">
      <c r="B28" s="160">
        <v>6</v>
      </c>
      <c r="C28" s="212" t="s">
        <v>464</v>
      </c>
      <c r="D28" s="212" t="s">
        <v>522</v>
      </c>
      <c r="E28" s="212" t="s">
        <v>217</v>
      </c>
      <c r="F28" s="212"/>
      <c r="G28" s="213">
        <v>45590</v>
      </c>
      <c r="H28" s="224" t="s">
        <v>523</v>
      </c>
      <c r="I28" s="212" t="s">
        <v>524</v>
      </c>
      <c r="J28" s="215">
        <v>118000</v>
      </c>
      <c r="K28" s="216">
        <v>91000</v>
      </c>
      <c r="L28" s="216">
        <f t="shared" si="0"/>
        <v>27000</v>
      </c>
      <c r="M28" s="217">
        <v>60.5</v>
      </c>
      <c r="N28" s="217"/>
      <c r="O28" s="217"/>
      <c r="P28" s="218" t="s">
        <v>35</v>
      </c>
      <c r="Q28" s="197" t="s">
        <v>36</v>
      </c>
      <c r="R28" s="197" t="s">
        <v>430</v>
      </c>
      <c r="S28" s="225" t="s">
        <v>525</v>
      </c>
      <c r="T28" s="218" t="s">
        <v>38</v>
      </c>
      <c r="U28" s="223">
        <v>45687</v>
      </c>
    </row>
    <row r="29" spans="2:21" ht="48">
      <c r="B29" s="160">
        <v>7</v>
      </c>
      <c r="C29" s="212" t="s">
        <v>526</v>
      </c>
      <c r="D29" s="212" t="s">
        <v>527</v>
      </c>
      <c r="E29" s="212" t="s">
        <v>217</v>
      </c>
      <c r="F29" s="212"/>
      <c r="G29" s="213">
        <v>45670</v>
      </c>
      <c r="H29" s="226" t="s">
        <v>528</v>
      </c>
      <c r="I29" s="212" t="s">
        <v>529</v>
      </c>
      <c r="J29" s="215">
        <v>12000</v>
      </c>
      <c r="K29" s="216">
        <v>10000</v>
      </c>
      <c r="L29" s="216">
        <f t="shared" si="0"/>
        <v>2000</v>
      </c>
      <c r="M29" s="217">
        <f>55000/2161</f>
        <v>25.451180009254976</v>
      </c>
      <c r="N29" s="217"/>
      <c r="O29" s="217"/>
      <c r="P29" s="227" t="s">
        <v>36</v>
      </c>
      <c r="Q29" s="197" t="s">
        <v>36</v>
      </c>
      <c r="R29" s="197" t="s">
        <v>430</v>
      </c>
      <c r="S29" s="228" t="s">
        <v>530</v>
      </c>
      <c r="T29" s="218" t="s">
        <v>41</v>
      </c>
      <c r="U29" s="223">
        <v>45684</v>
      </c>
    </row>
    <row r="30" spans="2:21" ht="36">
      <c r="B30" s="160">
        <v>8</v>
      </c>
      <c r="C30" s="212" t="s">
        <v>91</v>
      </c>
      <c r="D30" s="212" t="s">
        <v>531</v>
      </c>
      <c r="E30" s="212" t="s">
        <v>217</v>
      </c>
      <c r="F30" s="212"/>
      <c r="G30" s="213">
        <v>45593</v>
      </c>
      <c r="H30" s="214" t="s">
        <v>532</v>
      </c>
      <c r="I30" s="212" t="s">
        <v>533</v>
      </c>
      <c r="J30" s="215">
        <v>22069</v>
      </c>
      <c r="K30" s="216">
        <v>17100</v>
      </c>
      <c r="L30" s="216">
        <f t="shared" si="0"/>
        <v>4969</v>
      </c>
      <c r="M30" s="217">
        <v>56</v>
      </c>
      <c r="N30" s="217"/>
      <c r="O30" s="217"/>
      <c r="P30" s="218" t="s">
        <v>35</v>
      </c>
      <c r="Q30" s="197" t="s">
        <v>36</v>
      </c>
      <c r="R30" s="197" t="s">
        <v>430</v>
      </c>
      <c r="S30" s="212" t="s">
        <v>534</v>
      </c>
      <c r="T30" s="218" t="s">
        <v>44</v>
      </c>
      <c r="U30" s="223">
        <v>45702</v>
      </c>
    </row>
    <row r="31" spans="2:21" ht="36">
      <c r="B31" s="160">
        <v>9</v>
      </c>
      <c r="C31" s="212" t="s">
        <v>535</v>
      </c>
      <c r="D31" s="212" t="s">
        <v>536</v>
      </c>
      <c r="E31" s="212" t="s">
        <v>217</v>
      </c>
      <c r="F31" s="212"/>
      <c r="G31" s="213">
        <v>45635</v>
      </c>
      <c r="H31" s="214" t="s">
        <v>537</v>
      </c>
      <c r="I31" s="212" t="s">
        <v>538</v>
      </c>
      <c r="J31" s="215">
        <v>15000</v>
      </c>
      <c r="K31" s="216">
        <v>23900</v>
      </c>
      <c r="L31" s="216">
        <f t="shared" si="0"/>
        <v>-8900</v>
      </c>
      <c r="M31" s="217">
        <v>36</v>
      </c>
      <c r="N31" s="217"/>
      <c r="O31" s="217"/>
      <c r="P31" s="218" t="s">
        <v>539</v>
      </c>
      <c r="Q31" s="197" t="s">
        <v>36</v>
      </c>
      <c r="R31" s="197" t="s">
        <v>430</v>
      </c>
      <c r="S31" s="228" t="s">
        <v>540</v>
      </c>
      <c r="T31" s="218" t="s">
        <v>41</v>
      </c>
      <c r="U31" s="223">
        <v>45702</v>
      </c>
    </row>
    <row r="32" spans="2:21" ht="48">
      <c r="B32" s="160">
        <v>10</v>
      </c>
      <c r="C32" s="212" t="s">
        <v>541</v>
      </c>
      <c r="D32" s="212" t="s">
        <v>542</v>
      </c>
      <c r="E32" s="212" t="s">
        <v>217</v>
      </c>
      <c r="F32" s="212"/>
      <c r="G32" s="213">
        <v>45646</v>
      </c>
      <c r="H32" s="214" t="s">
        <v>543</v>
      </c>
      <c r="I32" s="212" t="s">
        <v>520</v>
      </c>
      <c r="J32" s="215">
        <v>375000</v>
      </c>
      <c r="K32" s="216">
        <v>337100</v>
      </c>
      <c r="L32" s="216">
        <f t="shared" si="0"/>
        <v>37900</v>
      </c>
      <c r="M32" s="217">
        <v>75.63</v>
      </c>
      <c r="N32" s="217"/>
      <c r="O32" s="217"/>
      <c r="P32" s="229" t="s">
        <v>544</v>
      </c>
      <c r="Q32" s="197" t="s">
        <v>36</v>
      </c>
      <c r="R32" s="197" t="s">
        <v>430</v>
      </c>
      <c r="S32" s="212" t="s">
        <v>545</v>
      </c>
      <c r="T32" s="218" t="s">
        <v>36</v>
      </c>
      <c r="U32" s="223">
        <v>45702</v>
      </c>
    </row>
    <row r="33" spans="2:21" ht="48">
      <c r="B33" s="160">
        <v>11</v>
      </c>
      <c r="C33" s="212" t="s">
        <v>546</v>
      </c>
      <c r="D33" s="212" t="s">
        <v>547</v>
      </c>
      <c r="E33" s="212" t="s">
        <v>217</v>
      </c>
      <c r="F33" s="212"/>
      <c r="G33" s="213">
        <v>45464</v>
      </c>
      <c r="H33" s="218" t="s">
        <v>548</v>
      </c>
      <c r="I33" s="221" t="s">
        <v>549</v>
      </c>
      <c r="J33" s="215">
        <v>700000</v>
      </c>
      <c r="K33" s="230">
        <v>750000</v>
      </c>
      <c r="L33" s="216">
        <f t="shared" si="0"/>
        <v>-50000</v>
      </c>
      <c r="M33" s="216">
        <v>71</v>
      </c>
      <c r="N33" s="216"/>
      <c r="O33" s="216"/>
      <c r="P33" s="218" t="s">
        <v>35</v>
      </c>
      <c r="Q33" s="197" t="s">
        <v>36</v>
      </c>
      <c r="R33" s="197" t="s">
        <v>430</v>
      </c>
      <c r="S33" s="212" t="s">
        <v>550</v>
      </c>
      <c r="T33" s="218" t="s">
        <v>44</v>
      </c>
      <c r="U33" s="223">
        <v>45709</v>
      </c>
    </row>
    <row r="34" spans="2:21" ht="60">
      <c r="B34" s="160">
        <v>12</v>
      </c>
      <c r="C34" s="212" t="s">
        <v>486</v>
      </c>
      <c r="D34" s="212" t="s">
        <v>551</v>
      </c>
      <c r="E34" s="212" t="s">
        <v>217</v>
      </c>
      <c r="F34" s="212"/>
      <c r="G34" s="213">
        <v>45625</v>
      </c>
      <c r="H34" s="214" t="s">
        <v>552</v>
      </c>
      <c r="I34" s="212" t="s">
        <v>553</v>
      </c>
      <c r="J34" s="215">
        <v>20000</v>
      </c>
      <c r="K34" s="216">
        <v>17073</v>
      </c>
      <c r="L34" s="216">
        <f t="shared" si="0"/>
        <v>2927</v>
      </c>
      <c r="M34" s="217">
        <v>61.54</v>
      </c>
      <c r="N34" s="217"/>
      <c r="O34" s="217"/>
      <c r="P34" s="218" t="s">
        <v>93</v>
      </c>
      <c r="Q34" s="197" t="s">
        <v>36</v>
      </c>
      <c r="R34" s="197" t="s">
        <v>430</v>
      </c>
      <c r="S34" s="228" t="s">
        <v>554</v>
      </c>
      <c r="T34" s="218" t="s">
        <v>38</v>
      </c>
      <c r="U34" s="223">
        <v>45709</v>
      </c>
    </row>
    <row r="35" spans="2:21" ht="48">
      <c r="B35" s="160">
        <v>13</v>
      </c>
      <c r="C35" s="212" t="s">
        <v>555</v>
      </c>
      <c r="D35" s="212" t="s">
        <v>556</v>
      </c>
      <c r="E35" s="212" t="s">
        <v>217</v>
      </c>
      <c r="F35" s="212"/>
      <c r="G35" s="213">
        <v>45678</v>
      </c>
      <c r="H35" s="226" t="s">
        <v>557</v>
      </c>
      <c r="I35" s="212" t="s">
        <v>558</v>
      </c>
      <c r="J35" s="215">
        <v>59583</v>
      </c>
      <c r="K35" s="216">
        <v>45800</v>
      </c>
      <c r="L35" s="216">
        <f t="shared" si="0"/>
        <v>13783</v>
      </c>
      <c r="M35" s="231">
        <v>58.5</v>
      </c>
      <c r="N35" s="231"/>
      <c r="O35" s="231"/>
      <c r="P35" s="227" t="s">
        <v>559</v>
      </c>
      <c r="Q35" s="197" t="s">
        <v>102</v>
      </c>
      <c r="R35" s="197" t="s">
        <v>441</v>
      </c>
      <c r="S35" s="228" t="s">
        <v>560</v>
      </c>
      <c r="T35" s="218" t="s">
        <v>41</v>
      </c>
      <c r="U35" s="223">
        <v>45716</v>
      </c>
    </row>
    <row r="36" spans="2:21" ht="48">
      <c r="B36" s="160">
        <v>14</v>
      </c>
      <c r="C36" s="212" t="s">
        <v>555</v>
      </c>
      <c r="D36" s="212" t="s">
        <v>561</v>
      </c>
      <c r="E36" s="212" t="s">
        <v>217</v>
      </c>
      <c r="F36" s="212"/>
      <c r="G36" s="213">
        <v>45678</v>
      </c>
      <c r="H36" s="226" t="s">
        <v>557</v>
      </c>
      <c r="I36" s="212" t="s">
        <v>558</v>
      </c>
      <c r="J36" s="215">
        <v>35857</v>
      </c>
      <c r="K36" s="216">
        <v>27600</v>
      </c>
      <c r="L36" s="216">
        <f t="shared" si="0"/>
        <v>8257</v>
      </c>
      <c r="M36" s="231">
        <v>58.5</v>
      </c>
      <c r="N36" s="231"/>
      <c r="O36" s="231"/>
      <c r="P36" s="227" t="s">
        <v>559</v>
      </c>
      <c r="Q36" s="197" t="s">
        <v>102</v>
      </c>
      <c r="R36" s="197" t="s">
        <v>441</v>
      </c>
      <c r="S36" s="228" t="s">
        <v>560</v>
      </c>
      <c r="T36" s="218" t="s">
        <v>41</v>
      </c>
      <c r="U36" s="223">
        <v>45716</v>
      </c>
    </row>
    <row r="37" spans="2:21" ht="48">
      <c r="B37" s="160">
        <v>15</v>
      </c>
      <c r="C37" s="212" t="s">
        <v>389</v>
      </c>
      <c r="D37" s="212" t="s">
        <v>562</v>
      </c>
      <c r="E37" s="212" t="s">
        <v>217</v>
      </c>
      <c r="F37" s="212"/>
      <c r="G37" s="213">
        <v>45510</v>
      </c>
      <c r="H37" s="218" t="s">
        <v>563</v>
      </c>
      <c r="I37" s="221" t="s">
        <v>440</v>
      </c>
      <c r="J37" s="215">
        <v>325000</v>
      </c>
      <c r="K37" s="216">
        <v>225000</v>
      </c>
      <c r="L37" s="216">
        <f t="shared" si="0"/>
        <v>100000</v>
      </c>
      <c r="M37" s="216">
        <v>56.32</v>
      </c>
      <c r="N37" s="216"/>
      <c r="O37" s="216"/>
      <c r="P37" s="218" t="s">
        <v>35</v>
      </c>
      <c r="Q37" s="197" t="s">
        <v>40</v>
      </c>
      <c r="R37" s="197" t="s">
        <v>441</v>
      </c>
      <c r="S37" s="212" t="s">
        <v>564</v>
      </c>
      <c r="T37" s="218" t="s">
        <v>36</v>
      </c>
      <c r="U37" s="223">
        <v>45716</v>
      </c>
    </row>
    <row r="38" spans="2:21" ht="36">
      <c r="B38" s="160">
        <v>16</v>
      </c>
      <c r="C38" s="212" t="s">
        <v>565</v>
      </c>
      <c r="D38" s="212" t="s">
        <v>566</v>
      </c>
      <c r="E38" s="212" t="s">
        <v>217</v>
      </c>
      <c r="F38" s="212"/>
      <c r="G38" s="213">
        <v>45553</v>
      </c>
      <c r="H38" s="218" t="s">
        <v>567</v>
      </c>
      <c r="I38" s="212" t="s">
        <v>568</v>
      </c>
      <c r="J38" s="215">
        <v>128000</v>
      </c>
      <c r="K38" s="216">
        <v>110000</v>
      </c>
      <c r="L38" s="216">
        <f t="shared" si="0"/>
        <v>18000</v>
      </c>
      <c r="M38" s="216">
        <f>J38/2333</f>
        <v>54.864980711530215</v>
      </c>
      <c r="N38" s="216"/>
      <c r="O38" s="216"/>
      <c r="P38" s="218" t="s">
        <v>35</v>
      </c>
      <c r="Q38" s="197" t="s">
        <v>36</v>
      </c>
      <c r="R38" s="197" t="s">
        <v>430</v>
      </c>
      <c r="S38" s="212" t="s">
        <v>569</v>
      </c>
      <c r="T38" s="218" t="s">
        <v>36</v>
      </c>
      <c r="U38" s="223">
        <v>45736</v>
      </c>
    </row>
    <row r="39" spans="2:21" ht="36">
      <c r="B39" s="160">
        <v>17</v>
      </c>
      <c r="C39" s="212" t="s">
        <v>101</v>
      </c>
      <c r="D39" s="212" t="s">
        <v>570</v>
      </c>
      <c r="E39" s="212" t="s">
        <v>217</v>
      </c>
      <c r="F39" s="212"/>
      <c r="G39" s="213">
        <v>45674</v>
      </c>
      <c r="H39" s="214" t="s">
        <v>571</v>
      </c>
      <c r="I39" s="212" t="s">
        <v>520</v>
      </c>
      <c r="J39" s="215">
        <v>19950</v>
      </c>
      <c r="K39" s="216">
        <v>17500</v>
      </c>
      <c r="L39" s="216">
        <f t="shared" si="0"/>
        <v>2450</v>
      </c>
      <c r="M39" s="217">
        <v>57</v>
      </c>
      <c r="N39" s="217"/>
      <c r="O39" s="217"/>
      <c r="P39" s="227" t="s">
        <v>559</v>
      </c>
      <c r="Q39" s="197" t="s">
        <v>36</v>
      </c>
      <c r="R39" s="197" t="s">
        <v>441</v>
      </c>
      <c r="S39" s="218" t="s">
        <v>572</v>
      </c>
      <c r="T39" s="218" t="s">
        <v>46</v>
      </c>
      <c r="U39" s="222">
        <v>45744</v>
      </c>
    </row>
    <row r="40" spans="2:21" ht="36">
      <c r="B40" s="160">
        <v>18</v>
      </c>
      <c r="C40" s="212" t="s">
        <v>573</v>
      </c>
      <c r="D40" s="212" t="s">
        <v>574</v>
      </c>
      <c r="E40" s="212" t="s">
        <v>217</v>
      </c>
      <c r="F40" s="212"/>
      <c r="G40" s="213">
        <v>45624</v>
      </c>
      <c r="H40" s="214" t="s">
        <v>575</v>
      </c>
      <c r="I40" s="212" t="s">
        <v>524</v>
      </c>
      <c r="J40" s="215">
        <v>90000</v>
      </c>
      <c r="K40" s="216">
        <v>90000</v>
      </c>
      <c r="L40" s="216">
        <f t="shared" si="0"/>
        <v>0</v>
      </c>
      <c r="M40" s="217">
        <v>63</v>
      </c>
      <c r="N40" s="217"/>
      <c r="O40" s="217"/>
      <c r="P40" s="218" t="s">
        <v>576</v>
      </c>
      <c r="Q40" s="197" t="s">
        <v>36</v>
      </c>
      <c r="R40" s="197" t="s">
        <v>441</v>
      </c>
      <c r="S40" s="228" t="s">
        <v>577</v>
      </c>
      <c r="T40" s="218" t="s">
        <v>44</v>
      </c>
      <c r="U40" s="222">
        <v>45749</v>
      </c>
    </row>
    <row r="41" spans="2:21" ht="60">
      <c r="B41" s="160">
        <v>19</v>
      </c>
      <c r="C41" s="212" t="s">
        <v>486</v>
      </c>
      <c r="D41" s="212" t="s">
        <v>578</v>
      </c>
      <c r="E41" s="212" t="s">
        <v>217</v>
      </c>
      <c r="F41" s="212"/>
      <c r="G41" s="213">
        <v>45700</v>
      </c>
      <c r="H41" s="214" t="s">
        <v>579</v>
      </c>
      <c r="I41" s="212" t="s">
        <v>580</v>
      </c>
      <c r="J41" s="215">
        <v>86450</v>
      </c>
      <c r="K41" s="216">
        <v>78200</v>
      </c>
      <c r="L41" s="216">
        <f t="shared" si="0"/>
        <v>8250</v>
      </c>
      <c r="M41" s="231">
        <v>65</v>
      </c>
      <c r="N41" s="231"/>
      <c r="O41" s="231"/>
      <c r="P41" s="227" t="s">
        <v>581</v>
      </c>
      <c r="Q41" s="197" t="s">
        <v>36</v>
      </c>
      <c r="R41" s="197" t="s">
        <v>441</v>
      </c>
      <c r="S41" s="228" t="s">
        <v>582</v>
      </c>
      <c r="T41" s="218" t="s">
        <v>38</v>
      </c>
      <c r="U41" s="222">
        <v>45762</v>
      </c>
    </row>
    <row r="42" spans="2:21" ht="48">
      <c r="B42" s="160">
        <v>20</v>
      </c>
      <c r="C42" s="212" t="s">
        <v>583</v>
      </c>
      <c r="D42" s="212" t="s">
        <v>584</v>
      </c>
      <c r="E42" s="212" t="s">
        <v>217</v>
      </c>
      <c r="F42" s="212"/>
      <c r="G42" s="213">
        <v>45744</v>
      </c>
      <c r="H42" s="214" t="s">
        <v>585</v>
      </c>
      <c r="I42" s="212" t="s">
        <v>586</v>
      </c>
      <c r="J42" s="215">
        <v>28607</v>
      </c>
      <c r="K42" s="216">
        <v>28100</v>
      </c>
      <c r="L42" s="216">
        <f t="shared" si="0"/>
        <v>507</v>
      </c>
      <c r="M42" s="231">
        <v>58.5</v>
      </c>
      <c r="N42" s="231"/>
      <c r="O42" s="231"/>
      <c r="P42" s="227" t="s">
        <v>35</v>
      </c>
      <c r="Q42" s="197" t="s">
        <v>102</v>
      </c>
      <c r="R42" s="197" t="s">
        <v>441</v>
      </c>
      <c r="S42" s="228" t="s">
        <v>587</v>
      </c>
      <c r="T42" s="218" t="s">
        <v>41</v>
      </c>
      <c r="U42" s="222">
        <v>45770</v>
      </c>
    </row>
    <row r="43" spans="2:21" ht="24">
      <c r="B43" s="160">
        <v>21</v>
      </c>
      <c r="C43" s="212" t="s">
        <v>112</v>
      </c>
      <c r="D43" s="212" t="s">
        <v>588</v>
      </c>
      <c r="E43" s="212" t="s">
        <v>217</v>
      </c>
      <c r="F43" s="212"/>
      <c r="G43" s="213">
        <v>45733</v>
      </c>
      <c r="H43" s="214" t="s">
        <v>589</v>
      </c>
      <c r="I43" s="212" t="s">
        <v>590</v>
      </c>
      <c r="J43" s="215">
        <v>361250</v>
      </c>
      <c r="K43" s="216">
        <v>358600</v>
      </c>
      <c r="L43" s="216">
        <f t="shared" si="0"/>
        <v>2650</v>
      </c>
      <c r="M43" s="231">
        <f>J43/4250</f>
        <v>85</v>
      </c>
      <c r="N43" s="231"/>
      <c r="O43" s="231"/>
      <c r="P43" s="227" t="s">
        <v>591</v>
      </c>
      <c r="Q43" s="197" t="s">
        <v>36</v>
      </c>
      <c r="R43" s="197" t="s">
        <v>430</v>
      </c>
      <c r="S43" s="212" t="s">
        <v>592</v>
      </c>
      <c r="T43" s="218" t="s">
        <v>44</v>
      </c>
      <c r="U43" s="222">
        <v>45791</v>
      </c>
    </row>
    <row r="44" spans="2:21" ht="48">
      <c r="B44" s="160">
        <v>22</v>
      </c>
      <c r="C44" s="212" t="s">
        <v>593</v>
      </c>
      <c r="D44" s="212" t="s">
        <v>594</v>
      </c>
      <c r="E44" s="212" t="s">
        <v>217</v>
      </c>
      <c r="F44" s="212"/>
      <c r="G44" s="213">
        <v>45527</v>
      </c>
      <c r="H44" s="218" t="s">
        <v>595</v>
      </c>
      <c r="I44" s="221" t="s">
        <v>596</v>
      </c>
      <c r="J44" s="232">
        <v>705000</v>
      </c>
      <c r="K44" s="216">
        <v>616000</v>
      </c>
      <c r="L44" s="216">
        <f t="shared" si="0"/>
        <v>89000</v>
      </c>
      <c r="M44" s="216">
        <v>135</v>
      </c>
      <c r="N44" s="216"/>
      <c r="O44" s="216"/>
      <c r="P44" s="218" t="s">
        <v>597</v>
      </c>
      <c r="Q44" s="197" t="s">
        <v>36</v>
      </c>
      <c r="R44" s="197" t="s">
        <v>430</v>
      </c>
      <c r="S44" s="212" t="s">
        <v>31</v>
      </c>
      <c r="T44" s="218" t="s">
        <v>41</v>
      </c>
      <c r="U44" s="222">
        <v>45807</v>
      </c>
    </row>
    <row r="45" spans="2:21" ht="48">
      <c r="B45" s="160">
        <v>23</v>
      </c>
      <c r="C45" s="212" t="s">
        <v>447</v>
      </c>
      <c r="D45" s="212" t="s">
        <v>598</v>
      </c>
      <c r="E45" s="212" t="s">
        <v>217</v>
      </c>
      <c r="F45" s="212"/>
      <c r="G45" s="213">
        <v>45709</v>
      </c>
      <c r="H45" s="214" t="s">
        <v>599</v>
      </c>
      <c r="I45" s="212" t="s">
        <v>600</v>
      </c>
      <c r="J45" s="215">
        <v>231000</v>
      </c>
      <c r="K45" s="216">
        <v>193000</v>
      </c>
      <c r="L45" s="216">
        <f t="shared" si="0"/>
        <v>38000</v>
      </c>
      <c r="M45" s="231">
        <v>70</v>
      </c>
      <c r="N45" s="231"/>
      <c r="O45" s="231"/>
      <c r="P45" s="227" t="s">
        <v>35</v>
      </c>
      <c r="Q45" s="197" t="s">
        <v>36</v>
      </c>
      <c r="R45" s="197" t="s">
        <v>430</v>
      </c>
      <c r="S45" s="228" t="s">
        <v>442</v>
      </c>
      <c r="T45" s="218" t="s">
        <v>38</v>
      </c>
      <c r="U45" s="222">
        <v>45807</v>
      </c>
    </row>
    <row r="46" spans="2:21" ht="73.5" customHeight="1">
      <c r="B46" s="160">
        <v>24</v>
      </c>
      <c r="C46" s="173" t="s">
        <v>115</v>
      </c>
      <c r="D46" s="173" t="s">
        <v>601</v>
      </c>
      <c r="E46" s="212" t="s">
        <v>217</v>
      </c>
      <c r="F46" s="173"/>
      <c r="G46" s="180">
        <v>45772</v>
      </c>
      <c r="H46" s="233" t="s">
        <v>585</v>
      </c>
      <c r="I46" s="173" t="s">
        <v>602</v>
      </c>
      <c r="J46" s="201">
        <v>55000</v>
      </c>
      <c r="K46" s="178">
        <v>53600</v>
      </c>
      <c r="L46" s="216">
        <f t="shared" si="0"/>
        <v>1400</v>
      </c>
      <c r="M46" s="234">
        <v>36.200000000000003</v>
      </c>
      <c r="N46" s="234"/>
      <c r="O46" s="234"/>
      <c r="P46" s="235" t="s">
        <v>39</v>
      </c>
      <c r="Q46" s="196" t="s">
        <v>36</v>
      </c>
      <c r="R46" s="197" t="s">
        <v>441</v>
      </c>
      <c r="S46" s="161" t="s">
        <v>603</v>
      </c>
      <c r="T46" s="236" t="s">
        <v>41</v>
      </c>
      <c r="U46" s="222">
        <v>45834</v>
      </c>
    </row>
    <row r="47" spans="2:21" ht="90" customHeight="1">
      <c r="B47" s="160">
        <v>25</v>
      </c>
      <c r="C47" s="173" t="s">
        <v>115</v>
      </c>
      <c r="D47" s="173" t="s">
        <v>604</v>
      </c>
      <c r="E47" s="212" t="s">
        <v>217</v>
      </c>
      <c r="F47" s="173"/>
      <c r="G47" s="180">
        <v>45699</v>
      </c>
      <c r="H47" s="233" t="s">
        <v>605</v>
      </c>
      <c r="I47" s="173" t="s">
        <v>606</v>
      </c>
      <c r="J47" s="201">
        <v>90600</v>
      </c>
      <c r="K47" s="178">
        <v>90600</v>
      </c>
      <c r="L47" s="216">
        <f t="shared" si="0"/>
        <v>0</v>
      </c>
      <c r="M47" s="234">
        <v>59</v>
      </c>
      <c r="N47" s="234"/>
      <c r="O47" s="234"/>
      <c r="P47" s="235" t="s">
        <v>35</v>
      </c>
      <c r="Q47" s="196" t="s">
        <v>102</v>
      </c>
      <c r="R47" s="197" t="s">
        <v>441</v>
      </c>
      <c r="S47" s="161" t="s">
        <v>607</v>
      </c>
      <c r="T47" s="195" t="s">
        <v>41</v>
      </c>
      <c r="U47" s="237">
        <v>45835</v>
      </c>
    </row>
    <row r="48" spans="2:21" ht="38.25">
      <c r="B48" s="160">
        <v>26</v>
      </c>
      <c r="C48" s="324" t="s">
        <v>105</v>
      </c>
      <c r="D48" s="145" t="s">
        <v>219</v>
      </c>
      <c r="E48" s="325" t="s">
        <v>217</v>
      </c>
      <c r="F48" s="326">
        <v>1922</v>
      </c>
      <c r="G48" s="327">
        <v>45702</v>
      </c>
      <c r="H48" s="328" t="s">
        <v>608</v>
      </c>
      <c r="I48" s="329" t="s">
        <v>609</v>
      </c>
      <c r="J48" s="330">
        <v>132000</v>
      </c>
      <c r="K48" s="331">
        <v>0</v>
      </c>
      <c r="L48" s="332">
        <f>J48-K48</f>
        <v>132000</v>
      </c>
      <c r="M48" s="333">
        <v>69</v>
      </c>
      <c r="N48" s="334">
        <v>126000</v>
      </c>
      <c r="O48" s="335">
        <f>100000/F48</f>
        <v>52.029136316337151</v>
      </c>
      <c r="P48" s="336" t="s">
        <v>610</v>
      </c>
      <c r="Q48" s="337" t="s">
        <v>36</v>
      </c>
      <c r="R48" s="338" t="s">
        <v>441</v>
      </c>
      <c r="S48" s="324" t="s">
        <v>611</v>
      </c>
      <c r="T48" s="339" t="s">
        <v>36</v>
      </c>
      <c r="U48" s="237">
        <v>45849</v>
      </c>
    </row>
    <row r="49" spans="2:21" ht="38.25">
      <c r="B49" s="160">
        <v>27</v>
      </c>
      <c r="C49" s="324" t="s">
        <v>90</v>
      </c>
      <c r="D49" s="339" t="s">
        <v>224</v>
      </c>
      <c r="E49" s="325" t="s">
        <v>217</v>
      </c>
      <c r="F49" s="326">
        <v>2610</v>
      </c>
      <c r="G49" s="327">
        <v>45805</v>
      </c>
      <c r="H49" s="328" t="s">
        <v>612</v>
      </c>
      <c r="I49" s="329" t="s">
        <v>613</v>
      </c>
      <c r="J49" s="330">
        <v>151960</v>
      </c>
      <c r="K49" s="331">
        <v>0</v>
      </c>
      <c r="L49" s="332">
        <f>J49-K49</f>
        <v>151960</v>
      </c>
      <c r="M49" s="333">
        <v>58</v>
      </c>
      <c r="N49" s="334">
        <v>169700</v>
      </c>
      <c r="O49" s="335">
        <f>169700/F49</f>
        <v>65.019157088122611</v>
      </c>
      <c r="P49" s="336" t="s">
        <v>614</v>
      </c>
      <c r="Q49" s="337" t="s">
        <v>36</v>
      </c>
      <c r="R49" s="338" t="s">
        <v>441</v>
      </c>
      <c r="S49" s="324" t="s">
        <v>611</v>
      </c>
      <c r="T49" s="339" t="s">
        <v>36</v>
      </c>
      <c r="U49" s="237">
        <v>45849</v>
      </c>
    </row>
    <row r="50" spans="2:21" ht="24">
      <c r="B50" s="160">
        <v>28</v>
      </c>
      <c r="C50" s="346" t="s">
        <v>101</v>
      </c>
      <c r="D50" s="346" t="s">
        <v>175</v>
      </c>
      <c r="E50" s="146" t="s">
        <v>217</v>
      </c>
      <c r="F50" s="347">
        <v>375</v>
      </c>
      <c r="G50" s="348">
        <v>45859</v>
      </c>
      <c r="H50" s="346" t="s">
        <v>741</v>
      </c>
      <c r="I50" s="349" t="s">
        <v>116</v>
      </c>
      <c r="J50" s="350">
        <v>21000</v>
      </c>
      <c r="K50" s="350"/>
      <c r="L50" s="154"/>
      <c r="M50" s="155">
        <v>56</v>
      </c>
      <c r="N50" s="155"/>
      <c r="O50" s="351"/>
      <c r="P50" s="294" t="s">
        <v>87</v>
      </c>
      <c r="Q50" s="294" t="s">
        <v>36</v>
      </c>
      <c r="R50" s="294" t="s">
        <v>37</v>
      </c>
      <c r="S50" s="226" t="s">
        <v>641</v>
      </c>
      <c r="T50" s="346" t="s">
        <v>46</v>
      </c>
      <c r="U50" s="366">
        <v>45891</v>
      </c>
    </row>
    <row r="51" spans="2:21" ht="38.25">
      <c r="B51" s="160">
        <v>29</v>
      </c>
      <c r="C51" s="346" t="s">
        <v>118</v>
      </c>
      <c r="D51" s="339" t="s">
        <v>225</v>
      </c>
      <c r="E51" s="361" t="s">
        <v>217</v>
      </c>
      <c r="F51" s="362">
        <v>2160</v>
      </c>
      <c r="G51" s="354">
        <v>45786</v>
      </c>
      <c r="H51" s="355" t="s">
        <v>119</v>
      </c>
      <c r="I51" s="353" t="s">
        <v>120</v>
      </c>
      <c r="J51" s="356">
        <v>70000</v>
      </c>
      <c r="K51" s="363">
        <v>0</v>
      </c>
      <c r="L51" s="364">
        <f>J51-K51</f>
        <v>70000</v>
      </c>
      <c r="M51" s="365">
        <f>J51/F51</f>
        <v>32.407407407407405</v>
      </c>
      <c r="N51" s="357">
        <v>53800</v>
      </c>
      <c r="O51" s="358">
        <f>54000/F51</f>
        <v>25</v>
      </c>
      <c r="P51" s="359" t="s">
        <v>35</v>
      </c>
      <c r="Q51" s="338" t="s">
        <v>36</v>
      </c>
      <c r="R51" s="338" t="s">
        <v>783</v>
      </c>
      <c r="S51" s="360" t="s">
        <v>857</v>
      </c>
      <c r="T51" s="339" t="s">
        <v>138</v>
      </c>
      <c r="U51" s="219">
        <v>45887</v>
      </c>
    </row>
    <row r="52" spans="2:21" ht="38.25">
      <c r="B52" s="160">
        <v>30</v>
      </c>
      <c r="C52" s="353" t="s">
        <v>91</v>
      </c>
      <c r="D52" s="339" t="s">
        <v>286</v>
      </c>
      <c r="E52" s="361" t="s">
        <v>217</v>
      </c>
      <c r="F52" s="362">
        <v>325</v>
      </c>
      <c r="G52" s="354">
        <v>45862</v>
      </c>
      <c r="H52" s="355" t="s">
        <v>908</v>
      </c>
      <c r="I52" s="353" t="s">
        <v>909</v>
      </c>
      <c r="J52" s="356">
        <v>17000</v>
      </c>
      <c r="K52" s="363">
        <v>0</v>
      </c>
      <c r="L52" s="364">
        <f>J52-K52</f>
        <v>17000</v>
      </c>
      <c r="M52" s="365">
        <f>J52/F52</f>
        <v>52.307692307692307</v>
      </c>
      <c r="N52" s="365">
        <f>K52/F52</f>
        <v>0</v>
      </c>
      <c r="O52" s="358">
        <v>52.3</v>
      </c>
      <c r="P52" s="359" t="s">
        <v>35</v>
      </c>
      <c r="Q52" s="338" t="s">
        <v>36</v>
      </c>
      <c r="R52" s="338" t="s">
        <v>430</v>
      </c>
      <c r="S52" s="360" t="s">
        <v>910</v>
      </c>
      <c r="T52" s="339" t="s">
        <v>138</v>
      </c>
      <c r="U52" s="219">
        <v>45905</v>
      </c>
    </row>
    <row r="53" spans="2:21" ht="38.25">
      <c r="B53" s="160">
        <v>31</v>
      </c>
      <c r="C53" s="353" t="s">
        <v>150</v>
      </c>
      <c r="D53" s="339" t="s">
        <v>229</v>
      </c>
      <c r="E53" s="361" t="s">
        <v>217</v>
      </c>
      <c r="F53" s="362">
        <v>1282</v>
      </c>
      <c r="G53" s="354">
        <v>45841</v>
      </c>
      <c r="H53" s="355" t="s">
        <v>151</v>
      </c>
      <c r="I53" s="353" t="s">
        <v>152</v>
      </c>
      <c r="J53" s="356">
        <v>83000</v>
      </c>
      <c r="K53" s="363">
        <v>0</v>
      </c>
      <c r="L53" s="364">
        <f t="shared" ref="L53" si="1">J53-K53</f>
        <v>83000</v>
      </c>
      <c r="M53" s="365">
        <f t="shared" ref="M53" si="2">J53/F53</f>
        <v>64.742589703588138</v>
      </c>
      <c r="N53" s="365">
        <f t="shared" ref="N53" si="3">K53/F53</f>
        <v>0</v>
      </c>
      <c r="O53" s="358">
        <f>70500/F53</f>
        <v>54.992199687987522</v>
      </c>
      <c r="P53" s="359" t="s">
        <v>35</v>
      </c>
      <c r="Q53" s="338" t="s">
        <v>36</v>
      </c>
      <c r="R53" s="338" t="s">
        <v>441</v>
      </c>
      <c r="S53" s="360" t="s">
        <v>911</v>
      </c>
      <c r="T53" s="339" t="s">
        <v>138</v>
      </c>
      <c r="U53" s="219">
        <v>45919</v>
      </c>
    </row>
    <row r="54" spans="2:21" ht="38.25">
      <c r="B54" s="570">
        <v>32</v>
      </c>
      <c r="C54" s="353" t="s">
        <v>153</v>
      </c>
      <c r="D54" s="339" t="s">
        <v>230</v>
      </c>
      <c r="E54" s="361" t="s">
        <v>217</v>
      </c>
      <c r="F54" s="362">
        <v>1659</v>
      </c>
      <c r="G54" s="354">
        <v>45842</v>
      </c>
      <c r="H54" s="355" t="s">
        <v>76</v>
      </c>
      <c r="I54" s="353" t="s">
        <v>154</v>
      </c>
      <c r="J54" s="356">
        <v>106785</v>
      </c>
      <c r="K54" s="363">
        <v>0</v>
      </c>
      <c r="L54" s="364">
        <f>J54-K54</f>
        <v>106785</v>
      </c>
      <c r="M54" s="365">
        <f t="shared" ref="M54:M59" si="4">J54/F54</f>
        <v>64.367088607594937</v>
      </c>
      <c r="N54" s="365">
        <f t="shared" ref="N54:N59" si="5">K54/F54</f>
        <v>0</v>
      </c>
      <c r="O54" s="413">
        <f t="shared" ref="O54:O59" si="6">J54/F54</f>
        <v>64.367088607594937</v>
      </c>
      <c r="P54" s="359" t="s">
        <v>155</v>
      </c>
      <c r="Q54" s="338" t="s">
        <v>36</v>
      </c>
      <c r="R54" s="338" t="s">
        <v>441</v>
      </c>
      <c r="S54" s="360" t="s">
        <v>1118</v>
      </c>
      <c r="T54" s="339" t="s">
        <v>103</v>
      </c>
      <c r="U54" s="219">
        <v>45940</v>
      </c>
    </row>
    <row r="55" spans="2:21" ht="38.25">
      <c r="B55" s="570"/>
      <c r="C55" s="353" t="s">
        <v>118</v>
      </c>
      <c r="D55" s="339" t="s">
        <v>229</v>
      </c>
      <c r="E55" s="361" t="s">
        <v>217</v>
      </c>
      <c r="F55" s="408">
        <v>1606</v>
      </c>
      <c r="G55" s="354">
        <v>45845</v>
      </c>
      <c r="H55" s="355" t="s">
        <v>1203</v>
      </c>
      <c r="I55" s="353" t="s">
        <v>152</v>
      </c>
      <c r="J55" s="356">
        <v>110000</v>
      </c>
      <c r="K55" s="363">
        <v>0</v>
      </c>
      <c r="L55" s="364">
        <f>J55-K55</f>
        <v>110000</v>
      </c>
      <c r="M55" s="365">
        <f t="shared" si="4"/>
        <v>68.493150684931507</v>
      </c>
      <c r="N55" s="365">
        <f t="shared" si="5"/>
        <v>0</v>
      </c>
      <c r="O55" s="413">
        <f t="shared" si="6"/>
        <v>68.493150684931507</v>
      </c>
      <c r="P55" s="359" t="s">
        <v>35</v>
      </c>
      <c r="Q55" s="338" t="s">
        <v>36</v>
      </c>
      <c r="R55" s="338" t="s">
        <v>430</v>
      </c>
      <c r="S55" s="360" t="s">
        <v>1167</v>
      </c>
      <c r="T55" s="339" t="s">
        <v>138</v>
      </c>
      <c r="U55" s="219">
        <v>45954</v>
      </c>
    </row>
    <row r="56" spans="2:21" ht="38.25">
      <c r="B56" s="570"/>
      <c r="C56" s="329" t="s">
        <v>321</v>
      </c>
      <c r="D56" s="417" t="s">
        <v>175</v>
      </c>
      <c r="E56" s="327" t="s">
        <v>217</v>
      </c>
      <c r="F56" s="418">
        <v>2847</v>
      </c>
      <c r="G56" s="419">
        <v>45889</v>
      </c>
      <c r="H56" s="420" t="s">
        <v>881</v>
      </c>
      <c r="I56" s="656" t="s">
        <v>920</v>
      </c>
      <c r="J56" s="422">
        <v>193596</v>
      </c>
      <c r="K56" s="423">
        <v>68</v>
      </c>
      <c r="L56" s="364">
        <f>J56-K56</f>
        <v>193528</v>
      </c>
      <c r="M56" s="365">
        <f t="shared" si="4"/>
        <v>68</v>
      </c>
      <c r="N56" s="365">
        <f t="shared" si="5"/>
        <v>2.3884791008078679E-2</v>
      </c>
      <c r="O56" s="413">
        <f t="shared" si="6"/>
        <v>68</v>
      </c>
      <c r="P56" s="426" t="s">
        <v>35</v>
      </c>
      <c r="Q56" s="339" t="s">
        <v>36</v>
      </c>
      <c r="R56" s="338" t="s">
        <v>441</v>
      </c>
      <c r="S56" s="360" t="s">
        <v>1216</v>
      </c>
      <c r="T56" s="338" t="s">
        <v>103</v>
      </c>
      <c r="U56" s="219">
        <v>45961</v>
      </c>
    </row>
    <row r="57" spans="2:21" ht="38.25">
      <c r="B57" s="570"/>
      <c r="C57" s="353" t="s">
        <v>139</v>
      </c>
      <c r="D57" s="339" t="s">
        <v>226</v>
      </c>
      <c r="E57" s="361" t="s">
        <v>217</v>
      </c>
      <c r="F57" s="362">
        <v>1371</v>
      </c>
      <c r="G57" s="354">
        <v>45806</v>
      </c>
      <c r="H57" s="355" t="s">
        <v>140</v>
      </c>
      <c r="I57" s="353" t="s">
        <v>141</v>
      </c>
      <c r="J57" s="356">
        <v>85002</v>
      </c>
      <c r="K57" s="363">
        <v>0</v>
      </c>
      <c r="L57" s="364">
        <f t="shared" ref="L57" si="7">J57-K57</f>
        <v>85002</v>
      </c>
      <c r="M57" s="365">
        <f t="shared" si="4"/>
        <v>62</v>
      </c>
      <c r="N57" s="365">
        <f t="shared" si="5"/>
        <v>0</v>
      </c>
      <c r="O57" s="413">
        <f t="shared" si="6"/>
        <v>62</v>
      </c>
      <c r="P57" s="359" t="s">
        <v>142</v>
      </c>
      <c r="Q57" s="338" t="s">
        <v>36</v>
      </c>
      <c r="R57" s="338" t="s">
        <v>441</v>
      </c>
      <c r="S57" s="360" t="s">
        <v>1120</v>
      </c>
      <c r="T57" s="339" t="s">
        <v>1025</v>
      </c>
      <c r="U57" s="219">
        <v>45961</v>
      </c>
    </row>
    <row r="58" spans="2:21" ht="38.25">
      <c r="B58" s="570"/>
      <c r="C58" s="353" t="s">
        <v>139</v>
      </c>
      <c r="D58" s="339" t="s">
        <v>227</v>
      </c>
      <c r="E58" s="361" t="s">
        <v>217</v>
      </c>
      <c r="F58" s="362">
        <v>1204</v>
      </c>
      <c r="G58" s="354">
        <v>45806</v>
      </c>
      <c r="H58" s="355" t="s">
        <v>140</v>
      </c>
      <c r="I58" s="353" t="s">
        <v>141</v>
      </c>
      <c r="J58" s="356">
        <v>74648</v>
      </c>
      <c r="K58" s="363">
        <v>0</v>
      </c>
      <c r="L58" s="364">
        <f>J58-K58</f>
        <v>74648</v>
      </c>
      <c r="M58" s="365">
        <f t="shared" si="4"/>
        <v>62</v>
      </c>
      <c r="N58" s="365">
        <f t="shared" si="5"/>
        <v>0</v>
      </c>
      <c r="O58" s="413">
        <f t="shared" si="6"/>
        <v>62</v>
      </c>
      <c r="P58" s="359" t="s">
        <v>35</v>
      </c>
      <c r="Q58" s="338" t="s">
        <v>36</v>
      </c>
      <c r="R58" s="338" t="s">
        <v>441</v>
      </c>
      <c r="S58" s="360" t="s">
        <v>1120</v>
      </c>
      <c r="T58" s="339" t="s">
        <v>1025</v>
      </c>
      <c r="U58" s="219">
        <v>45961</v>
      </c>
    </row>
    <row r="59" spans="2:21" ht="38.25">
      <c r="B59" s="570"/>
      <c r="C59" s="353" t="s">
        <v>139</v>
      </c>
      <c r="D59" s="339" t="s">
        <v>228</v>
      </c>
      <c r="E59" s="361" t="s">
        <v>217</v>
      </c>
      <c r="F59" s="362">
        <v>1395</v>
      </c>
      <c r="G59" s="354">
        <v>45806</v>
      </c>
      <c r="H59" s="355" t="s">
        <v>140</v>
      </c>
      <c r="I59" s="353" t="s">
        <v>141</v>
      </c>
      <c r="J59" s="356">
        <v>86490</v>
      </c>
      <c r="K59" s="363">
        <v>0</v>
      </c>
      <c r="L59" s="364">
        <f>J59-K59</f>
        <v>86490</v>
      </c>
      <c r="M59" s="365">
        <f t="shared" si="4"/>
        <v>62</v>
      </c>
      <c r="N59" s="365">
        <f t="shared" si="5"/>
        <v>0</v>
      </c>
      <c r="O59" s="413">
        <f t="shared" si="6"/>
        <v>62</v>
      </c>
      <c r="P59" s="359" t="s">
        <v>35</v>
      </c>
      <c r="Q59" s="338" t="s">
        <v>36</v>
      </c>
      <c r="R59" s="338" t="s">
        <v>441</v>
      </c>
      <c r="S59" s="360" t="s">
        <v>1120</v>
      </c>
      <c r="T59" s="339" t="s">
        <v>1025</v>
      </c>
      <c r="U59" s="219">
        <v>45961</v>
      </c>
    </row>
    <row r="60" spans="2:21">
      <c r="B60" s="828"/>
      <c r="C60" s="829"/>
      <c r="D60" s="830"/>
      <c r="E60" s="831"/>
      <c r="F60" s="832"/>
      <c r="G60" s="833"/>
      <c r="H60" s="834"/>
      <c r="I60" s="829"/>
      <c r="J60" s="835"/>
      <c r="K60" s="836"/>
      <c r="L60" s="837"/>
      <c r="M60" s="838"/>
      <c r="N60" s="838"/>
      <c r="O60" s="839"/>
      <c r="P60" s="840"/>
      <c r="Q60" s="841"/>
      <c r="R60" s="841"/>
      <c r="S60" s="842"/>
      <c r="T60" s="830"/>
      <c r="U60" s="843"/>
    </row>
    <row r="61" spans="2:21">
      <c r="B61" s="828"/>
      <c r="C61" s="829"/>
      <c r="D61" s="830"/>
      <c r="E61" s="831"/>
      <c r="F61" s="832"/>
      <c r="G61" s="833"/>
      <c r="H61" s="834"/>
      <c r="I61" s="829"/>
      <c r="J61" s="835"/>
      <c r="K61" s="836"/>
      <c r="L61" s="837"/>
      <c r="M61" s="838"/>
      <c r="N61" s="838"/>
      <c r="O61" s="839"/>
      <c r="P61" s="840"/>
      <c r="Q61" s="841"/>
      <c r="R61" s="841"/>
      <c r="S61" s="842"/>
      <c r="T61" s="830"/>
      <c r="U61" s="843"/>
    </row>
    <row r="62" spans="2:21">
      <c r="B62" s="156" t="s">
        <v>615</v>
      </c>
    </row>
    <row r="63" spans="2:21" ht="38.25">
      <c r="B63" s="37"/>
      <c r="C63" s="37" t="s">
        <v>24</v>
      </c>
      <c r="D63" s="158"/>
      <c r="E63" s="158"/>
      <c r="F63" s="158" t="s">
        <v>25</v>
      </c>
      <c r="G63" s="37" t="s">
        <v>26</v>
      </c>
      <c r="H63" s="37" t="s">
        <v>27</v>
      </c>
      <c r="I63" s="37" t="s">
        <v>28</v>
      </c>
      <c r="J63" s="37" t="s">
        <v>437</v>
      </c>
      <c r="K63" s="159" t="s">
        <v>85</v>
      </c>
      <c r="L63" s="37" t="s">
        <v>86</v>
      </c>
      <c r="M63" s="159" t="s">
        <v>48</v>
      </c>
      <c r="N63" s="159" t="s">
        <v>49</v>
      </c>
      <c r="O63" s="159" t="s">
        <v>78</v>
      </c>
      <c r="P63" s="37" t="s">
        <v>29</v>
      </c>
      <c r="Q63" s="37" t="s">
        <v>30</v>
      </c>
      <c r="R63" s="37" t="s">
        <v>31</v>
      </c>
      <c r="S63" s="37" t="s">
        <v>32</v>
      </c>
      <c r="T63" s="37" t="s">
        <v>33</v>
      </c>
      <c r="U63" s="63" t="s">
        <v>34</v>
      </c>
    </row>
    <row r="64" spans="2:21" ht="48" hidden="1">
      <c r="B64" s="143">
        <v>1</v>
      </c>
      <c r="C64" s="238" t="s">
        <v>616</v>
      </c>
      <c r="D64" s="239">
        <v>525</v>
      </c>
      <c r="E64" s="239"/>
      <c r="F64" s="239"/>
      <c r="G64" s="240">
        <v>45386</v>
      </c>
      <c r="H64" s="241" t="s">
        <v>617</v>
      </c>
      <c r="I64" s="242" t="s">
        <v>618</v>
      </c>
      <c r="J64" s="243">
        <v>16000</v>
      </c>
      <c r="K64" s="244">
        <f>J64-M64</f>
        <v>2000</v>
      </c>
      <c r="L64" s="244"/>
      <c r="M64" s="245">
        <v>14000</v>
      </c>
      <c r="N64" s="245"/>
      <c r="O64" s="245"/>
      <c r="P64" s="246">
        <f t="shared" ref="P64" si="8">M64/D64</f>
        <v>26.666666666666668</v>
      </c>
      <c r="Q64" s="247"/>
      <c r="R64" s="143" t="s">
        <v>441</v>
      </c>
      <c r="S64" s="248" t="s">
        <v>31</v>
      </c>
      <c r="T64" s="249" t="s">
        <v>38</v>
      </c>
      <c r="U64" s="250">
        <v>45541</v>
      </c>
    </row>
    <row r="65" spans="1:24" ht="48" hidden="1">
      <c r="A65" s="6"/>
      <c r="B65" s="143">
        <v>2</v>
      </c>
      <c r="C65" s="183" t="s">
        <v>619</v>
      </c>
      <c r="D65" s="251">
        <v>480</v>
      </c>
      <c r="E65" s="251"/>
      <c r="F65" s="251"/>
      <c r="G65" s="252">
        <v>45507</v>
      </c>
      <c r="H65" s="253" t="s">
        <v>620</v>
      </c>
      <c r="I65" s="194" t="s">
        <v>621</v>
      </c>
      <c r="J65" s="254">
        <v>26000</v>
      </c>
      <c r="K65" s="255">
        <f>J65-M65</f>
        <v>80</v>
      </c>
      <c r="L65" s="255"/>
      <c r="M65" s="255">
        <v>25920</v>
      </c>
      <c r="N65" s="255"/>
      <c r="O65" s="255"/>
      <c r="P65" s="246">
        <f>M65/D65</f>
        <v>54</v>
      </c>
      <c r="Q65" s="256"/>
      <c r="R65" s="143" t="s">
        <v>441</v>
      </c>
      <c r="S65" s="248" t="s">
        <v>622</v>
      </c>
      <c r="T65" s="249" t="s">
        <v>36</v>
      </c>
      <c r="U65" s="257">
        <v>45562</v>
      </c>
      <c r="X65" s="6"/>
    </row>
    <row r="66" spans="1:24" ht="60" hidden="1">
      <c r="B66" s="143">
        <v>3</v>
      </c>
      <c r="C66" s="258" t="s">
        <v>623</v>
      </c>
      <c r="D66" s="259">
        <v>1220</v>
      </c>
      <c r="E66" s="259"/>
      <c r="F66" s="259"/>
      <c r="G66" s="185">
        <v>45416</v>
      </c>
      <c r="H66" s="260" t="s">
        <v>624</v>
      </c>
      <c r="I66" s="186" t="s">
        <v>625</v>
      </c>
      <c r="J66" s="243">
        <v>70200</v>
      </c>
      <c r="K66" s="254">
        <f>J66-M66</f>
        <v>10200</v>
      </c>
      <c r="L66" s="254"/>
      <c r="M66" s="243">
        <v>60000</v>
      </c>
      <c r="N66" s="243"/>
      <c r="O66" s="243"/>
      <c r="P66" s="246">
        <f>M66/D66</f>
        <v>49.180327868852459</v>
      </c>
      <c r="Q66" s="261"/>
      <c r="R66" s="143" t="s">
        <v>441</v>
      </c>
      <c r="S66" s="258" t="s">
        <v>31</v>
      </c>
      <c r="T66" s="249" t="s">
        <v>38</v>
      </c>
      <c r="U66" s="257">
        <v>45583</v>
      </c>
    </row>
    <row r="67" spans="1:24" ht="48" hidden="1">
      <c r="B67" s="143">
        <v>4</v>
      </c>
      <c r="C67" s="258" t="s">
        <v>626</v>
      </c>
      <c r="D67" s="251">
        <v>1485</v>
      </c>
      <c r="E67" s="251"/>
      <c r="F67" s="251"/>
      <c r="G67" s="252">
        <v>45499</v>
      </c>
      <c r="H67" s="253" t="s">
        <v>627</v>
      </c>
      <c r="I67" s="194" t="s">
        <v>628</v>
      </c>
      <c r="J67" s="254">
        <v>90000</v>
      </c>
      <c r="K67" s="254">
        <v>3127</v>
      </c>
      <c r="L67" s="254"/>
      <c r="M67" s="254">
        <v>86873</v>
      </c>
      <c r="N67" s="254"/>
      <c r="O67" s="254"/>
      <c r="P67" s="246">
        <v>58.5</v>
      </c>
      <c r="Q67" s="254">
        <v>78000</v>
      </c>
      <c r="R67" s="143" t="s">
        <v>441</v>
      </c>
      <c r="S67" s="258" t="s">
        <v>31</v>
      </c>
      <c r="T67" s="249" t="s">
        <v>38</v>
      </c>
      <c r="U67" s="257">
        <v>45583</v>
      </c>
    </row>
    <row r="68" spans="1:24" ht="48" hidden="1">
      <c r="B68" s="143">
        <v>5</v>
      </c>
      <c r="C68" s="183" t="s">
        <v>629</v>
      </c>
      <c r="D68" s="251">
        <v>1395</v>
      </c>
      <c r="E68" s="251"/>
      <c r="F68" s="251"/>
      <c r="G68" s="252">
        <v>45509</v>
      </c>
      <c r="H68" s="253" t="s">
        <v>630</v>
      </c>
      <c r="I68" s="194" t="s">
        <v>631</v>
      </c>
      <c r="J68" s="243">
        <v>79200</v>
      </c>
      <c r="K68" s="243">
        <v>0</v>
      </c>
      <c r="L68" s="243"/>
      <c r="M68" s="243">
        <v>79200</v>
      </c>
      <c r="N68" s="243"/>
      <c r="O68" s="243"/>
      <c r="P68" s="246">
        <f>M68/D68</f>
        <v>56.774193548387096</v>
      </c>
      <c r="Q68" s="261">
        <v>54.98</v>
      </c>
      <c r="R68" s="143" t="s">
        <v>441</v>
      </c>
      <c r="S68" s="258" t="s">
        <v>31</v>
      </c>
      <c r="T68" s="249" t="s">
        <v>44</v>
      </c>
      <c r="U68" s="257">
        <v>45583</v>
      </c>
    </row>
    <row r="69" spans="1:24" ht="48.75" hidden="1">
      <c r="B69" s="143">
        <v>6</v>
      </c>
      <c r="C69" s="263" t="s">
        <v>632</v>
      </c>
      <c r="D69" s="264">
        <v>1180</v>
      </c>
      <c r="E69" s="264"/>
      <c r="F69" s="264"/>
      <c r="G69" s="265" t="s">
        <v>87</v>
      </c>
      <c r="H69" s="266" t="s">
        <v>633</v>
      </c>
      <c r="I69" s="266" t="s">
        <v>634</v>
      </c>
      <c r="J69" s="267">
        <v>65000</v>
      </c>
      <c r="K69" s="268">
        <f t="shared" ref="K69:K80" si="9">J69-M69</f>
        <v>0</v>
      </c>
      <c r="L69" s="268"/>
      <c r="M69" s="267">
        <v>65000</v>
      </c>
      <c r="N69" s="267"/>
      <c r="O69" s="267"/>
      <c r="P69" s="269">
        <v>55.08</v>
      </c>
      <c r="Q69" s="270">
        <v>52</v>
      </c>
      <c r="R69" s="271" t="s">
        <v>430</v>
      </c>
      <c r="S69" s="273" t="s">
        <v>572</v>
      </c>
      <c r="T69" s="273" t="s">
        <v>46</v>
      </c>
      <c r="U69" s="257">
        <v>45590</v>
      </c>
    </row>
    <row r="70" spans="1:24" ht="72.75" hidden="1">
      <c r="B70" s="143">
        <v>7</v>
      </c>
      <c r="C70" s="263" t="s">
        <v>635</v>
      </c>
      <c r="D70" s="264">
        <v>20993</v>
      </c>
      <c r="E70" s="264"/>
      <c r="F70" s="264"/>
      <c r="G70" s="265">
        <v>45554</v>
      </c>
      <c r="H70" s="266" t="s">
        <v>636</v>
      </c>
      <c r="I70" s="266" t="s">
        <v>637</v>
      </c>
      <c r="J70" s="267">
        <v>1000000</v>
      </c>
      <c r="K70" s="268">
        <f t="shared" si="9"/>
        <v>0</v>
      </c>
      <c r="L70" s="268"/>
      <c r="M70" s="267">
        <v>1000000</v>
      </c>
      <c r="N70" s="267"/>
      <c r="O70" s="267"/>
      <c r="P70" s="269">
        <v>47.63</v>
      </c>
      <c r="Q70" s="270">
        <v>80.400000000000006</v>
      </c>
      <c r="R70" s="271" t="s">
        <v>430</v>
      </c>
      <c r="S70" s="273" t="s">
        <v>572</v>
      </c>
      <c r="T70" s="273" t="s">
        <v>46</v>
      </c>
      <c r="U70" s="257">
        <v>45590</v>
      </c>
    </row>
    <row r="71" spans="1:24" ht="24.75" hidden="1">
      <c r="B71" s="143">
        <v>8</v>
      </c>
      <c r="C71" s="274" t="s">
        <v>638</v>
      </c>
      <c r="D71" s="275">
        <v>3030</v>
      </c>
      <c r="E71" s="275"/>
      <c r="F71" s="275"/>
      <c r="G71" s="276">
        <v>45529</v>
      </c>
      <c r="H71" s="224" t="s">
        <v>639</v>
      </c>
      <c r="I71" s="224" t="s">
        <v>640</v>
      </c>
      <c r="J71" s="267">
        <v>500000</v>
      </c>
      <c r="K71" s="267">
        <f t="shared" si="9"/>
        <v>245000</v>
      </c>
      <c r="L71" s="267"/>
      <c r="M71" s="267">
        <v>255000</v>
      </c>
      <c r="N71" s="267"/>
      <c r="O71" s="267"/>
      <c r="P71" s="269">
        <f>M71/D71</f>
        <v>84.158415841584159</v>
      </c>
      <c r="Q71" s="270">
        <v>140</v>
      </c>
      <c r="R71" s="271" t="s">
        <v>441</v>
      </c>
      <c r="S71" s="145" t="s">
        <v>641</v>
      </c>
      <c r="T71" s="145" t="s">
        <v>41</v>
      </c>
      <c r="U71" s="277">
        <v>45604</v>
      </c>
    </row>
    <row r="72" spans="1:24" ht="48.75" hidden="1">
      <c r="B72" s="143">
        <v>9</v>
      </c>
      <c r="C72" s="278" t="s">
        <v>642</v>
      </c>
      <c r="D72" s="279">
        <v>170</v>
      </c>
      <c r="E72" s="279"/>
      <c r="F72" s="279"/>
      <c r="G72" s="280">
        <v>45544</v>
      </c>
      <c r="H72" s="281" t="s">
        <v>643</v>
      </c>
      <c r="I72" s="281" t="s">
        <v>644</v>
      </c>
      <c r="J72" s="282">
        <v>9400</v>
      </c>
      <c r="K72" s="268">
        <f t="shared" si="9"/>
        <v>475</v>
      </c>
      <c r="L72" s="268"/>
      <c r="M72" s="282">
        <v>8925</v>
      </c>
      <c r="N72" s="282"/>
      <c r="O72" s="282"/>
      <c r="P72" s="269">
        <f>M72/D72</f>
        <v>52.5</v>
      </c>
      <c r="Q72" s="283"/>
      <c r="R72" s="271" t="s">
        <v>441</v>
      </c>
      <c r="S72" s="273" t="s">
        <v>641</v>
      </c>
      <c r="T72" s="279" t="s">
        <v>46</v>
      </c>
      <c r="U72" s="284">
        <v>45605</v>
      </c>
    </row>
    <row r="73" spans="1:24" ht="48.75" hidden="1">
      <c r="B73" s="143">
        <v>10</v>
      </c>
      <c r="C73" s="263" t="s">
        <v>645</v>
      </c>
      <c r="D73" s="264">
        <v>552</v>
      </c>
      <c r="E73" s="264"/>
      <c r="F73" s="264"/>
      <c r="G73" s="265">
        <v>45544</v>
      </c>
      <c r="H73" s="266" t="s">
        <v>646</v>
      </c>
      <c r="I73" s="266" t="s">
        <v>647</v>
      </c>
      <c r="J73" s="268">
        <v>33000</v>
      </c>
      <c r="K73" s="268">
        <f t="shared" si="9"/>
        <v>3000</v>
      </c>
      <c r="L73" s="268"/>
      <c r="M73" s="268">
        <v>30000</v>
      </c>
      <c r="N73" s="268"/>
      <c r="O73" s="268"/>
      <c r="P73" s="269">
        <f>M73/D73</f>
        <v>54.347826086956523</v>
      </c>
      <c r="Q73" s="269"/>
      <c r="R73" s="271" t="s">
        <v>430</v>
      </c>
      <c r="S73" s="273" t="s">
        <v>572</v>
      </c>
      <c r="T73" s="273" t="s">
        <v>46</v>
      </c>
      <c r="U73" s="285">
        <v>45614</v>
      </c>
    </row>
    <row r="74" spans="1:24" ht="48.75" hidden="1">
      <c r="B74" s="143">
        <v>11</v>
      </c>
      <c r="C74" s="263" t="s">
        <v>648</v>
      </c>
      <c r="D74" s="264">
        <v>85</v>
      </c>
      <c r="E74" s="264"/>
      <c r="F74" s="264"/>
      <c r="G74" s="265">
        <v>45498</v>
      </c>
      <c r="H74" s="266" t="s">
        <v>649</v>
      </c>
      <c r="I74" s="266" t="s">
        <v>650</v>
      </c>
      <c r="J74" s="267">
        <v>68250</v>
      </c>
      <c r="K74" s="268">
        <f t="shared" si="9"/>
        <v>3250</v>
      </c>
      <c r="L74" s="268"/>
      <c r="M74" s="267">
        <v>65000</v>
      </c>
      <c r="N74" s="267"/>
      <c r="O74" s="267"/>
      <c r="P74" s="269">
        <f>M74/D74</f>
        <v>764.70588235294122</v>
      </c>
      <c r="Q74" s="270">
        <v>764.71</v>
      </c>
      <c r="R74" s="271" t="s">
        <v>430</v>
      </c>
      <c r="S74" s="273" t="s">
        <v>572</v>
      </c>
      <c r="T74" s="273" t="s">
        <v>41</v>
      </c>
      <c r="U74" s="286">
        <v>45614</v>
      </c>
    </row>
    <row r="75" spans="1:24" ht="48.75" hidden="1">
      <c r="B75" s="143">
        <v>12</v>
      </c>
      <c r="C75" s="263" t="s">
        <v>651</v>
      </c>
      <c r="D75" s="264">
        <v>424</v>
      </c>
      <c r="E75" s="264"/>
      <c r="F75" s="264"/>
      <c r="G75" s="265">
        <v>45544</v>
      </c>
      <c r="H75" s="266" t="s">
        <v>652</v>
      </c>
      <c r="I75" s="266" t="s">
        <v>653</v>
      </c>
      <c r="J75" s="267">
        <v>11872</v>
      </c>
      <c r="K75" s="268">
        <f t="shared" si="9"/>
        <v>1272</v>
      </c>
      <c r="L75" s="268"/>
      <c r="M75" s="267">
        <v>10600</v>
      </c>
      <c r="N75" s="267"/>
      <c r="O75" s="267"/>
      <c r="P75" s="270">
        <v>25</v>
      </c>
      <c r="Q75" s="270">
        <v>27.5</v>
      </c>
      <c r="R75" s="271" t="s">
        <v>441</v>
      </c>
      <c r="S75" s="273" t="s">
        <v>442</v>
      </c>
      <c r="T75" s="273" t="s">
        <v>46</v>
      </c>
      <c r="U75" s="286">
        <v>45618</v>
      </c>
    </row>
    <row r="76" spans="1:24" ht="48.75" hidden="1">
      <c r="B76" s="143">
        <v>13</v>
      </c>
      <c r="C76" s="263" t="s">
        <v>654</v>
      </c>
      <c r="D76" s="264">
        <v>582</v>
      </c>
      <c r="E76" s="264"/>
      <c r="F76" s="264"/>
      <c r="G76" s="265">
        <v>45585</v>
      </c>
      <c r="H76" s="266" t="s">
        <v>655</v>
      </c>
      <c r="I76" s="266" t="s">
        <v>656</v>
      </c>
      <c r="J76" s="267">
        <v>42282</v>
      </c>
      <c r="K76" s="267">
        <f t="shared" si="9"/>
        <v>5202</v>
      </c>
      <c r="L76" s="267"/>
      <c r="M76" s="267">
        <v>37080</v>
      </c>
      <c r="N76" s="267"/>
      <c r="O76" s="267"/>
      <c r="P76" s="269">
        <v>63.71</v>
      </c>
      <c r="Q76" s="270">
        <v>58.41</v>
      </c>
      <c r="R76" s="271" t="s">
        <v>441</v>
      </c>
      <c r="S76" s="273" t="s">
        <v>442</v>
      </c>
      <c r="T76" s="273" t="s">
        <v>36</v>
      </c>
      <c r="U76" s="286">
        <v>45618</v>
      </c>
    </row>
    <row r="77" spans="1:24" ht="48.75" hidden="1">
      <c r="B77" s="143">
        <v>14</v>
      </c>
      <c r="C77" s="145" t="s">
        <v>657</v>
      </c>
      <c r="D77" s="275">
        <v>1973</v>
      </c>
      <c r="E77" s="275"/>
      <c r="F77" s="275"/>
      <c r="G77" s="276">
        <v>45442</v>
      </c>
      <c r="H77" s="224" t="s">
        <v>658</v>
      </c>
      <c r="I77" s="224" t="s">
        <v>659</v>
      </c>
      <c r="J77" s="267">
        <v>103000</v>
      </c>
      <c r="K77" s="268">
        <f t="shared" si="9"/>
        <v>0</v>
      </c>
      <c r="L77" s="268"/>
      <c r="M77" s="267">
        <v>103000</v>
      </c>
      <c r="N77" s="267"/>
      <c r="O77" s="267"/>
      <c r="P77" s="269">
        <f>M77/D77</f>
        <v>52.204764318297009</v>
      </c>
      <c r="Q77" s="270">
        <f>94417/D77</f>
        <v>47.854536239229603</v>
      </c>
      <c r="R77" s="271" t="s">
        <v>430</v>
      </c>
      <c r="S77" s="274" t="s">
        <v>660</v>
      </c>
      <c r="T77" s="145" t="s">
        <v>44</v>
      </c>
      <c r="U77" s="287">
        <v>45639</v>
      </c>
    </row>
    <row r="78" spans="1:24" ht="48.75" hidden="1">
      <c r="B78" s="143">
        <v>15</v>
      </c>
      <c r="C78" s="273" t="s">
        <v>661</v>
      </c>
      <c r="D78" s="264">
        <v>23500</v>
      </c>
      <c r="E78" s="264"/>
      <c r="F78" s="264"/>
      <c r="G78" s="265">
        <v>45614</v>
      </c>
      <c r="H78" s="266" t="s">
        <v>662</v>
      </c>
      <c r="I78" s="266" t="s">
        <v>663</v>
      </c>
      <c r="J78" s="267">
        <v>660000</v>
      </c>
      <c r="K78" s="268">
        <f t="shared" si="9"/>
        <v>141809</v>
      </c>
      <c r="L78" s="268"/>
      <c r="M78" s="267">
        <v>518191</v>
      </c>
      <c r="N78" s="267"/>
      <c r="O78" s="267"/>
      <c r="P78" s="269">
        <f>M78/D78</f>
        <v>22.050680851063831</v>
      </c>
      <c r="Q78" s="270">
        <v>39.979999999999997</v>
      </c>
      <c r="R78" s="271" t="s">
        <v>430</v>
      </c>
      <c r="S78" s="274" t="s">
        <v>664</v>
      </c>
      <c r="T78" s="273" t="s">
        <v>44</v>
      </c>
      <c r="U78" s="287">
        <v>45639</v>
      </c>
    </row>
    <row r="79" spans="1:24" ht="72.75" hidden="1">
      <c r="B79" s="143">
        <v>16</v>
      </c>
      <c r="C79" s="273" t="s">
        <v>665</v>
      </c>
      <c r="D79" s="264">
        <v>3452</v>
      </c>
      <c r="E79" s="264"/>
      <c r="F79" s="264"/>
      <c r="G79" s="265">
        <v>45551</v>
      </c>
      <c r="H79" s="266" t="s">
        <v>666</v>
      </c>
      <c r="I79" s="266" t="s">
        <v>667</v>
      </c>
      <c r="J79" s="268">
        <v>138440</v>
      </c>
      <c r="K79" s="268">
        <f t="shared" si="9"/>
        <v>16440</v>
      </c>
      <c r="L79" s="268"/>
      <c r="M79" s="268">
        <v>122000</v>
      </c>
      <c r="N79" s="268"/>
      <c r="O79" s="268"/>
      <c r="P79" s="269">
        <f>M79/D79</f>
        <v>35.341830822711472</v>
      </c>
      <c r="Q79" s="268">
        <v>109600</v>
      </c>
      <c r="R79" s="271" t="s">
        <v>430</v>
      </c>
      <c r="S79" s="263" t="s">
        <v>668</v>
      </c>
      <c r="T79" s="273" t="s">
        <v>38</v>
      </c>
      <c r="U79" s="287">
        <v>45646</v>
      </c>
    </row>
    <row r="80" spans="1:24" ht="96.75" hidden="1">
      <c r="B80" s="143">
        <v>17</v>
      </c>
      <c r="C80" s="273" t="s">
        <v>669</v>
      </c>
      <c r="D80" s="264">
        <v>2103</v>
      </c>
      <c r="E80" s="264"/>
      <c r="F80" s="264"/>
      <c r="G80" s="265">
        <v>45553</v>
      </c>
      <c r="H80" s="266" t="s">
        <v>670</v>
      </c>
      <c r="I80" s="266" t="s">
        <v>671</v>
      </c>
      <c r="J80" s="267">
        <v>220000</v>
      </c>
      <c r="K80" s="268">
        <f t="shared" si="9"/>
        <v>35000</v>
      </c>
      <c r="L80" s="268"/>
      <c r="M80" s="267">
        <v>185000</v>
      </c>
      <c r="N80" s="267"/>
      <c r="O80" s="267"/>
      <c r="P80" s="270">
        <v>88</v>
      </c>
      <c r="Q80" s="270">
        <v>83</v>
      </c>
      <c r="R80" s="271" t="s">
        <v>430</v>
      </c>
      <c r="S80" s="263" t="s">
        <v>672</v>
      </c>
      <c r="T80" s="273" t="s">
        <v>36</v>
      </c>
      <c r="U80" s="287">
        <v>45647</v>
      </c>
    </row>
    <row r="81" spans="2:21">
      <c r="B81" s="288">
        <v>2025</v>
      </c>
      <c r="C81" s="288">
        <v>2025</v>
      </c>
      <c r="D81" s="288">
        <v>2025</v>
      </c>
      <c r="E81" s="288"/>
      <c r="F81" s="288"/>
      <c r="G81" s="288">
        <v>2025</v>
      </c>
      <c r="H81" s="344">
        <v>2025</v>
      </c>
      <c r="I81" s="288">
        <v>2025</v>
      </c>
      <c r="J81" s="288">
        <v>2025</v>
      </c>
      <c r="K81" s="288">
        <v>2025</v>
      </c>
      <c r="L81" s="288"/>
      <c r="M81" s="288">
        <v>2025</v>
      </c>
      <c r="N81" s="288"/>
      <c r="O81" s="288"/>
      <c r="P81" s="288">
        <v>2025</v>
      </c>
      <c r="Q81" s="288">
        <v>2025</v>
      </c>
      <c r="R81" s="288">
        <v>2025</v>
      </c>
      <c r="S81" s="288">
        <v>2025</v>
      </c>
      <c r="T81" s="288">
        <v>2025</v>
      </c>
      <c r="U81" s="289">
        <v>2025</v>
      </c>
    </row>
    <row r="82" spans="2:21" ht="38.25">
      <c r="B82" s="271">
        <v>1</v>
      </c>
      <c r="C82" s="290" t="s">
        <v>673</v>
      </c>
      <c r="D82" s="341" t="s">
        <v>730</v>
      </c>
      <c r="E82" s="340" t="s">
        <v>216</v>
      </c>
      <c r="F82" s="259">
        <v>5200</v>
      </c>
      <c r="G82" s="291">
        <v>45643</v>
      </c>
      <c r="H82" s="290" t="s">
        <v>674</v>
      </c>
      <c r="I82" s="292" t="s">
        <v>675</v>
      </c>
      <c r="J82" s="232">
        <v>383908</v>
      </c>
      <c r="K82" s="232">
        <v>253908</v>
      </c>
      <c r="L82" s="254">
        <f t="shared" ref="L82:L90" si="10">J82-K82</f>
        <v>130000</v>
      </c>
      <c r="M82" s="246">
        <f t="shared" ref="M82:M89" si="11">J82/F82</f>
        <v>73.828461538461539</v>
      </c>
      <c r="N82" s="246">
        <f t="shared" ref="N82:N89" si="12">K82/F82</f>
        <v>48.828461538461539</v>
      </c>
      <c r="O82" s="293">
        <v>122</v>
      </c>
      <c r="P82" s="294" t="s">
        <v>676</v>
      </c>
      <c r="Q82" s="295" t="s">
        <v>36</v>
      </c>
      <c r="R82" s="294" t="s">
        <v>441</v>
      </c>
      <c r="S82" s="296" t="s">
        <v>677</v>
      </c>
      <c r="T82" s="297" t="s">
        <v>41</v>
      </c>
      <c r="U82" s="298">
        <v>45667</v>
      </c>
    </row>
    <row r="83" spans="2:21" ht="86.25" customHeight="1">
      <c r="B83" s="271">
        <v>2</v>
      </c>
      <c r="C83" s="249" t="s">
        <v>678</v>
      </c>
      <c r="D83" s="341" t="s">
        <v>731</v>
      </c>
      <c r="E83" s="340" t="s">
        <v>216</v>
      </c>
      <c r="F83" s="259">
        <v>28370</v>
      </c>
      <c r="G83" s="185">
        <v>45628</v>
      </c>
      <c r="H83" s="260" t="s">
        <v>679</v>
      </c>
      <c r="I83" s="299" t="s">
        <v>680</v>
      </c>
      <c r="J83" s="243">
        <v>1648856</v>
      </c>
      <c r="K83" s="243">
        <v>1648856</v>
      </c>
      <c r="L83" s="254">
        <f t="shared" si="10"/>
        <v>0</v>
      </c>
      <c r="M83" s="246">
        <f t="shared" si="11"/>
        <v>58.119703912583716</v>
      </c>
      <c r="N83" s="246">
        <f t="shared" si="12"/>
        <v>58.119703912583716</v>
      </c>
      <c r="O83" s="261">
        <v>62.37</v>
      </c>
      <c r="P83" s="143" t="s">
        <v>681</v>
      </c>
      <c r="Q83" s="262" t="s">
        <v>682</v>
      </c>
      <c r="R83" s="143" t="s">
        <v>430</v>
      </c>
      <c r="S83" s="300" t="s">
        <v>683</v>
      </c>
      <c r="T83" s="301" t="s">
        <v>41</v>
      </c>
      <c r="U83" s="302">
        <v>45674</v>
      </c>
    </row>
    <row r="84" spans="2:21" ht="55.5" customHeight="1">
      <c r="B84" s="271">
        <v>3</v>
      </c>
      <c r="C84" s="273" t="s">
        <v>684</v>
      </c>
      <c r="D84" s="341" t="s">
        <v>730</v>
      </c>
      <c r="E84" s="340" t="s">
        <v>216</v>
      </c>
      <c r="F84" s="264">
        <v>2940</v>
      </c>
      <c r="G84" s="265">
        <v>45618</v>
      </c>
      <c r="H84" s="266" t="s">
        <v>685</v>
      </c>
      <c r="I84" s="266" t="s">
        <v>686</v>
      </c>
      <c r="J84" s="267">
        <v>132000</v>
      </c>
      <c r="K84" s="267">
        <v>132000</v>
      </c>
      <c r="L84" s="268">
        <f t="shared" si="10"/>
        <v>0</v>
      </c>
      <c r="M84" s="269">
        <f t="shared" si="11"/>
        <v>44.897959183673471</v>
      </c>
      <c r="N84" s="269">
        <f t="shared" si="12"/>
        <v>44.897959183673471</v>
      </c>
      <c r="O84" s="270">
        <v>38.979999999999997</v>
      </c>
      <c r="P84" s="271" t="s">
        <v>35</v>
      </c>
      <c r="Q84" s="272" t="s">
        <v>36</v>
      </c>
      <c r="R84" s="271" t="s">
        <v>441</v>
      </c>
      <c r="S84" s="263" t="s">
        <v>687</v>
      </c>
      <c r="T84" s="303" t="s">
        <v>36</v>
      </c>
      <c r="U84" s="304" t="s">
        <v>688</v>
      </c>
    </row>
    <row r="85" spans="2:21" ht="55.5" customHeight="1">
      <c r="B85" s="271">
        <v>4</v>
      </c>
      <c r="C85" s="273" t="s">
        <v>689</v>
      </c>
      <c r="D85" s="341" t="s">
        <v>223</v>
      </c>
      <c r="E85" s="340" t="s">
        <v>216</v>
      </c>
      <c r="F85" s="264">
        <v>1829</v>
      </c>
      <c r="G85" s="265">
        <v>45581</v>
      </c>
      <c r="H85" s="266" t="s">
        <v>690</v>
      </c>
      <c r="I85" s="266" t="s">
        <v>691</v>
      </c>
      <c r="J85" s="267">
        <v>120700</v>
      </c>
      <c r="K85" s="267">
        <v>112852</v>
      </c>
      <c r="L85" s="268">
        <f t="shared" si="10"/>
        <v>7848</v>
      </c>
      <c r="M85" s="305">
        <f t="shared" si="11"/>
        <v>65.992345544013119</v>
      </c>
      <c r="N85" s="269">
        <f t="shared" si="12"/>
        <v>61.701476216511757</v>
      </c>
      <c r="O85" s="270">
        <v>65</v>
      </c>
      <c r="P85" s="271" t="s">
        <v>35</v>
      </c>
      <c r="Q85" s="272" t="s">
        <v>36</v>
      </c>
      <c r="R85" s="271" t="s">
        <v>430</v>
      </c>
      <c r="S85" s="263" t="s">
        <v>692</v>
      </c>
      <c r="T85" s="303" t="s">
        <v>103</v>
      </c>
      <c r="U85" s="219">
        <v>45702</v>
      </c>
    </row>
    <row r="86" spans="2:21" ht="55.5" customHeight="1">
      <c r="B86" s="271">
        <v>5</v>
      </c>
      <c r="C86" s="290" t="s">
        <v>234</v>
      </c>
      <c r="D86" s="341" t="s">
        <v>323</v>
      </c>
      <c r="E86" s="340" t="s">
        <v>216</v>
      </c>
      <c r="F86" s="259">
        <v>314</v>
      </c>
      <c r="G86" s="291">
        <v>45740</v>
      </c>
      <c r="H86" s="290" t="s">
        <v>693</v>
      </c>
      <c r="I86" s="292" t="s">
        <v>694</v>
      </c>
      <c r="J86" s="232">
        <v>17500</v>
      </c>
      <c r="K86" s="232">
        <v>17050</v>
      </c>
      <c r="L86" s="254">
        <f t="shared" si="10"/>
        <v>450</v>
      </c>
      <c r="M86" s="246">
        <f t="shared" si="11"/>
        <v>55.732484076433124</v>
      </c>
      <c r="N86" s="246">
        <f t="shared" si="12"/>
        <v>54.29936305732484</v>
      </c>
      <c r="O86" s="293">
        <v>49.36</v>
      </c>
      <c r="P86" s="143" t="s">
        <v>53</v>
      </c>
      <c r="Q86" s="295" t="s">
        <v>36</v>
      </c>
      <c r="R86" s="294" t="s">
        <v>430</v>
      </c>
      <c r="S86" s="226" t="s">
        <v>695</v>
      </c>
      <c r="T86" s="306" t="s">
        <v>103</v>
      </c>
      <c r="U86" s="307"/>
    </row>
    <row r="87" spans="2:21" ht="55.5" customHeight="1">
      <c r="B87" s="271">
        <v>6</v>
      </c>
      <c r="C87" s="290" t="s">
        <v>735</v>
      </c>
      <c r="D87" s="341" t="s">
        <v>732</v>
      </c>
      <c r="E87" s="340" t="s">
        <v>216</v>
      </c>
      <c r="F87" s="259">
        <v>310</v>
      </c>
      <c r="G87" s="291">
        <v>45748</v>
      </c>
      <c r="H87" s="290" t="s">
        <v>696</v>
      </c>
      <c r="I87" s="292" t="s">
        <v>697</v>
      </c>
      <c r="J87" s="232">
        <v>15500</v>
      </c>
      <c r="K87" s="232">
        <v>15500</v>
      </c>
      <c r="L87" s="254">
        <f t="shared" si="10"/>
        <v>0</v>
      </c>
      <c r="M87" s="246">
        <f t="shared" si="11"/>
        <v>50</v>
      </c>
      <c r="N87" s="246">
        <f t="shared" si="12"/>
        <v>50</v>
      </c>
      <c r="O87" s="246">
        <f>N87</f>
        <v>50</v>
      </c>
      <c r="P87" s="143" t="s">
        <v>53</v>
      </c>
      <c r="Q87" s="295" t="s">
        <v>36</v>
      </c>
      <c r="R87" s="294" t="s">
        <v>430</v>
      </c>
      <c r="S87" s="226" t="s">
        <v>698</v>
      </c>
      <c r="T87" s="306" t="s">
        <v>44</v>
      </c>
      <c r="U87" s="307"/>
    </row>
    <row r="88" spans="2:21" ht="55.5" customHeight="1">
      <c r="B88" s="271">
        <v>7</v>
      </c>
      <c r="C88" s="290" t="s">
        <v>736</v>
      </c>
      <c r="D88" s="341" t="s">
        <v>733</v>
      </c>
      <c r="E88" s="340" t="s">
        <v>216</v>
      </c>
      <c r="F88" s="259">
        <v>310</v>
      </c>
      <c r="G88" s="291">
        <v>45748</v>
      </c>
      <c r="H88" s="290" t="s">
        <v>699</v>
      </c>
      <c r="I88" s="292" t="s">
        <v>697</v>
      </c>
      <c r="J88" s="232">
        <v>15500</v>
      </c>
      <c r="K88" s="232">
        <v>15500</v>
      </c>
      <c r="L88" s="254">
        <f t="shared" si="10"/>
        <v>0</v>
      </c>
      <c r="M88" s="246">
        <f t="shared" si="11"/>
        <v>50</v>
      </c>
      <c r="N88" s="246">
        <f t="shared" si="12"/>
        <v>50</v>
      </c>
      <c r="O88" s="246">
        <f>N88</f>
        <v>50</v>
      </c>
      <c r="P88" s="143" t="s">
        <v>53</v>
      </c>
      <c r="Q88" s="295" t="s">
        <v>36</v>
      </c>
      <c r="R88" s="294" t="s">
        <v>430</v>
      </c>
      <c r="S88" s="226" t="s">
        <v>698</v>
      </c>
      <c r="T88" s="306" t="s">
        <v>44</v>
      </c>
      <c r="U88" s="307"/>
    </row>
    <row r="89" spans="2:21" ht="55.5" customHeight="1">
      <c r="B89" s="271">
        <v>8</v>
      </c>
      <c r="C89" s="290" t="s">
        <v>736</v>
      </c>
      <c r="D89" s="341" t="s">
        <v>734</v>
      </c>
      <c r="E89" s="340" t="s">
        <v>216</v>
      </c>
      <c r="F89" s="259">
        <v>215</v>
      </c>
      <c r="G89" s="291">
        <v>45748</v>
      </c>
      <c r="H89" s="290" t="s">
        <v>700</v>
      </c>
      <c r="I89" s="292" t="s">
        <v>697</v>
      </c>
      <c r="J89" s="232">
        <v>11502</v>
      </c>
      <c r="K89" s="232">
        <v>10200</v>
      </c>
      <c r="L89" s="254">
        <f t="shared" si="10"/>
        <v>1302</v>
      </c>
      <c r="M89" s="246">
        <f t="shared" si="11"/>
        <v>53.497674418604653</v>
      </c>
      <c r="N89" s="246">
        <f t="shared" si="12"/>
        <v>47.441860465116278</v>
      </c>
      <c r="O89" s="293">
        <f>N89</f>
        <v>47.441860465116278</v>
      </c>
      <c r="P89" s="143" t="s">
        <v>53</v>
      </c>
      <c r="Q89" s="295" t="s">
        <v>36</v>
      </c>
      <c r="R89" s="294" t="s">
        <v>430</v>
      </c>
      <c r="S89" s="226" t="s">
        <v>698</v>
      </c>
      <c r="T89" s="306" t="s">
        <v>44</v>
      </c>
      <c r="U89" s="307"/>
    </row>
    <row r="90" spans="2:21" ht="55.5" customHeight="1">
      <c r="B90" s="271">
        <v>9</v>
      </c>
      <c r="C90" s="290" t="s">
        <v>737</v>
      </c>
      <c r="D90" s="341" t="s">
        <v>730</v>
      </c>
      <c r="E90" s="340" t="s">
        <v>216</v>
      </c>
      <c r="F90" s="259">
        <v>607</v>
      </c>
      <c r="G90" s="291">
        <v>45713</v>
      </c>
      <c r="H90" s="290" t="s">
        <v>108</v>
      </c>
      <c r="I90" s="292" t="s">
        <v>701</v>
      </c>
      <c r="J90" s="232">
        <v>27000</v>
      </c>
      <c r="K90" s="232">
        <v>25000</v>
      </c>
      <c r="L90" s="254">
        <f t="shared" si="10"/>
        <v>2000</v>
      </c>
      <c r="M90" s="246">
        <v>44.48</v>
      </c>
      <c r="N90" s="246">
        <v>41.39</v>
      </c>
      <c r="O90" s="293">
        <v>41.39</v>
      </c>
      <c r="P90" s="294" t="s">
        <v>702</v>
      </c>
      <c r="Q90" s="295" t="s">
        <v>36</v>
      </c>
      <c r="R90" s="294" t="s">
        <v>441</v>
      </c>
      <c r="S90" s="296" t="s">
        <v>703</v>
      </c>
      <c r="T90" s="308" t="s">
        <v>46</v>
      </c>
      <c r="U90" s="307"/>
    </row>
    <row r="91" spans="2:21" ht="55.5" customHeight="1">
      <c r="B91" s="271">
        <v>10</v>
      </c>
      <c r="C91" s="290" t="s">
        <v>737</v>
      </c>
      <c r="D91" s="341" t="s">
        <v>730</v>
      </c>
      <c r="E91" s="340" t="s">
        <v>216</v>
      </c>
      <c r="F91" s="259">
        <v>662</v>
      </c>
      <c r="G91" s="291">
        <v>45713</v>
      </c>
      <c r="H91" s="290" t="s">
        <v>108</v>
      </c>
      <c r="I91" s="292" t="s">
        <v>704</v>
      </c>
      <c r="J91" s="232">
        <v>22000</v>
      </c>
      <c r="K91" s="232">
        <v>20500</v>
      </c>
      <c r="L91" s="254">
        <v>1500</v>
      </c>
      <c r="M91" s="246">
        <v>33.229999999999997</v>
      </c>
      <c r="N91" s="246">
        <v>30.97</v>
      </c>
      <c r="O91" s="293">
        <v>30.21</v>
      </c>
      <c r="P91" s="294" t="s">
        <v>702</v>
      </c>
      <c r="Q91" s="295" t="s">
        <v>36</v>
      </c>
      <c r="R91" s="294" t="s">
        <v>441</v>
      </c>
      <c r="S91" s="296" t="s">
        <v>703</v>
      </c>
      <c r="T91" s="308" t="s">
        <v>46</v>
      </c>
      <c r="U91" s="307"/>
    </row>
    <row r="92" spans="2:21" ht="55.5" customHeight="1">
      <c r="B92" s="271">
        <v>11</v>
      </c>
      <c r="C92" s="290" t="s">
        <v>705</v>
      </c>
      <c r="D92" s="341" t="s">
        <v>730</v>
      </c>
      <c r="E92" s="340" t="s">
        <v>216</v>
      </c>
      <c r="F92" s="259">
        <v>2085</v>
      </c>
      <c r="G92" s="291">
        <v>45691</v>
      </c>
      <c r="H92" s="290" t="s">
        <v>706</v>
      </c>
      <c r="I92" s="292" t="s">
        <v>707</v>
      </c>
      <c r="J92" s="232">
        <v>90000</v>
      </c>
      <c r="K92" s="232">
        <v>80000</v>
      </c>
      <c r="L92" s="254">
        <v>10000</v>
      </c>
      <c r="M92" s="246">
        <f>J92/F92</f>
        <v>43.165467625899282</v>
      </c>
      <c r="N92" s="246">
        <f>K92/F92</f>
        <v>38.369304556354919</v>
      </c>
      <c r="O92" s="293">
        <f>N92</f>
        <v>38.369304556354919</v>
      </c>
      <c r="P92" s="143" t="s">
        <v>53</v>
      </c>
      <c r="Q92" s="295" t="s">
        <v>36</v>
      </c>
      <c r="R92" s="294" t="s">
        <v>441</v>
      </c>
      <c r="S92" s="296" t="s">
        <v>708</v>
      </c>
      <c r="T92" s="309" t="s">
        <v>46</v>
      </c>
      <c r="U92" s="307"/>
    </row>
    <row r="93" spans="2:21" ht="55.5" customHeight="1">
      <c r="B93" s="271">
        <v>12</v>
      </c>
      <c r="C93" s="249" t="s">
        <v>709</v>
      </c>
      <c r="D93" s="341" t="s">
        <v>730</v>
      </c>
      <c r="E93" s="340" t="s">
        <v>216</v>
      </c>
      <c r="F93" s="259">
        <v>2323</v>
      </c>
      <c r="G93" s="185">
        <v>45632</v>
      </c>
      <c r="H93" s="260" t="s">
        <v>710</v>
      </c>
      <c r="I93" s="310" t="s">
        <v>711</v>
      </c>
      <c r="J93" s="243">
        <v>110000</v>
      </c>
      <c r="K93" s="243">
        <v>108000</v>
      </c>
      <c r="L93" s="254">
        <f>J93-K93</f>
        <v>2000</v>
      </c>
      <c r="M93" s="246">
        <f>J93/F93</f>
        <v>47.352561343090834</v>
      </c>
      <c r="N93" s="246">
        <f>K93/F93</f>
        <v>46.491605682307359</v>
      </c>
      <c r="O93" s="261">
        <v>44</v>
      </c>
      <c r="P93" s="143" t="s">
        <v>35</v>
      </c>
      <c r="Q93" s="262" t="s">
        <v>36</v>
      </c>
      <c r="R93" s="143" t="s">
        <v>430</v>
      </c>
      <c r="S93" s="300" t="s">
        <v>712</v>
      </c>
      <c r="T93" s="301" t="s">
        <v>44</v>
      </c>
      <c r="U93" s="307"/>
    </row>
    <row r="94" spans="2:21" ht="36">
      <c r="B94" s="271">
        <v>13</v>
      </c>
      <c r="C94" s="144" t="s">
        <v>713</v>
      </c>
      <c r="D94" s="341" t="s">
        <v>740</v>
      </c>
      <c r="E94" s="340" t="s">
        <v>216</v>
      </c>
      <c r="F94" s="148">
        <v>600</v>
      </c>
      <c r="G94" s="148" t="s">
        <v>87</v>
      </c>
      <c r="H94" s="144" t="s">
        <v>714</v>
      </c>
      <c r="I94" s="149" t="s">
        <v>715</v>
      </c>
      <c r="J94" s="311">
        <v>41600</v>
      </c>
      <c r="K94" s="312">
        <v>40950</v>
      </c>
      <c r="L94" s="254">
        <f>J94-K94</f>
        <v>650</v>
      </c>
      <c r="M94" s="246">
        <f>J94/F94</f>
        <v>69.333333333333329</v>
      </c>
      <c r="N94" s="246">
        <f>K94/F94</f>
        <v>68.25</v>
      </c>
      <c r="O94" s="313">
        <v>60.23</v>
      </c>
      <c r="P94" s="148" t="s">
        <v>50</v>
      </c>
      <c r="Q94" s="148" t="s">
        <v>50</v>
      </c>
      <c r="R94" s="148" t="s">
        <v>441</v>
      </c>
      <c r="S94" s="150" t="s">
        <v>572</v>
      </c>
      <c r="T94" s="314" t="s">
        <v>46</v>
      </c>
      <c r="U94" s="307"/>
    </row>
    <row r="95" spans="2:21" ht="60">
      <c r="B95" s="271">
        <v>14</v>
      </c>
      <c r="C95" s="195" t="s">
        <v>739</v>
      </c>
      <c r="D95" s="341" t="s">
        <v>738</v>
      </c>
      <c r="E95" s="340" t="s">
        <v>216</v>
      </c>
      <c r="F95" s="195">
        <v>94</v>
      </c>
      <c r="G95" s="180">
        <v>45748</v>
      </c>
      <c r="H95" s="233" t="s">
        <v>716</v>
      </c>
      <c r="I95" s="173" t="s">
        <v>717</v>
      </c>
      <c r="J95" s="201">
        <v>7200</v>
      </c>
      <c r="K95" s="234">
        <v>6950</v>
      </c>
      <c r="L95" s="254">
        <f>J95-K95</f>
        <v>250</v>
      </c>
      <c r="M95" s="246">
        <f>J95/F95</f>
        <v>76.59574468085107</v>
      </c>
      <c r="N95" s="246">
        <f>K95/F95</f>
        <v>73.936170212765958</v>
      </c>
      <c r="O95" s="196" t="s">
        <v>718</v>
      </c>
      <c r="P95" s="197" t="s">
        <v>719</v>
      </c>
      <c r="Q95" s="195" t="s">
        <v>36</v>
      </c>
      <c r="R95" s="236" t="s">
        <v>441</v>
      </c>
      <c r="S95" s="150" t="s">
        <v>572</v>
      </c>
      <c r="T95" s="315" t="s">
        <v>38</v>
      </c>
      <c r="U95" s="307"/>
    </row>
    <row r="96" spans="2:21" ht="36">
      <c r="B96" s="271">
        <v>15</v>
      </c>
      <c r="C96" s="144" t="s">
        <v>232</v>
      </c>
      <c r="D96" s="146" t="s">
        <v>219</v>
      </c>
      <c r="E96" s="146" t="s">
        <v>216</v>
      </c>
      <c r="F96" s="345">
        <v>807</v>
      </c>
      <c r="G96" s="147">
        <v>45791</v>
      </c>
      <c r="H96" s="144" t="s">
        <v>108</v>
      </c>
      <c r="I96" s="149" t="s">
        <v>136</v>
      </c>
      <c r="J96" s="151">
        <v>48420</v>
      </c>
      <c r="K96" s="152">
        <v>34320</v>
      </c>
      <c r="L96" s="154">
        <f>J96-K96</f>
        <v>14100</v>
      </c>
      <c r="M96" s="155">
        <f>J96/F96</f>
        <v>60</v>
      </c>
      <c r="N96" s="155">
        <f>K96/F96</f>
        <v>42.52788104089219</v>
      </c>
      <c r="O96" s="153">
        <v>42.73</v>
      </c>
      <c r="P96" s="148" t="s">
        <v>35</v>
      </c>
      <c r="Q96" s="148" t="s">
        <v>36</v>
      </c>
      <c r="R96" s="148" t="s">
        <v>430</v>
      </c>
      <c r="S96" s="150" t="s">
        <v>31</v>
      </c>
      <c r="T96" s="148" t="s">
        <v>138</v>
      </c>
      <c r="U96" s="219">
        <v>45877</v>
      </c>
    </row>
    <row r="97" spans="2:21" ht="38.25">
      <c r="B97" s="271">
        <v>16</v>
      </c>
      <c r="C97" s="346" t="s">
        <v>234</v>
      </c>
      <c r="D97" s="346" t="s">
        <v>223</v>
      </c>
      <c r="E97" s="146" t="s">
        <v>216</v>
      </c>
      <c r="F97" s="347">
        <v>309</v>
      </c>
      <c r="G97" s="348">
        <v>45740</v>
      </c>
      <c r="H97" s="346" t="s">
        <v>113</v>
      </c>
      <c r="I97" s="349" t="s">
        <v>114</v>
      </c>
      <c r="J97" s="350">
        <v>17922</v>
      </c>
      <c r="K97" s="350">
        <v>16000</v>
      </c>
      <c r="L97" s="154">
        <f t="shared" ref="L97:L98" si="13">J97-K97</f>
        <v>1922</v>
      </c>
      <c r="M97" s="155">
        <f t="shared" ref="M97:M98" si="14">J97/F97</f>
        <v>58</v>
      </c>
      <c r="N97" s="155">
        <f t="shared" ref="N97" si="15">K97/F97</f>
        <v>51.779935275080909</v>
      </c>
      <c r="O97" s="351">
        <v>48.54</v>
      </c>
      <c r="P97" s="143" t="s">
        <v>53</v>
      </c>
      <c r="Q97" s="294" t="s">
        <v>36</v>
      </c>
      <c r="R97" s="294" t="s">
        <v>783</v>
      </c>
      <c r="S97" s="226" t="s">
        <v>214</v>
      </c>
      <c r="T97" s="346" t="s">
        <v>103</v>
      </c>
      <c r="U97" s="366">
        <v>45863</v>
      </c>
    </row>
    <row r="98" spans="2:21" ht="38.25">
      <c r="B98" s="271">
        <v>17</v>
      </c>
      <c r="C98" s="318" t="s">
        <v>233</v>
      </c>
      <c r="D98" s="391" t="s">
        <v>224</v>
      </c>
      <c r="E98" s="392" t="s">
        <v>216</v>
      </c>
      <c r="F98" s="393">
        <v>4463</v>
      </c>
      <c r="G98" s="394">
        <v>45790</v>
      </c>
      <c r="H98" s="395" t="s">
        <v>133</v>
      </c>
      <c r="I98" s="396" t="s">
        <v>135</v>
      </c>
      <c r="J98" s="397">
        <v>375750</v>
      </c>
      <c r="K98" s="398">
        <v>367290</v>
      </c>
      <c r="L98" s="364">
        <f t="shared" si="13"/>
        <v>8460</v>
      </c>
      <c r="M98" s="365">
        <f t="shared" si="14"/>
        <v>84.192247367241762</v>
      </c>
      <c r="N98" s="365">
        <f t="shared" ref="N98:N103" si="16">K98/F98</f>
        <v>82.296661438494283</v>
      </c>
      <c r="O98" s="399">
        <v>82.46</v>
      </c>
      <c r="P98" s="395" t="s">
        <v>35</v>
      </c>
      <c r="Q98" s="395" t="s">
        <v>36</v>
      </c>
      <c r="R98" s="395" t="s">
        <v>783</v>
      </c>
      <c r="S98" s="400" t="s">
        <v>879</v>
      </c>
      <c r="T98" s="395" t="s">
        <v>103</v>
      </c>
      <c r="U98" s="219">
        <v>45898</v>
      </c>
    </row>
    <row r="99" spans="2:21" ht="38.25">
      <c r="B99" s="271">
        <v>18</v>
      </c>
      <c r="C99" s="318" t="s">
        <v>146</v>
      </c>
      <c r="D99" s="391" t="s">
        <v>231</v>
      </c>
      <c r="E99" s="392" t="s">
        <v>216</v>
      </c>
      <c r="F99" s="393">
        <v>580</v>
      </c>
      <c r="G99" s="394" t="s">
        <v>87</v>
      </c>
      <c r="H99" s="395" t="s">
        <v>147</v>
      </c>
      <c r="I99" s="396" t="s">
        <v>148</v>
      </c>
      <c r="J99" s="397">
        <v>42016</v>
      </c>
      <c r="K99" s="398">
        <v>42016</v>
      </c>
      <c r="L99" s="364">
        <f>J99-K99</f>
        <v>0</v>
      </c>
      <c r="M99" s="365">
        <f>J99/F99</f>
        <v>72.441379310344828</v>
      </c>
      <c r="N99" s="365">
        <f t="shared" si="16"/>
        <v>72.441379310344828</v>
      </c>
      <c r="O99" s="399">
        <v>45.68</v>
      </c>
      <c r="P99" s="395" t="s">
        <v>50</v>
      </c>
      <c r="Q99" s="395" t="s">
        <v>50</v>
      </c>
      <c r="R99" s="395" t="s">
        <v>907</v>
      </c>
      <c r="S99" s="318" t="s">
        <v>641</v>
      </c>
      <c r="T99" s="395" t="s">
        <v>46</v>
      </c>
      <c r="U99" s="219">
        <v>45905</v>
      </c>
    </row>
    <row r="100" spans="2:21" ht="51">
      <c r="B100" s="271">
        <v>19</v>
      </c>
      <c r="C100" s="407" t="s">
        <v>235</v>
      </c>
      <c r="D100" s="355" t="s">
        <v>222</v>
      </c>
      <c r="E100" s="392" t="s">
        <v>216</v>
      </c>
      <c r="F100" s="408">
        <v>7519</v>
      </c>
      <c r="G100" s="409">
        <v>45733</v>
      </c>
      <c r="H100" s="410" t="s">
        <v>144</v>
      </c>
      <c r="I100" s="349" t="s">
        <v>145</v>
      </c>
      <c r="J100" s="411">
        <v>505000</v>
      </c>
      <c r="K100" s="412">
        <v>450600</v>
      </c>
      <c r="L100" s="364">
        <f>J100-K100</f>
        <v>54400</v>
      </c>
      <c r="M100" s="365">
        <f>J100/F100</f>
        <v>67.163186593961967</v>
      </c>
      <c r="N100" s="365">
        <f t="shared" si="16"/>
        <v>59.928181939087644</v>
      </c>
      <c r="O100" s="413">
        <v>62.94</v>
      </c>
      <c r="P100" s="414" t="s">
        <v>39</v>
      </c>
      <c r="Q100" s="414" t="s">
        <v>36</v>
      </c>
      <c r="R100" s="414" t="s">
        <v>430</v>
      </c>
      <c r="S100" s="415" t="s">
        <v>904</v>
      </c>
      <c r="T100" s="416" t="s">
        <v>41</v>
      </c>
      <c r="U100" s="219">
        <v>45906</v>
      </c>
    </row>
    <row r="101" spans="2:21" ht="121.5" customHeight="1">
      <c r="B101" s="271">
        <v>20</v>
      </c>
      <c r="C101" s="346" t="s">
        <v>109</v>
      </c>
      <c r="D101" s="346" t="s">
        <v>221</v>
      </c>
      <c r="E101" s="146" t="s">
        <v>216</v>
      </c>
      <c r="F101" s="347">
        <v>2304</v>
      </c>
      <c r="G101" s="348">
        <v>45719</v>
      </c>
      <c r="H101" s="346" t="s">
        <v>110</v>
      </c>
      <c r="I101" s="349" t="s">
        <v>111</v>
      </c>
      <c r="J101" s="350">
        <v>475000</v>
      </c>
      <c r="K101" s="350">
        <v>255000</v>
      </c>
      <c r="L101" s="154">
        <f>J101-K101</f>
        <v>220000</v>
      </c>
      <c r="M101" s="155">
        <f>J101/F101</f>
        <v>206.16319444444446</v>
      </c>
      <c r="N101" s="155">
        <f t="shared" si="16"/>
        <v>110.67708333333333</v>
      </c>
      <c r="O101" s="351">
        <f>N101</f>
        <v>110.67708333333333</v>
      </c>
      <c r="P101" s="294" t="s">
        <v>35</v>
      </c>
      <c r="Q101" s="294"/>
      <c r="R101" s="294" t="s">
        <v>37</v>
      </c>
      <c r="S101" s="226" t="s">
        <v>149</v>
      </c>
      <c r="T101" s="346" t="s">
        <v>41</v>
      </c>
      <c r="U101" s="352"/>
    </row>
    <row r="102" spans="2:21" ht="121.5" customHeight="1">
      <c r="B102" s="271">
        <v>21</v>
      </c>
      <c r="C102" s="318" t="s">
        <v>934</v>
      </c>
      <c r="D102" s="391" t="s">
        <v>224</v>
      </c>
      <c r="E102" s="392" t="s">
        <v>216</v>
      </c>
      <c r="F102" s="393">
        <v>1640</v>
      </c>
      <c r="G102" s="394">
        <v>45789</v>
      </c>
      <c r="H102" s="395" t="s">
        <v>134</v>
      </c>
      <c r="I102" s="396" t="s">
        <v>135</v>
      </c>
      <c r="J102" s="397">
        <v>116000</v>
      </c>
      <c r="K102" s="398">
        <v>101000</v>
      </c>
      <c r="L102" s="364">
        <f>J102-K102</f>
        <v>15000</v>
      </c>
      <c r="M102" s="365">
        <f>J102/F102</f>
        <v>70.731707317073173</v>
      </c>
      <c r="N102" s="365">
        <f t="shared" si="16"/>
        <v>61.585365853658537</v>
      </c>
      <c r="O102" s="399">
        <v>70</v>
      </c>
      <c r="P102" s="395" t="s">
        <v>35</v>
      </c>
      <c r="Q102" s="395" t="s">
        <v>36</v>
      </c>
      <c r="R102" s="427" t="s">
        <v>441</v>
      </c>
      <c r="S102" s="318" t="s">
        <v>880</v>
      </c>
      <c r="T102" s="395" t="s">
        <v>103</v>
      </c>
      <c r="U102" s="366">
        <v>45912</v>
      </c>
    </row>
    <row r="103" spans="2:21" ht="121.5" customHeight="1">
      <c r="B103" s="271">
        <v>22</v>
      </c>
      <c r="C103" s="329" t="s">
        <v>886</v>
      </c>
      <c r="D103" s="417" t="s">
        <v>191</v>
      </c>
      <c r="E103" s="327" t="s">
        <v>216</v>
      </c>
      <c r="F103" s="418">
        <v>620</v>
      </c>
      <c r="G103" s="419" t="s">
        <v>882</v>
      </c>
      <c r="H103" s="420" t="s">
        <v>883</v>
      </c>
      <c r="I103" s="421" t="s">
        <v>884</v>
      </c>
      <c r="J103" s="422">
        <v>37000</v>
      </c>
      <c r="K103" s="423">
        <v>33480</v>
      </c>
      <c r="L103" s="364">
        <f>J103-K103</f>
        <v>3520</v>
      </c>
      <c r="M103" s="365">
        <f>J103/F103</f>
        <v>59.677419354838712</v>
      </c>
      <c r="N103" s="424">
        <f t="shared" si="16"/>
        <v>54</v>
      </c>
      <c r="O103" s="425">
        <v>58.06</v>
      </c>
      <c r="P103" s="426" t="s">
        <v>885</v>
      </c>
      <c r="Q103" s="339" t="s">
        <v>36</v>
      </c>
      <c r="R103" s="338" t="s">
        <v>441</v>
      </c>
      <c r="S103" s="360" t="s">
        <v>933</v>
      </c>
      <c r="T103" s="338" t="s">
        <v>36</v>
      </c>
      <c r="U103" s="366">
        <v>45912</v>
      </c>
    </row>
    <row r="104" spans="2:21" ht="121.5" customHeight="1">
      <c r="B104" s="271">
        <v>23</v>
      </c>
      <c r="C104" s="329" t="s">
        <v>982</v>
      </c>
      <c r="D104" s="417" t="s">
        <v>648</v>
      </c>
      <c r="E104" s="327" t="s">
        <v>216</v>
      </c>
      <c r="F104" s="466">
        <v>85</v>
      </c>
      <c r="G104" s="419"/>
      <c r="H104" s="420" t="s">
        <v>649</v>
      </c>
      <c r="I104" s="360" t="s">
        <v>984</v>
      </c>
      <c r="J104" s="422">
        <v>71662.5</v>
      </c>
      <c r="K104" s="467">
        <v>68250</v>
      </c>
      <c r="L104" s="468">
        <f t="shared" ref="L104:L105" si="17">J104-K104</f>
        <v>3412.5</v>
      </c>
      <c r="M104" s="365">
        <f t="shared" ref="M104:M105" si="18">J104/F104</f>
        <v>843.08823529411768</v>
      </c>
      <c r="N104" s="469">
        <f>K104/F104</f>
        <v>802.94117647058829</v>
      </c>
      <c r="O104" s="470">
        <v>65000</v>
      </c>
      <c r="P104" s="471" t="s">
        <v>983</v>
      </c>
      <c r="Q104" s="339" t="s">
        <v>36</v>
      </c>
      <c r="R104" s="338" t="s">
        <v>441</v>
      </c>
      <c r="S104" s="360" t="s">
        <v>984</v>
      </c>
      <c r="T104" s="338" t="s">
        <v>41</v>
      </c>
      <c r="U104" s="366">
        <v>45919</v>
      </c>
    </row>
    <row r="105" spans="2:21" ht="121.5" customHeight="1">
      <c r="B105" s="271">
        <v>24</v>
      </c>
      <c r="C105" s="407" t="s">
        <v>115</v>
      </c>
      <c r="D105" s="339" t="s">
        <v>219</v>
      </c>
      <c r="E105" s="392" t="s">
        <v>216</v>
      </c>
      <c r="F105" s="362">
        <v>1989</v>
      </c>
      <c r="G105" s="354">
        <v>45817</v>
      </c>
      <c r="H105" s="361" t="s">
        <v>985</v>
      </c>
      <c r="I105" s="353" t="s">
        <v>143</v>
      </c>
      <c r="J105" s="356">
        <v>93000</v>
      </c>
      <c r="K105" s="472">
        <v>82575</v>
      </c>
      <c r="L105" s="364">
        <f t="shared" si="17"/>
        <v>10425</v>
      </c>
      <c r="M105" s="365">
        <f t="shared" si="18"/>
        <v>46.757164404223225</v>
      </c>
      <c r="N105" s="365">
        <f t="shared" ref="N105" si="19">K105/F105</f>
        <v>41.515837104072396</v>
      </c>
      <c r="O105" s="473">
        <v>37.71</v>
      </c>
      <c r="P105" s="338" t="s">
        <v>35</v>
      </c>
      <c r="Q105" s="339" t="s">
        <v>102</v>
      </c>
      <c r="R105" s="338" t="s">
        <v>441</v>
      </c>
      <c r="S105" s="360" t="s">
        <v>905</v>
      </c>
      <c r="T105" s="339" t="s">
        <v>41</v>
      </c>
      <c r="U105" s="366">
        <v>45919</v>
      </c>
    </row>
    <row r="106" spans="2:21" ht="38.25">
      <c r="B106" s="271">
        <v>25</v>
      </c>
      <c r="C106" s="329" t="s">
        <v>335</v>
      </c>
      <c r="D106" s="417" t="s">
        <v>930</v>
      </c>
      <c r="E106" s="327" t="s">
        <v>216</v>
      </c>
      <c r="F106" s="466">
        <v>1524</v>
      </c>
      <c r="G106" s="419">
        <v>45903</v>
      </c>
      <c r="H106" s="420" t="s">
        <v>931</v>
      </c>
      <c r="I106" s="565" t="s">
        <v>932</v>
      </c>
      <c r="J106" s="422">
        <v>72000</v>
      </c>
      <c r="K106" s="467">
        <v>72000</v>
      </c>
      <c r="L106" s="364">
        <f>J106-K106</f>
        <v>0</v>
      </c>
      <c r="M106" s="365">
        <f>J106/F106</f>
        <v>47.244094488188978</v>
      </c>
      <c r="N106" s="365">
        <f>K106/F106</f>
        <v>47.244094488188978</v>
      </c>
      <c r="O106" s="413">
        <f>J106/F106</f>
        <v>47.244094488188978</v>
      </c>
      <c r="P106" s="566" t="s">
        <v>53</v>
      </c>
      <c r="Q106" s="339" t="s">
        <v>36</v>
      </c>
      <c r="R106" s="338" t="s">
        <v>441</v>
      </c>
      <c r="S106" s="360" t="s">
        <v>1024</v>
      </c>
      <c r="T106" s="338" t="s">
        <v>46</v>
      </c>
      <c r="U106" s="219">
        <v>45933</v>
      </c>
    </row>
    <row r="108" spans="2:21">
      <c r="B108" s="156" t="s">
        <v>720</v>
      </c>
    </row>
    <row r="109" spans="2:21" ht="72">
      <c r="B109" s="150" t="s">
        <v>721</v>
      </c>
      <c r="C109" s="316">
        <v>250</v>
      </c>
      <c r="D109" s="150" t="s">
        <v>722</v>
      </c>
      <c r="E109" s="150"/>
      <c r="F109" s="150"/>
      <c r="G109" s="150" t="s">
        <v>723</v>
      </c>
      <c r="H109" s="317">
        <v>1677</v>
      </c>
      <c r="I109" s="307"/>
      <c r="J109" s="149" t="s">
        <v>430</v>
      </c>
      <c r="K109" s="144" t="s">
        <v>724</v>
      </c>
      <c r="L109" s="144"/>
      <c r="M109" s="150" t="s">
        <v>725</v>
      </c>
    </row>
    <row r="110" spans="2:21" ht="140.25">
      <c r="B110" s="318" t="s">
        <v>726</v>
      </c>
      <c r="C110" s="319">
        <v>3299</v>
      </c>
      <c r="D110" s="318" t="s">
        <v>727</v>
      </c>
      <c r="E110" s="318"/>
      <c r="F110" s="318"/>
      <c r="G110" s="320" t="s">
        <v>728</v>
      </c>
      <c r="H110" s="321">
        <f>193200/4</f>
        <v>48300</v>
      </c>
      <c r="I110" s="320">
        <f>H110/C110*4</f>
        <v>58.563200969990909</v>
      </c>
      <c r="J110" s="149" t="s">
        <v>441</v>
      </c>
      <c r="K110" s="150" t="s">
        <v>31</v>
      </c>
      <c r="L110" s="150"/>
      <c r="M110" s="318" t="s">
        <v>729</v>
      </c>
    </row>
    <row r="111" spans="2:21" ht="318.75">
      <c r="B111" s="537" t="s">
        <v>43</v>
      </c>
      <c r="C111" s="538" t="s">
        <v>978</v>
      </c>
      <c r="D111" s="539" t="s">
        <v>1020</v>
      </c>
      <c r="E111" s="540">
        <v>859</v>
      </c>
      <c r="F111" s="541" t="s">
        <v>50</v>
      </c>
      <c r="G111" s="542" t="s">
        <v>979</v>
      </c>
      <c r="H111" s="543" t="s">
        <v>981</v>
      </c>
      <c r="I111" s="544">
        <v>725</v>
      </c>
      <c r="J111" s="467">
        <v>0</v>
      </c>
      <c r="K111" s="468">
        <f>I111-J111</f>
        <v>725</v>
      </c>
      <c r="L111" s="545">
        <f>I111/E111</f>
        <v>0.84400465657741564</v>
      </c>
      <c r="M111" s="469">
        <f>J111/E111</f>
        <v>0</v>
      </c>
      <c r="N111" s="546">
        <v>62.51</v>
      </c>
      <c r="O111" s="414" t="s">
        <v>50</v>
      </c>
      <c r="P111" s="339" t="s">
        <v>50</v>
      </c>
      <c r="Q111" s="338" t="s">
        <v>441</v>
      </c>
      <c r="R111" s="360" t="s">
        <v>980</v>
      </c>
      <c r="S111" s="338" t="s">
        <v>36</v>
      </c>
      <c r="T111" s="219">
        <v>45919</v>
      </c>
    </row>
  </sheetData>
  <conditionalFormatting sqref="A12 U12:X12 B23:B53">
    <cfRule type="cellIs" dxfId="40" priority="59" operator="equal">
      <formula>"Yes"</formula>
    </cfRule>
    <cfRule type="expression" dxfId="39" priority="60">
      <formula>"Completed"</formula>
    </cfRule>
  </conditionalFormatting>
  <conditionalFormatting sqref="B6:B21">
    <cfRule type="cellIs" dxfId="38" priority="52" operator="equal">
      <formula>"Yes"</formula>
    </cfRule>
    <cfRule type="expression" dxfId="37" priority="53">
      <formula>"Completed"</formula>
    </cfRule>
  </conditionalFormatting>
  <conditionalFormatting sqref="B63:U63">
    <cfRule type="expression" dxfId="36" priority="30">
      <formula>"Completed"</formula>
    </cfRule>
  </conditionalFormatting>
  <conditionalFormatting sqref="C6:D6">
    <cfRule type="cellIs" dxfId="35" priority="67" operator="equal">
      <formula>"Yes"</formula>
    </cfRule>
  </conditionalFormatting>
  <conditionalFormatting sqref="C6:U6 A10 U10:X10">
    <cfRule type="expression" dxfId="34" priority="64">
      <formula>"Completed"</formula>
    </cfRule>
  </conditionalFormatting>
  <conditionalFormatting sqref="G6:K6 A10 U10:X10">
    <cfRule type="cellIs" dxfId="33" priority="63" operator="equal">
      <formula>"Yes"</formula>
    </cfRule>
  </conditionalFormatting>
  <conditionalFormatting sqref="H109">
    <cfRule type="cellIs" dxfId="32" priority="48" operator="equal">
      <formula>"Yes"</formula>
    </cfRule>
    <cfRule type="expression" dxfId="31" priority="49">
      <formula>"Completed"</formula>
    </cfRule>
  </conditionalFormatting>
  <conditionalFormatting sqref="J63:K63 M63:O63">
    <cfRule type="cellIs" dxfId="30" priority="31" operator="equal">
      <formula>"Yes"</formula>
    </cfRule>
  </conditionalFormatting>
  <conditionalFormatting sqref="L6">
    <cfRule type="cellIs" dxfId="29" priority="33" operator="lessThan">
      <formula>0</formula>
    </cfRule>
  </conditionalFormatting>
  <conditionalFormatting sqref="L63">
    <cfRule type="cellIs" dxfId="28" priority="29" operator="lessThan">
      <formula>0</formula>
    </cfRule>
  </conditionalFormatting>
  <conditionalFormatting sqref="M111">
    <cfRule type="containsText" dxfId="27" priority="15" operator="containsText" text="Yes">
      <formula>NOT(ISERROR(SEARCH("Yes",M111)))</formula>
    </cfRule>
  </conditionalFormatting>
  <conditionalFormatting sqref="M6:U6 B64:B80">
    <cfRule type="cellIs" dxfId="26" priority="54" operator="equal">
      <formula>"Yes"</formula>
    </cfRule>
  </conditionalFormatting>
  <conditionalFormatting sqref="N103:N104">
    <cfRule type="containsText" dxfId="25" priority="14" operator="containsText" text="Yes">
      <formula>NOT(ISERROR(SEARCH("Yes",N103)))</formula>
    </cfRule>
  </conditionalFormatting>
  <conditionalFormatting sqref="P95">
    <cfRule type="containsText" dxfId="24" priority="38" operator="containsText" text="Yes">
      <formula>NOT(ISERROR(SEARCH("Yes",P95)))</formula>
    </cfRule>
  </conditionalFormatting>
  <conditionalFormatting sqref="P105">
    <cfRule type="containsText" dxfId="23" priority="13" operator="containsText" text="Yes">
      <formula>NOT(ISERROR(SEARCH("Yes",P105)))</formula>
    </cfRule>
  </conditionalFormatting>
  <conditionalFormatting sqref="Q111">
    <cfRule type="containsText" dxfId="22" priority="16" operator="containsText" text="Yes">
      <formula>NOT(ISERROR(SEARCH("Yes",Q111)))</formula>
    </cfRule>
  </conditionalFormatting>
  <conditionalFormatting sqref="R16:R21">
    <cfRule type="containsText" dxfId="21" priority="51" operator="containsText" text="Yes">
      <formula>NOT(ISERROR(SEARCH("Yes",R16)))</formula>
    </cfRule>
  </conditionalFormatting>
  <conditionalFormatting sqref="R23:R49">
    <cfRule type="containsText" dxfId="20" priority="32" operator="containsText" text="Yes">
      <formula>NOT(ISERROR(SEARCH("Yes",R23)))</formula>
    </cfRule>
  </conditionalFormatting>
  <conditionalFormatting sqref="R50 B82:B106 R93:T93">
    <cfRule type="cellIs" dxfId="19" priority="40" operator="equal">
      <formula>"Yes"</formula>
    </cfRule>
  </conditionalFormatting>
  <conditionalFormatting sqref="R51:R61">
    <cfRule type="containsText" dxfId="18" priority="1" operator="containsText" text="Yes">
      <formula>NOT(ISERROR(SEARCH("Yes",R51)))</formula>
    </cfRule>
  </conditionalFormatting>
  <conditionalFormatting sqref="R94:R102">
    <cfRule type="cellIs" dxfId="17" priority="19" operator="equal">
      <formula>"Yes"</formula>
    </cfRule>
  </conditionalFormatting>
  <conditionalFormatting sqref="R103:R106">
    <cfRule type="containsText" dxfId="16" priority="5" operator="containsText" text="Yes">
      <formula>NOT(ISERROR(SEARCH("Yes",R103)))</formula>
    </cfRule>
  </conditionalFormatting>
  <conditionalFormatting sqref="R71:S71">
    <cfRule type="cellIs" dxfId="15" priority="57" operator="equal">
      <formula>"Yes"</formula>
    </cfRule>
  </conditionalFormatting>
  <conditionalFormatting sqref="R72:T80">
    <cfRule type="cellIs" dxfId="14" priority="50" operator="equal">
      <formula>"Yes"</formula>
    </cfRule>
  </conditionalFormatting>
  <conditionalFormatting sqref="R83:T83">
    <cfRule type="cellIs" dxfId="13" priority="47" operator="equal">
      <formula>"Yes"</formula>
    </cfRule>
  </conditionalFormatting>
  <conditionalFormatting sqref="R85:T85">
    <cfRule type="cellIs" dxfId="12" priority="41" operator="equal">
      <formula>"Yes"</formula>
    </cfRule>
  </conditionalFormatting>
  <conditionalFormatting sqref="R64:U70">
    <cfRule type="cellIs" dxfId="11" priority="58" operator="equal">
      <formula>"Yes"</formula>
    </cfRule>
  </conditionalFormatting>
  <conditionalFormatting sqref="R84:U84">
    <cfRule type="cellIs" dxfId="10" priority="42" operator="equal">
      <formula>"Yes"</formula>
    </cfRule>
  </conditionalFormatting>
  <conditionalFormatting sqref="S28">
    <cfRule type="cellIs" dxfId="9" priority="43" operator="equal">
      <formula>"Yes"</formula>
    </cfRule>
    <cfRule type="expression" dxfId="8" priority="44">
      <formula>"Completed"</formula>
    </cfRule>
  </conditionalFormatting>
  <conditionalFormatting sqref="U7:U9">
    <cfRule type="cellIs" dxfId="7" priority="68" operator="equal">
      <formula>"Yes"</formula>
    </cfRule>
    <cfRule type="expression" dxfId="6" priority="69">
      <formula>"Completed"</formula>
    </cfRule>
  </conditionalFormatting>
  <conditionalFormatting sqref="U11">
    <cfRule type="cellIs" dxfId="5" priority="61" operator="equal">
      <formula>"Yes"</formula>
    </cfRule>
    <cfRule type="expression" dxfId="4" priority="62">
      <formula>"Completed"</formula>
    </cfRule>
  </conditionalFormatting>
  <conditionalFormatting sqref="U13:U19">
    <cfRule type="cellIs" dxfId="3" priority="55" operator="equal">
      <formula>"Yes"</formula>
    </cfRule>
    <cfRule type="expression" dxfId="2" priority="56">
      <formula>"Completed"</formula>
    </cfRule>
  </conditionalFormatting>
  <conditionalFormatting sqref="U27:U38">
    <cfRule type="cellIs" dxfId="1" priority="45" operator="equal">
      <formula>"Yes"</formula>
    </cfRule>
    <cfRule type="expression" dxfId="0" priority="46">
      <formula>"Completed"</formula>
    </cfRule>
  </conditionalFormatting>
  <hyperlinks>
    <hyperlink ref="P103" r:id="rId1" xr:uid="{64CEAE09-982C-4498-B4C0-89EC372A1DA9}"/>
  </hyperlinks>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B2959E215AE244ABA8B315D7E2E34BA" ma:contentTypeVersion="13" ma:contentTypeDescription="Create a new document." ma:contentTypeScope="" ma:versionID="a311bafa6dcb8cf2453ee2a92056f449">
  <xsd:schema xmlns:xsd="http://www.w3.org/2001/XMLSchema" xmlns:xs="http://www.w3.org/2001/XMLSchema" xmlns:p="http://schemas.microsoft.com/office/2006/metadata/properties" xmlns:ns3="6a34e670-a28b-4b8b-9844-29cc9381d9a5" targetNamespace="http://schemas.microsoft.com/office/2006/metadata/properties" ma:root="true" ma:fieldsID="ce09a72d7dcde8357d5d0b7a38463d61" ns3:_="">
    <xsd:import namespace="6a34e670-a28b-4b8b-9844-29cc9381d9a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bjectDetectorVersions" minOccurs="0"/>
                <xsd:element ref="ns3:MediaServiceSearchProperties" minOccurs="0"/>
                <xsd:element ref="ns3:_activity"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34e670-a28b-4b8b-9844-29cc9381d9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a34e670-a28b-4b8b-9844-29cc9381d9a5" xsi:nil="true"/>
  </documentManagement>
</p:properties>
</file>

<file path=customXml/itemProps1.xml><?xml version="1.0" encoding="utf-8"?>
<ds:datastoreItem xmlns:ds="http://schemas.openxmlformats.org/officeDocument/2006/customXml" ds:itemID="{D6544C0F-280D-4D69-9918-9C7943AB7FA1}">
  <ds:schemaRefs>
    <ds:schemaRef ds:uri="http://schemas.microsoft.com/sharepoint/v3/contenttype/forms"/>
  </ds:schemaRefs>
</ds:datastoreItem>
</file>

<file path=customXml/itemProps2.xml><?xml version="1.0" encoding="utf-8"?>
<ds:datastoreItem xmlns:ds="http://schemas.openxmlformats.org/officeDocument/2006/customXml" ds:itemID="{423D77B6-8136-445A-944C-ACD55AA2ED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34e670-a28b-4b8b-9844-29cc9381d9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8BA6C6-093A-414A-94A7-C586C456FDAF}">
  <ds:schemaRefs>
    <ds:schemaRef ds:uri="6a34e670-a28b-4b8b-9844-29cc9381d9a5"/>
    <ds:schemaRef ds:uri="http://schemas.microsoft.com/office/2006/metadata/properties"/>
    <ds:schemaRef ds:uri="http://purl.org/dc/elements/1.1/"/>
    <ds:schemaRef ds:uri="http://purl.org/dc/dcmitype/"/>
    <ds:schemaRef ds:uri="http://purl.org/dc/terms/"/>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Summary</vt:lpstr>
      <vt:lpstr>Letting Progress</vt:lpstr>
      <vt:lpstr>Dead Ducks</vt:lpstr>
      <vt:lpstr>Viewing Schedule</vt:lpstr>
      <vt:lpstr>Income</vt:lpstr>
      <vt:lpstr>Completed Deals</vt:lpstr>
      <vt:lpstr>'Dead Ducks'!Print_Area</vt:lpstr>
      <vt:lpstr>Income!Print_Area</vt:lpstr>
      <vt:lpstr>'Letting Progress'!Print_Area</vt:lpstr>
      <vt:lpstr>Summary!Print_Area</vt:lpstr>
      <vt:lpstr>'Viewing Schedule'!Print_Area</vt:lpstr>
      <vt:lpstr>'Dead Ducks'!Print_Titles</vt:lpstr>
      <vt:lpstr>Income!Print_Titles</vt:lpstr>
      <vt:lpstr>'Letting Progress'!Print_Titles</vt:lpstr>
    </vt:vector>
  </TitlesOfParts>
  <Manager/>
  <Company>University of Pennsylvania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Chan</dc:creator>
  <cp:keywords/>
  <dc:description/>
  <cp:lastModifiedBy>Sabina Bathurst</cp:lastModifiedBy>
  <cp:revision/>
  <cp:lastPrinted>2025-11-07T16:17:35Z</cp:lastPrinted>
  <dcterms:created xsi:type="dcterms:W3CDTF">2014-03-12T08:29:35Z</dcterms:created>
  <dcterms:modified xsi:type="dcterms:W3CDTF">2025-11-07T16:21:31Z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0x010100BB2959E215AE244ABA8B315D7E2E34BA</vt:lpwstr>
  </property>
</Properties>
</file>